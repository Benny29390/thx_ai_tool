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ate1904="1"/>
  <mc:AlternateContent xmlns:mc="http://schemas.openxmlformats.org/markup-compatibility/2006">
    <mc:Choice Requires="x15">
      <x15ac:absPath xmlns:x15ac="http://schemas.microsoft.com/office/spreadsheetml/2010/11/ac" url="/Users/tkilian/Downloads/SMV Linkprofil-Analyse (Prüfung Spam)/"/>
    </mc:Choice>
  </mc:AlternateContent>
  <xr:revisionPtr revIDLastSave="0" documentId="13_ncr:1_{84FD2172-9EC3-1246-A760-CD6425222DF6}" xr6:coauthVersionLast="47" xr6:coauthVersionMax="47" xr10:uidLastSave="{00000000-0000-0000-0000-000000000000}"/>
  <bookViews>
    <workbookView xWindow="5760" yWindow="880" windowWidth="42480" windowHeight="26240" tabRatio="500" xr2:uid="{00000000-000D-0000-FFFF-FFFF00000000}"/>
  </bookViews>
  <sheets>
    <sheet name="SMV Linkprofil 2023-03" sheetId="1" r:id="rId1"/>
  </sheets>
  <definedNames>
    <definedName name="_xlnm._FilterDatabase" localSheetId="0" hidden="1">'SMV Linkprofil 2023-03'!$A$1:$I$801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1" l="1"/>
  <c r="K7" i="1"/>
  <c r="C521" i="1"/>
  <c r="C229" i="1"/>
  <c r="C436" i="1"/>
  <c r="C311" i="1"/>
  <c r="C791" i="1"/>
  <c r="C49" i="1"/>
  <c r="C395" i="1"/>
  <c r="C210" i="1"/>
  <c r="C516" i="1"/>
  <c r="C720" i="1"/>
  <c r="C547" i="1"/>
  <c r="C374" i="1"/>
  <c r="C108" i="1"/>
  <c r="C646" i="1"/>
  <c r="C182" i="1"/>
  <c r="C660" i="1"/>
  <c r="C70" i="1"/>
  <c r="C730" i="1"/>
  <c r="C57" i="1"/>
  <c r="C492" i="1"/>
  <c r="C398" i="1"/>
  <c r="C5" i="1"/>
  <c r="C48" i="1"/>
  <c r="C629" i="1"/>
  <c r="C671" i="1"/>
  <c r="C478" i="1"/>
  <c r="C694" i="1"/>
  <c r="C465" i="1"/>
  <c r="C222" i="1"/>
  <c r="C71" i="1"/>
  <c r="C405" i="1"/>
  <c r="C240" i="1"/>
  <c r="C538" i="1"/>
  <c r="C658" i="1"/>
  <c r="C796" i="1"/>
  <c r="C772" i="1"/>
  <c r="C719" i="1"/>
  <c r="C627" i="1"/>
  <c r="C570" i="1"/>
  <c r="C554" i="1"/>
  <c r="C550" i="1"/>
  <c r="C357" i="1"/>
  <c r="C356" i="1"/>
  <c r="C268" i="1"/>
  <c r="C267" i="1"/>
  <c r="C265" i="1"/>
  <c r="C147" i="1"/>
  <c r="C749" i="1"/>
  <c r="C707" i="1"/>
  <c r="C706" i="1"/>
  <c r="C699" i="1"/>
  <c r="C693" i="1"/>
  <c r="C662" i="1"/>
  <c r="C622" i="1"/>
  <c r="C582" i="1"/>
  <c r="C551" i="1"/>
  <c r="C522" i="1"/>
  <c r="C489" i="1"/>
  <c r="C455" i="1"/>
  <c r="C440" i="1"/>
  <c r="C439" i="1"/>
  <c r="C430" i="1"/>
  <c r="C425" i="1"/>
  <c r="C414" i="1"/>
  <c r="C413" i="1"/>
  <c r="C412" i="1"/>
  <c r="C371" i="1"/>
  <c r="C294" i="1"/>
  <c r="C247" i="1"/>
  <c r="C176" i="1"/>
  <c r="C164" i="1"/>
  <c r="C152" i="1"/>
  <c r="C111" i="1"/>
  <c r="C75" i="1"/>
  <c r="C72" i="1"/>
  <c r="C63" i="1"/>
  <c r="C163" i="1"/>
  <c r="C427" i="1"/>
  <c r="C236" i="1"/>
  <c r="C714" i="1" l="1"/>
  <c r="C32" i="1"/>
  <c r="C233" i="1"/>
  <c r="C28" i="1"/>
  <c r="C153" i="1"/>
  <c r="C170" i="1"/>
  <c r="C246" i="1"/>
  <c r="C409" i="1"/>
  <c r="C573" i="1"/>
  <c r="C27" i="1"/>
  <c r="C155" i="1"/>
  <c r="C525" i="1"/>
  <c r="C191" i="1"/>
  <c r="C271" i="1"/>
  <c r="C270" i="1"/>
  <c r="C687" i="1"/>
  <c r="C256" i="1"/>
  <c r="C50" i="1"/>
  <c r="C317" i="1"/>
  <c r="C691" i="1"/>
  <c r="C475" i="1"/>
  <c r="C558" i="1"/>
  <c r="C657" i="1"/>
  <c r="C483" i="1"/>
  <c r="C523" i="1"/>
  <c r="C392" i="1"/>
  <c r="C696" i="1"/>
  <c r="C334" i="1"/>
  <c r="C793" i="1"/>
  <c r="C615" i="1"/>
  <c r="C171" i="1"/>
  <c r="C84" i="1"/>
  <c r="C286" i="1"/>
  <c r="C250" i="1"/>
  <c r="C725" i="1"/>
  <c r="C407" i="1"/>
  <c r="C166" i="1"/>
  <c r="C513" i="1"/>
  <c r="C88" i="1"/>
  <c r="C560" i="1"/>
  <c r="C315" i="1"/>
  <c r="C235" i="1"/>
  <c r="C643" i="1"/>
  <c r="C656" i="1"/>
  <c r="C690" i="1"/>
  <c r="C722" i="1"/>
  <c r="C167" i="1"/>
  <c r="C295" i="1"/>
  <c r="C728" i="1"/>
  <c r="C363" i="1"/>
  <c r="C10" i="1"/>
  <c r="C698" i="1"/>
  <c r="C536" i="1"/>
  <c r="C199" i="1"/>
  <c r="C571" i="1"/>
  <c r="C577" i="1"/>
  <c r="C501" i="1"/>
  <c r="C777" i="1"/>
  <c r="C394" i="1"/>
  <c r="C361" i="1"/>
  <c r="C37" i="1"/>
  <c r="C645" i="1"/>
  <c r="C537" i="1"/>
  <c r="C19" i="1"/>
  <c r="C532" i="1"/>
  <c r="C237" i="1"/>
  <c r="C510" i="1"/>
  <c r="C138" i="1"/>
  <c r="C744" i="1"/>
  <c r="C89" i="1"/>
  <c r="C753" i="1"/>
  <c r="C663" i="1"/>
  <c r="C336" i="1"/>
  <c r="C188" i="1"/>
  <c r="C331" i="1"/>
  <c r="C655" i="1"/>
  <c r="C682" i="1"/>
  <c r="C526" i="1"/>
  <c r="C801" i="1"/>
  <c r="C330" i="1"/>
  <c r="C517" i="1"/>
  <c r="C255" i="1"/>
  <c r="C397" i="1"/>
  <c r="C618" i="1"/>
  <c r="C143" i="1"/>
  <c r="C254" i="1"/>
  <c r="C219" i="1"/>
  <c r="C82" i="1"/>
  <c r="C410" i="1"/>
  <c r="C78" i="1"/>
  <c r="C534" i="1"/>
  <c r="C562" i="1"/>
  <c r="C447" i="1"/>
  <c r="C81" i="1"/>
  <c r="C563" i="1"/>
  <c r="C552" i="1"/>
  <c r="C738" i="1"/>
  <c r="C396" i="1"/>
  <c r="C339" i="1"/>
  <c r="C408" i="1"/>
  <c r="C659" i="1"/>
  <c r="C402" i="1"/>
  <c r="C434" i="1"/>
  <c r="C308" i="1"/>
  <c r="C619" i="1"/>
  <c r="C574" i="1"/>
  <c r="C187" i="1"/>
  <c r="C593" i="1"/>
  <c r="C647" i="1"/>
  <c r="C621" i="1"/>
  <c r="C592" i="1"/>
  <c r="C437" i="1"/>
  <c r="C411" i="1"/>
  <c r="C64" i="1"/>
  <c r="C38" i="1"/>
  <c r="C87" i="1"/>
  <c r="C651" i="1"/>
  <c r="C625" i="1"/>
  <c r="C723" i="1"/>
  <c r="C114" i="1"/>
  <c r="C424" i="1"/>
  <c r="C700" i="1"/>
  <c r="C274" i="1"/>
  <c r="C499" i="1"/>
  <c r="C498" i="1"/>
  <c r="C368" i="1"/>
  <c r="C30" i="1"/>
  <c r="C192" i="1"/>
  <c r="C695" i="1"/>
  <c r="C453" i="1"/>
  <c r="C423" i="1"/>
  <c r="C212" i="1"/>
  <c r="C729" i="1"/>
  <c r="C780" i="1"/>
  <c r="C781" i="1"/>
  <c r="C546" i="1"/>
  <c r="C701" i="1"/>
  <c r="C14" i="1"/>
  <c r="C51" i="1"/>
  <c r="C226" i="1"/>
  <c r="C151" i="1"/>
  <c r="C34" i="1"/>
  <c r="C205" i="1"/>
  <c r="C739" i="1"/>
  <c r="C740" i="1"/>
  <c r="C745" i="1"/>
  <c r="C746" i="1"/>
  <c r="C795" i="1"/>
  <c r="C750" i="1"/>
  <c r="C220" i="1"/>
  <c r="C765" i="1"/>
  <c r="C67" i="1"/>
  <c r="C178" i="1"/>
  <c r="C165" i="1"/>
  <c r="C60" i="1"/>
  <c r="C202" i="1"/>
  <c r="C665" i="1"/>
  <c r="C17" i="1"/>
  <c r="C175" i="1"/>
  <c r="C724" i="1"/>
  <c r="C726" i="1"/>
  <c r="C46" i="1"/>
  <c r="C54" i="1"/>
  <c r="C56" i="1"/>
  <c r="C58" i="1"/>
  <c r="C61" i="1"/>
  <c r="C73" i="1"/>
  <c r="C76" i="1"/>
  <c r="C83" i="1"/>
  <c r="C91" i="1"/>
  <c r="C101" i="1"/>
  <c r="C104" i="1"/>
  <c r="C798" i="1"/>
  <c r="C797" i="1"/>
  <c r="C756" i="1"/>
  <c r="K9" i="1"/>
  <c r="K8" i="1"/>
  <c r="K6" i="1"/>
  <c r="K5" i="1"/>
  <c r="K3" i="1"/>
  <c r="K10" i="1"/>
  <c r="K11" i="1"/>
  <c r="K12" i="1"/>
  <c r="K13" i="1"/>
  <c r="K14" i="1"/>
  <c r="K15" i="1" l="1"/>
  <c r="C712" i="1"/>
  <c r="C486" i="1" l="1"/>
  <c r="C95" i="1" l="1"/>
  <c r="C107" i="1"/>
  <c r="C122" i="1"/>
  <c r="C131" i="1"/>
  <c r="C133" i="1"/>
  <c r="C135" i="1"/>
  <c r="C136" i="1"/>
  <c r="C142" i="1"/>
  <c r="C154" i="1"/>
  <c r="C156" i="1"/>
  <c r="C158" i="1"/>
  <c r="C159" i="1"/>
  <c r="C174" i="1"/>
  <c r="C177" i="1"/>
  <c r="C185" i="1"/>
  <c r="C193" i="1"/>
  <c r="C194" i="1"/>
  <c r="C215" i="1"/>
  <c r="C216" i="1"/>
  <c r="C217" i="1"/>
  <c r="C223" i="1"/>
  <c r="C230" i="1"/>
  <c r="C231" i="1"/>
  <c r="C234" i="1"/>
  <c r="C242" i="1"/>
  <c r="C245" i="1"/>
  <c r="C249" i="1"/>
  <c r="C251" i="1"/>
  <c r="C277" i="1"/>
  <c r="C285" i="1"/>
  <c r="C287" i="1"/>
  <c r="C288" i="1"/>
  <c r="C299" i="1"/>
  <c r="C300" i="1"/>
  <c r="C310" i="1"/>
  <c r="C314" i="1"/>
  <c r="C340" i="1"/>
  <c r="C344" i="1"/>
  <c r="C345" i="1"/>
  <c r="C346" i="1"/>
  <c r="C348" i="1"/>
  <c r="C359" i="1"/>
  <c r="C378" i="1"/>
  <c r="C386" i="1"/>
  <c r="C393" i="1"/>
  <c r="C400" i="1"/>
  <c r="C404" i="1"/>
  <c r="C406" i="1"/>
  <c r="C418" i="1"/>
  <c r="C432" i="1"/>
  <c r="C435" i="1"/>
  <c r="C443" i="1"/>
  <c r="C462" i="1"/>
  <c r="C466" i="1"/>
  <c r="C468" i="1"/>
  <c r="C473" i="1"/>
  <c r="C477" i="1"/>
  <c r="C482" i="1"/>
  <c r="C490" i="1"/>
  <c r="C506" i="1"/>
  <c r="C512" i="1"/>
  <c r="C514" i="1"/>
  <c r="C524" i="1"/>
  <c r="C527" i="1"/>
  <c r="C539" i="1"/>
  <c r="C561" i="1"/>
  <c r="C583" i="1"/>
  <c r="C585" i="1"/>
  <c r="C587" i="1"/>
  <c r="C588" i="1"/>
  <c r="C589" i="1"/>
  <c r="C590" i="1"/>
  <c r="C591" i="1"/>
  <c r="C596" i="1"/>
  <c r="C597" i="1"/>
  <c r="C598" i="1"/>
  <c r="C599" i="1"/>
  <c r="C600" i="1"/>
  <c r="C602" i="1"/>
  <c r="C604" i="1"/>
  <c r="C605" i="1"/>
  <c r="C607" i="1"/>
  <c r="C608" i="1"/>
  <c r="C609" i="1"/>
  <c r="C610" i="1"/>
  <c r="C611" i="1"/>
  <c r="C614" i="1"/>
  <c r="C630" i="1"/>
  <c r="C635" i="1"/>
  <c r="C636" i="1"/>
  <c r="C638" i="1"/>
  <c r="C640" i="1"/>
  <c r="C642" i="1"/>
  <c r="C664" i="1"/>
  <c r="C675" i="1"/>
  <c r="C683" i="1"/>
  <c r="C689" i="1"/>
  <c r="C702" i="1"/>
  <c r="C731" i="1"/>
  <c r="C732" i="1"/>
  <c r="C734" i="1"/>
  <c r="C735" i="1"/>
  <c r="C736" i="1"/>
  <c r="C737" i="1"/>
  <c r="C754" i="1"/>
  <c r="C3" i="1"/>
  <c r="C15" i="1"/>
  <c r="C20" i="1"/>
  <c r="C24" i="1"/>
  <c r="C26" i="1"/>
  <c r="C45" i="1"/>
  <c r="C47" i="1"/>
  <c r="C52" i="1"/>
  <c r="C53" i="1"/>
  <c r="C59" i="1"/>
  <c r="C62" i="1"/>
  <c r="C65" i="1"/>
  <c r="C66" i="1"/>
  <c r="C69" i="1"/>
  <c r="C74" i="1"/>
  <c r="C79" i="1"/>
  <c r="C80" i="1"/>
  <c r="C90" i="1"/>
  <c r="C92" i="1"/>
  <c r="C93" i="1"/>
  <c r="C96" i="1"/>
  <c r="C98" i="1"/>
  <c r="C100" i="1"/>
  <c r="C102" i="1"/>
  <c r="C105" i="1"/>
  <c r="C106" i="1"/>
  <c r="C113" i="1"/>
  <c r="C115" i="1"/>
  <c r="C119" i="1"/>
  <c r="C120" i="1"/>
  <c r="C123" i="1"/>
  <c r="C125" i="1"/>
  <c r="C126" i="1"/>
  <c r="C128" i="1"/>
  <c r="C130" i="1"/>
  <c r="C137" i="1"/>
  <c r="C139" i="1"/>
  <c r="C140" i="1"/>
  <c r="C141" i="1"/>
  <c r="C149" i="1"/>
  <c r="C150" i="1"/>
  <c r="C160" i="1"/>
  <c r="C161" i="1"/>
  <c r="C168" i="1"/>
  <c r="C169" i="1"/>
  <c r="C172" i="1"/>
  <c r="C173" i="1"/>
  <c r="C183" i="1"/>
  <c r="C184" i="1"/>
  <c r="C186" i="1"/>
  <c r="C189" i="1"/>
  <c r="C190" i="1"/>
  <c r="C203" i="1"/>
  <c r="C204" i="1"/>
  <c r="C209" i="1"/>
  <c r="C211" i="1"/>
  <c r="C213" i="1"/>
  <c r="C214" i="1"/>
  <c r="C218" i="1"/>
  <c r="C221" i="1"/>
  <c r="C225" i="1"/>
  <c r="C228" i="1"/>
  <c r="C232" i="1"/>
  <c r="C238" i="1"/>
  <c r="C241" i="1"/>
  <c r="C244" i="1"/>
  <c r="C252" i="1"/>
  <c r="C253" i="1"/>
  <c r="C259" i="1"/>
  <c r="C262" i="1"/>
  <c r="C264" i="1"/>
  <c r="C272" i="1"/>
  <c r="C273" i="1"/>
  <c r="C279" i="1"/>
  <c r="C282" i="1"/>
  <c r="C283" i="1"/>
  <c r="C284" i="1"/>
  <c r="C298" i="1"/>
  <c r="C303" i="1"/>
  <c r="C305" i="1"/>
  <c r="C306" i="1"/>
  <c r="C309" i="1"/>
  <c r="C312" i="1"/>
  <c r="C313" i="1"/>
  <c r="C319" i="1"/>
  <c r="C322" i="1"/>
  <c r="C323" i="1"/>
  <c r="C324" i="1"/>
  <c r="C325" i="1"/>
  <c r="C326" i="1"/>
  <c r="C327" i="1"/>
  <c r="C328" i="1"/>
  <c r="C335" i="1"/>
  <c r="C341" i="1"/>
  <c r="C342" i="1"/>
  <c r="C349" i="1"/>
  <c r="C362" i="1"/>
  <c r="C365" i="1"/>
  <c r="C369" i="1"/>
  <c r="C370" i="1"/>
  <c r="C373" i="1"/>
  <c r="C375" i="1"/>
  <c r="C381" i="1"/>
  <c r="C382" i="1"/>
  <c r="C383" i="1"/>
  <c r="C387" i="1"/>
  <c r="C388" i="1"/>
  <c r="C399" i="1"/>
  <c r="C417" i="1"/>
  <c r="C420" i="1"/>
  <c r="C426" i="1"/>
  <c r="C429" i="1"/>
  <c r="C433" i="1"/>
  <c r="C442" i="1"/>
  <c r="C445" i="1"/>
  <c r="C448" i="1"/>
  <c r="C450" i="1"/>
  <c r="C451" i="1"/>
  <c r="C452" i="1"/>
  <c r="C454" i="1"/>
  <c r="C456" i="1"/>
  <c r="C457" i="1"/>
  <c r="C463" i="1"/>
  <c r="C464" i="1"/>
  <c r="C467" i="1"/>
  <c r="C470" i="1"/>
  <c r="C471" i="1"/>
  <c r="C472" i="1"/>
  <c r="C474" i="1"/>
  <c r="C476" i="1"/>
  <c r="C479" i="1"/>
  <c r="C480" i="1"/>
  <c r="C484" i="1"/>
  <c r="C485" i="1"/>
  <c r="C491" i="1"/>
  <c r="C495" i="1"/>
  <c r="C496" i="1"/>
  <c r="C497" i="1"/>
  <c r="C500" i="1"/>
  <c r="C502" i="1"/>
  <c r="C503" i="1"/>
  <c r="C504" i="1"/>
  <c r="C507" i="1"/>
  <c r="C508" i="1"/>
  <c r="C518" i="1"/>
  <c r="C519" i="1"/>
  <c r="C520" i="1"/>
  <c r="C528" i="1"/>
  <c r="C529" i="1"/>
  <c r="C530" i="1"/>
  <c r="C533" i="1"/>
  <c r="C535" i="1"/>
  <c r="C540" i="1"/>
  <c r="C542" i="1"/>
  <c r="C544" i="1"/>
  <c r="C548" i="1"/>
  <c r="C549" i="1"/>
  <c r="C553" i="1"/>
  <c r="C559" i="1"/>
  <c r="C565" i="1"/>
  <c r="C566" i="1"/>
  <c r="C569" i="1"/>
  <c r="C579" i="1"/>
  <c r="C584" i="1"/>
  <c r="C586" i="1"/>
  <c r="C594" i="1"/>
  <c r="C595" i="1"/>
  <c r="C601" i="1"/>
  <c r="C603" i="1"/>
  <c r="C606" i="1"/>
  <c r="C612" i="1"/>
  <c r="C613" i="1"/>
  <c r="C631" i="1"/>
  <c r="C632" i="1"/>
  <c r="C633" i="1"/>
  <c r="C639" i="1"/>
  <c r="C641" i="1"/>
  <c r="C644" i="1"/>
  <c r="C648" i="1"/>
  <c r="C649" i="1"/>
  <c r="C650" i="1"/>
  <c r="C652" i="1"/>
  <c r="C661" i="1"/>
  <c r="C666" i="1"/>
  <c r="C668" i="1"/>
  <c r="C669" i="1"/>
  <c r="C670" i="1"/>
  <c r="C672" i="1"/>
  <c r="C674" i="1"/>
  <c r="C676" i="1"/>
  <c r="C681" i="1"/>
  <c r="C686" i="1"/>
  <c r="C688" i="1"/>
  <c r="C697" i="1"/>
  <c r="C703" i="1"/>
  <c r="C705" i="1"/>
  <c r="C709" i="1"/>
  <c r="C715" i="1"/>
  <c r="C716" i="1"/>
  <c r="C733" i="1"/>
  <c r="C751" i="1"/>
  <c r="C752" i="1"/>
  <c r="C755" i="1"/>
  <c r="C757" i="1"/>
  <c r="C758" i="1"/>
  <c r="C759" i="1"/>
  <c r="C760" i="1"/>
  <c r="C764" i="1"/>
  <c r="C768" i="1"/>
  <c r="C770" i="1"/>
  <c r="C771" i="1"/>
  <c r="C773" i="1"/>
  <c r="C774" i="1"/>
  <c r="C775" i="1"/>
  <c r="C776" i="1"/>
  <c r="C778" i="1"/>
  <c r="C779" i="1"/>
  <c r="C782" i="1"/>
  <c r="C783" i="1"/>
  <c r="C784" i="1"/>
  <c r="C785" i="1"/>
  <c r="C786" i="1"/>
  <c r="C787" i="1"/>
  <c r="C792" i="1"/>
  <c r="C794" i="1"/>
  <c r="C799" i="1"/>
  <c r="C761" i="1"/>
  <c r="C762" i="1"/>
  <c r="C763" i="1"/>
  <c r="C766" i="1"/>
  <c r="C767" i="1"/>
  <c r="C769" i="1"/>
  <c r="C788" i="1"/>
  <c r="C789" i="1"/>
  <c r="C790" i="1"/>
  <c r="C800" i="1"/>
  <c r="C23" i="1"/>
  <c r="C35" i="1"/>
  <c r="C39" i="1"/>
  <c r="C40" i="1"/>
  <c r="C42" i="1"/>
  <c r="C68" i="1"/>
  <c r="C103" i="1"/>
  <c r="C124" i="1"/>
  <c r="C127" i="1"/>
  <c r="C320" i="1"/>
  <c r="C145" i="1"/>
  <c r="C148" i="1"/>
  <c r="C157" i="1"/>
  <c r="C162" i="1"/>
  <c r="C179" i="1"/>
  <c r="C180" i="1"/>
  <c r="C198" i="1"/>
  <c r="C248" i="1"/>
  <c r="C260" i="1"/>
  <c r="C269" i="1"/>
  <c r="C280" i="1"/>
  <c r="C307" i="1"/>
  <c r="C316" i="1"/>
  <c r="C329" i="1"/>
  <c r="C332" i="1"/>
  <c r="C338" i="1"/>
  <c r="C379" i="1"/>
  <c r="C385" i="1"/>
  <c r="C389" i="1"/>
  <c r="C422" i="1"/>
  <c r="C446" i="1"/>
  <c r="C458" i="1"/>
  <c r="C460" i="1"/>
  <c r="C488" i="1"/>
  <c r="C515" i="1"/>
  <c r="C543" i="1"/>
  <c r="C545" i="1"/>
  <c r="C572" i="1"/>
  <c r="C575" i="1"/>
  <c r="C576" i="1"/>
  <c r="C580" i="1"/>
  <c r="C616" i="1"/>
  <c r="C620" i="1"/>
  <c r="C624" i="1"/>
  <c r="C637" i="1"/>
  <c r="C677" i="1"/>
  <c r="C678" i="1"/>
  <c r="C680" i="1"/>
  <c r="C692" i="1"/>
  <c r="C710" i="1"/>
  <c r="C711" i="1"/>
  <c r="C713" i="1"/>
  <c r="C721" i="1"/>
  <c r="C9" i="1"/>
  <c r="C13" i="1"/>
  <c r="C18" i="1"/>
  <c r="C21" i="1"/>
  <c r="C22" i="1"/>
  <c r="C29" i="1"/>
  <c r="C31" i="1"/>
  <c r="C33" i="1"/>
  <c r="C36" i="1"/>
  <c r="C55" i="1"/>
  <c r="C77" i="1"/>
  <c r="C85" i="1"/>
  <c r="C86" i="1"/>
  <c r="C94" i="1"/>
  <c r="C97" i="1"/>
  <c r="C99" i="1"/>
  <c r="C109" i="1"/>
  <c r="C110" i="1"/>
  <c r="C112" i="1"/>
  <c r="C116" i="1"/>
  <c r="C117" i="1"/>
  <c r="C118" i="1"/>
  <c r="C121" i="1"/>
  <c r="C129" i="1"/>
  <c r="C132" i="1"/>
  <c r="C134" i="1"/>
  <c r="C144" i="1"/>
  <c r="C146" i="1"/>
  <c r="C181" i="1"/>
  <c r="C195" i="1"/>
  <c r="C196" i="1"/>
  <c r="C197" i="1"/>
  <c r="C200" i="1"/>
  <c r="C201" i="1"/>
  <c r="C206" i="1"/>
  <c r="C207" i="1"/>
  <c r="C208" i="1"/>
  <c r="C224" i="1"/>
  <c r="C227" i="1"/>
  <c r="C239" i="1"/>
  <c r="C243" i="1"/>
  <c r="C257" i="1"/>
  <c r="C258" i="1"/>
  <c r="C261" i="1"/>
  <c r="C263" i="1"/>
  <c r="C266" i="1"/>
  <c r="C275" i="1"/>
  <c r="C276" i="1"/>
  <c r="C278" i="1"/>
  <c r="C281" i="1"/>
  <c r="C289" i="1"/>
  <c r="C290" i="1"/>
  <c r="C291" i="1"/>
  <c r="C292" i="1"/>
  <c r="C293" i="1"/>
  <c r="C296" i="1"/>
  <c r="C297" i="1"/>
  <c r="C301" i="1"/>
  <c r="C302" i="1"/>
  <c r="C304" i="1"/>
  <c r="C318" i="1"/>
  <c r="C321" i="1"/>
  <c r="C333" i="1"/>
  <c r="C337" i="1"/>
  <c r="C343" i="1"/>
  <c r="C347" i="1"/>
  <c r="C350" i="1"/>
  <c r="C351" i="1"/>
  <c r="C352" i="1"/>
  <c r="C353" i="1"/>
  <c r="C354" i="1"/>
  <c r="C355" i="1"/>
  <c r="C358" i="1"/>
  <c r="C360" i="1"/>
  <c r="C364" i="1"/>
  <c r="C366" i="1"/>
  <c r="C367" i="1"/>
  <c r="C372" i="1"/>
  <c r="C376" i="1"/>
  <c r="C377" i="1"/>
  <c r="C380" i="1"/>
  <c r="C384" i="1"/>
  <c r="C390" i="1"/>
  <c r="C391" i="1"/>
  <c r="C401" i="1"/>
  <c r="C403" i="1"/>
  <c r="C415" i="1"/>
  <c r="C416" i="1"/>
  <c r="C419" i="1"/>
  <c r="C421" i="1"/>
  <c r="C428" i="1"/>
  <c r="C431" i="1"/>
  <c r="C438" i="1"/>
  <c r="C441" i="1"/>
  <c r="C444" i="1"/>
  <c r="C449" i="1"/>
  <c r="C459" i="1"/>
  <c r="C461" i="1"/>
  <c r="C469" i="1"/>
  <c r="C481" i="1"/>
  <c r="C487" i="1"/>
  <c r="C493" i="1"/>
  <c r="C494" i="1"/>
  <c r="C505" i="1"/>
  <c r="C509" i="1"/>
  <c r="C511" i="1"/>
  <c r="C531" i="1"/>
  <c r="C541" i="1"/>
  <c r="C555" i="1"/>
  <c r="C556" i="1"/>
  <c r="C557" i="1"/>
  <c r="C564" i="1"/>
  <c r="C567" i="1"/>
  <c r="C568" i="1"/>
  <c r="C578" i="1"/>
  <c r="C581" i="1"/>
  <c r="C617" i="1"/>
  <c r="C623" i="1"/>
  <c r="C626" i="1"/>
  <c r="C628" i="1"/>
  <c r="C634" i="1"/>
  <c r="C653" i="1"/>
  <c r="C654" i="1"/>
  <c r="C667" i="1"/>
  <c r="C673" i="1"/>
  <c r="C679" i="1"/>
  <c r="C684" i="1"/>
  <c r="C685" i="1"/>
  <c r="C704" i="1"/>
  <c r="C708" i="1"/>
  <c r="C717" i="1"/>
  <c r="C718" i="1"/>
  <c r="C727" i="1"/>
  <c r="C741" i="1"/>
  <c r="C742" i="1"/>
  <c r="C743" i="1"/>
  <c r="C747" i="1"/>
  <c r="C748" i="1"/>
  <c r="C11" i="1"/>
  <c r="C12" i="1"/>
  <c r="C16" i="1"/>
  <c r="C25" i="1"/>
  <c r="C41" i="1"/>
  <c r="C43" i="1"/>
  <c r="C44" i="1"/>
  <c r="C8" i="1"/>
  <c r="C7" i="1"/>
  <c r="C6" i="1"/>
  <c r="C4" i="1"/>
  <c r="C2" i="1"/>
  <c r="D685" i="1" l="1"/>
  <c r="D364" i="1"/>
  <c r="D49" i="1"/>
  <c r="D646" i="1"/>
  <c r="D671" i="1"/>
  <c r="D570" i="1"/>
  <c r="D147" i="1"/>
  <c r="D311" i="1"/>
  <c r="D210" i="1"/>
  <c r="D516" i="1"/>
  <c r="D547" i="1"/>
  <c r="D478" i="1"/>
  <c r="D70" i="1"/>
  <c r="D71" i="1"/>
  <c r="D405" i="1"/>
  <c r="D267" i="1"/>
  <c r="D730" i="1"/>
  <c r="D5" i="1"/>
  <c r="D554" i="1"/>
  <c r="D395" i="1"/>
  <c r="D374" i="1"/>
  <c r="D796" i="1"/>
  <c r="D265" i="1"/>
  <c r="D521" i="1"/>
  <c r="D229" i="1"/>
  <c r="D108" i="1"/>
  <c r="D182" i="1"/>
  <c r="D57" i="1"/>
  <c r="D465" i="1"/>
  <c r="D538" i="1"/>
  <c r="D719" i="1"/>
  <c r="D357" i="1"/>
  <c r="D720" i="1"/>
  <c r="D492" i="1"/>
  <c r="D629" i="1"/>
  <c r="D694" i="1"/>
  <c r="D772" i="1"/>
  <c r="D550" i="1"/>
  <c r="D699" i="1"/>
  <c r="D791" i="1"/>
  <c r="D398" i="1"/>
  <c r="D658" i="1"/>
  <c r="D48" i="1"/>
  <c r="D356" i="1"/>
  <c r="D436" i="1"/>
  <c r="D660" i="1"/>
  <c r="D222" i="1"/>
  <c r="D240" i="1"/>
  <c r="D627" i="1"/>
  <c r="D268" i="1"/>
  <c r="D693" i="1"/>
  <c r="D430" i="1"/>
  <c r="D164" i="1"/>
  <c r="D707" i="1"/>
  <c r="D176" i="1"/>
  <c r="D75" i="1"/>
  <c r="D622" i="1"/>
  <c r="D413" i="1"/>
  <c r="D152" i="1"/>
  <c r="D706" i="1"/>
  <c r="D455" i="1"/>
  <c r="D412" i="1"/>
  <c r="D371" i="1"/>
  <c r="D247" i="1"/>
  <c r="D72" i="1"/>
  <c r="D551" i="1"/>
  <c r="D294" i="1"/>
  <c r="D63" i="1"/>
  <c r="D440" i="1"/>
  <c r="D749" i="1"/>
  <c r="D439" i="1"/>
  <c r="D111" i="1"/>
  <c r="D582" i="1"/>
  <c r="D522" i="1"/>
  <c r="D425" i="1"/>
  <c r="D662" i="1"/>
  <c r="D489" i="1"/>
  <c r="D414" i="1"/>
  <c r="D427" i="1"/>
  <c r="D163" i="1"/>
  <c r="D690" i="1"/>
  <c r="D564" i="1"/>
  <c r="D16" i="1"/>
  <c r="D487" i="1"/>
  <c r="D388" i="1"/>
  <c r="D4" i="1"/>
  <c r="D727" i="1"/>
  <c r="D673" i="1"/>
  <c r="D354" i="1"/>
  <c r="D333" i="1"/>
  <c r="D97" i="1"/>
  <c r="D42" i="1"/>
  <c r="D794" i="1"/>
  <c r="D697" i="1"/>
  <c r="D644" i="1"/>
  <c r="D43" i="1"/>
  <c r="D505" i="1"/>
  <c r="D449" i="1"/>
  <c r="D360" i="1"/>
  <c r="D301" i="1"/>
  <c r="D257" i="1"/>
  <c r="D134" i="1"/>
  <c r="D55" i="1"/>
  <c r="D678" i="1"/>
  <c r="D575" i="1"/>
  <c r="D316" i="1"/>
  <c r="D800" i="1"/>
  <c r="D784" i="1"/>
  <c r="D758" i="1"/>
  <c r="D709" i="1"/>
  <c r="D674" i="1"/>
  <c r="D650" i="1"/>
  <c r="D631" i="1"/>
  <c r="D586" i="1"/>
  <c r="D549" i="1"/>
  <c r="D529" i="1"/>
  <c r="D503" i="1"/>
  <c r="D484" i="1"/>
  <c r="D467" i="1"/>
  <c r="D450" i="1"/>
  <c r="D420" i="1"/>
  <c r="D375" i="1"/>
  <c r="D341" i="1"/>
  <c r="D140" i="1"/>
  <c r="D120" i="1"/>
  <c r="D98" i="1"/>
  <c r="D69" i="1"/>
  <c r="D45" i="1"/>
  <c r="D736" i="1"/>
  <c r="D675" i="1"/>
  <c r="D614" i="1"/>
  <c r="D602" i="1"/>
  <c r="D589" i="1"/>
  <c r="D524" i="1"/>
  <c r="D468" i="1"/>
  <c r="D404" i="1"/>
  <c r="D345" i="1"/>
  <c r="D287" i="1"/>
  <c r="D231" i="1"/>
  <c r="D185" i="1"/>
  <c r="D136" i="1"/>
  <c r="D384" i="1"/>
  <c r="D322" i="1"/>
  <c r="D298" i="1"/>
  <c r="D262" i="1"/>
  <c r="D228" i="1"/>
  <c r="D204" i="1"/>
  <c r="D172" i="1"/>
  <c r="D41" i="1"/>
  <c r="D742" i="1"/>
  <c r="D684" i="1"/>
  <c r="D626" i="1"/>
  <c r="D557" i="1"/>
  <c r="D494" i="1"/>
  <c r="D444" i="1"/>
  <c r="D416" i="1"/>
  <c r="D380" i="1"/>
  <c r="D358" i="1"/>
  <c r="D343" i="1"/>
  <c r="D297" i="1"/>
  <c r="D278" i="1"/>
  <c r="D243" i="1"/>
  <c r="D200" i="1"/>
  <c r="D132" i="1"/>
  <c r="D109" i="1"/>
  <c r="D36" i="1"/>
  <c r="D9" i="1"/>
  <c r="D677" i="1"/>
  <c r="D572" i="1"/>
  <c r="D422" i="1"/>
  <c r="D307" i="1"/>
  <c r="D162" i="1"/>
  <c r="D68" i="1"/>
  <c r="D790" i="1"/>
  <c r="D761" i="1"/>
  <c r="D783" i="1"/>
  <c r="D771" i="1"/>
  <c r="D757" i="1"/>
  <c r="D705" i="1"/>
  <c r="D672" i="1"/>
  <c r="D649" i="1"/>
  <c r="D613" i="1"/>
  <c r="D584" i="1"/>
  <c r="D548" i="1"/>
  <c r="D528" i="1"/>
  <c r="D502" i="1"/>
  <c r="D480" i="1"/>
  <c r="D464" i="1"/>
  <c r="D448" i="1"/>
  <c r="D417" i="1"/>
  <c r="D373" i="1"/>
  <c r="D335" i="1"/>
  <c r="D319" i="1"/>
  <c r="D284" i="1"/>
  <c r="D259" i="1"/>
  <c r="D225" i="1"/>
  <c r="D203" i="1"/>
  <c r="D169" i="1"/>
  <c r="D139" i="1"/>
  <c r="D119" i="1"/>
  <c r="D96" i="1"/>
  <c r="D66" i="1"/>
  <c r="D26" i="1"/>
  <c r="D735" i="1"/>
  <c r="D664" i="1"/>
  <c r="D611" i="1"/>
  <c r="D600" i="1"/>
  <c r="D588" i="1"/>
  <c r="D514" i="1"/>
  <c r="D466" i="1"/>
  <c r="D400" i="1"/>
  <c r="D344" i="1"/>
  <c r="D285" i="1"/>
  <c r="D230" i="1"/>
  <c r="D177" i="1"/>
  <c r="D135" i="1"/>
  <c r="D227" i="1"/>
  <c r="D31" i="1"/>
  <c r="D543" i="1"/>
  <c r="D148" i="1"/>
  <c r="D779" i="1"/>
  <c r="D606" i="1"/>
  <c r="D569" i="1"/>
  <c r="D743" i="1"/>
  <c r="D628" i="1"/>
  <c r="D419" i="1"/>
  <c r="D347" i="1"/>
  <c r="D281" i="1"/>
  <c r="D201" i="1"/>
  <c r="D110" i="1"/>
  <c r="D13" i="1"/>
  <c r="D446" i="1"/>
  <c r="D179" i="1"/>
  <c r="D103" i="1"/>
  <c r="D762" i="1"/>
  <c r="D773" i="1"/>
  <c r="D2" i="1"/>
  <c r="D76" i="1"/>
  <c r="D745" i="1"/>
  <c r="D659" i="1"/>
  <c r="D202" i="1"/>
  <c r="D701" i="1"/>
  <c r="D87" i="1"/>
  <c r="D682" i="1"/>
  <c r="D205" i="1"/>
  <c r="D552" i="1"/>
  <c r="D199" i="1"/>
  <c r="D235" i="1"/>
  <c r="D740" i="1"/>
  <c r="D537" i="1"/>
  <c r="D793" i="1"/>
  <c r="D411" i="1"/>
  <c r="D188" i="1"/>
  <c r="D725" i="1"/>
  <c r="D558" i="1"/>
  <c r="D295" i="1"/>
  <c r="D618" i="1"/>
  <c r="D363" i="1"/>
  <c r="D270" i="1"/>
  <c r="D114" i="1"/>
  <c r="D397" i="1"/>
  <c r="D483" i="1"/>
  <c r="D271" i="1"/>
  <c r="D32" i="1"/>
  <c r="D726" i="1"/>
  <c r="D51" i="1"/>
  <c r="D212" i="1"/>
  <c r="D499" i="1"/>
  <c r="D738" i="1"/>
  <c r="D696" i="1"/>
  <c r="D665" i="1"/>
  <c r="D34" i="1"/>
  <c r="D525" i="1"/>
  <c r="D647" i="1"/>
  <c r="D67" i="1"/>
  <c r="D447" i="1"/>
  <c r="D574" i="1"/>
  <c r="D753" i="1"/>
  <c r="D546" i="1"/>
  <c r="D437" i="1"/>
  <c r="D625" i="1"/>
  <c r="D83" i="1"/>
  <c r="D453" i="1"/>
  <c r="D81" i="1"/>
  <c r="D61" i="1"/>
  <c r="D798" i="1"/>
  <c r="D781" i="1"/>
  <c r="D308" i="1"/>
  <c r="D226" i="1"/>
  <c r="D82" i="1"/>
  <c r="D562" i="1"/>
  <c r="D315" i="1"/>
  <c r="D691" i="1"/>
  <c r="D89" i="1"/>
  <c r="D104" i="1"/>
  <c r="D797" i="1"/>
  <c r="D175" i="1"/>
  <c r="D178" i="1"/>
  <c r="D165" i="1"/>
  <c r="D17" i="1"/>
  <c r="D729" i="1"/>
  <c r="D408" i="1"/>
  <c r="D19" i="1"/>
  <c r="D236" i="1"/>
  <c r="D330" i="1"/>
  <c r="D700" i="1"/>
  <c r="D219" i="1"/>
  <c r="D361" i="1"/>
  <c r="D560" i="1"/>
  <c r="D746" i="1"/>
  <c r="D237" i="1"/>
  <c r="D656" i="1"/>
  <c r="D615" i="1"/>
  <c r="D795" i="1"/>
  <c r="D368" i="1"/>
  <c r="D619" i="1"/>
  <c r="D744" i="1"/>
  <c r="D286" i="1"/>
  <c r="D155" i="1"/>
  <c r="D138" i="1"/>
  <c r="D577" i="1"/>
  <c r="D73" i="1"/>
  <c r="D255" i="1"/>
  <c r="D101" i="1"/>
  <c r="D765" i="1"/>
  <c r="D27" i="1"/>
  <c r="D423" i="1"/>
  <c r="D38" i="1"/>
  <c r="D655" i="1"/>
  <c r="D167" i="1"/>
  <c r="D192" i="1"/>
  <c r="D801" i="1"/>
  <c r="D394" i="1"/>
  <c r="D513" i="1"/>
  <c r="D645" i="1"/>
  <c r="D532" i="1"/>
  <c r="D724" i="1"/>
  <c r="D166" i="1"/>
  <c r="D54" i="1"/>
  <c r="D60" i="1"/>
  <c r="D91" i="1"/>
  <c r="D50" i="1"/>
  <c r="D30" i="1"/>
  <c r="D593" i="1"/>
  <c r="D64" i="1"/>
  <c r="D331" i="1"/>
  <c r="D407" i="1"/>
  <c r="D657" i="1"/>
  <c r="D621" i="1"/>
  <c r="D250" i="1"/>
  <c r="D46" i="1"/>
  <c r="D170" i="1"/>
  <c r="D410" i="1"/>
  <c r="D434" i="1"/>
  <c r="D187" i="1"/>
  <c r="D663" i="1"/>
  <c r="D501" i="1"/>
  <c r="D254" i="1"/>
  <c r="D56" i="1"/>
  <c r="D756" i="1"/>
  <c r="D571" i="1"/>
  <c r="D58" i="1"/>
  <c r="D750" i="1"/>
  <c r="D695" i="1"/>
  <c r="D723" i="1"/>
  <c r="D517" i="1"/>
  <c r="D151" i="1"/>
  <c r="D339" i="1"/>
  <c r="D780" i="1"/>
  <c r="D510" i="1"/>
  <c r="D171" i="1"/>
  <c r="D475" i="1"/>
  <c r="D526" i="1"/>
  <c r="D777" i="1"/>
  <c r="D728" i="1"/>
  <c r="D220" i="1"/>
  <c r="D424" i="1"/>
  <c r="D143" i="1"/>
  <c r="D10" i="1"/>
  <c r="D274" i="1"/>
  <c r="D78" i="1"/>
  <c r="D643" i="1"/>
  <c r="D153" i="1"/>
  <c r="D687" i="1"/>
  <c r="D233" i="1"/>
  <c r="D739" i="1"/>
  <c r="D336" i="1"/>
  <c r="D37" i="1"/>
  <c r="D88" i="1"/>
  <c r="D651" i="1"/>
  <c r="D392" i="1"/>
  <c r="D714" i="1"/>
  <c r="D334" i="1"/>
  <c r="D592" i="1"/>
  <c r="D28" i="1"/>
  <c r="D534" i="1"/>
  <c r="D698" i="1"/>
  <c r="D523" i="1"/>
  <c r="D402" i="1"/>
  <c r="D396" i="1"/>
  <c r="D722" i="1"/>
  <c r="D84" i="1"/>
  <c r="D409" i="1"/>
  <c r="D191" i="1"/>
  <c r="D573" i="1"/>
  <c r="D536" i="1"/>
  <c r="D498" i="1"/>
  <c r="D14" i="1"/>
  <c r="D563" i="1"/>
  <c r="D317" i="1"/>
  <c r="D256" i="1"/>
  <c r="D246" i="1"/>
  <c r="D712" i="1"/>
  <c r="D25" i="1"/>
  <c r="D741" i="1"/>
  <c r="D679" i="1"/>
  <c r="D623" i="1"/>
  <c r="D556" i="1"/>
  <c r="D493" i="1"/>
  <c r="D441" i="1"/>
  <c r="D415" i="1"/>
  <c r="D377" i="1"/>
  <c r="D355" i="1"/>
  <c r="D337" i="1"/>
  <c r="D296" i="1"/>
  <c r="D276" i="1"/>
  <c r="D239" i="1"/>
  <c r="D197" i="1"/>
  <c r="D129" i="1"/>
  <c r="D99" i="1"/>
  <c r="D33" i="1"/>
  <c r="D721" i="1"/>
  <c r="D637" i="1"/>
  <c r="D545" i="1"/>
  <c r="D389" i="1"/>
  <c r="D280" i="1"/>
  <c r="D157" i="1"/>
  <c r="D789" i="1"/>
  <c r="D799" i="1"/>
  <c r="D782" i="1"/>
  <c r="D770" i="1"/>
  <c r="D755" i="1"/>
  <c r="D703" i="1"/>
  <c r="D670" i="1"/>
  <c r="D648" i="1"/>
  <c r="D612" i="1"/>
  <c r="D579" i="1"/>
  <c r="D544" i="1"/>
  <c r="D520" i="1"/>
  <c r="D500" i="1"/>
  <c r="D479" i="1"/>
  <c r="D463" i="1"/>
  <c r="D445" i="1"/>
  <c r="D399" i="1"/>
  <c r="D370" i="1"/>
  <c r="D328" i="1"/>
  <c r="D313" i="1"/>
  <c r="D283" i="1"/>
  <c r="D253" i="1"/>
  <c r="D221" i="1"/>
  <c r="D190" i="1"/>
  <c r="D168" i="1"/>
  <c r="D137" i="1"/>
  <c r="D115" i="1"/>
  <c r="D93" i="1"/>
  <c r="D65" i="1"/>
  <c r="D24" i="1"/>
  <c r="D734" i="1"/>
  <c r="D642" i="1"/>
  <c r="D610" i="1"/>
  <c r="D599" i="1"/>
  <c r="D587" i="1"/>
  <c r="D512" i="1"/>
  <c r="D462" i="1"/>
  <c r="D393" i="1"/>
  <c r="D340" i="1"/>
  <c r="D277" i="1"/>
  <c r="D223" i="1"/>
  <c r="D174" i="1"/>
  <c r="D133" i="1"/>
  <c r="D617" i="1"/>
  <c r="D275" i="1"/>
  <c r="D624" i="1"/>
  <c r="D269" i="1"/>
  <c r="D788" i="1"/>
  <c r="D752" i="1"/>
  <c r="D497" i="1"/>
  <c r="D442" i="1"/>
  <c r="D369" i="1"/>
  <c r="D218" i="1"/>
  <c r="D161" i="1"/>
  <c r="D130" i="1"/>
  <c r="D113" i="1"/>
  <c r="D92" i="1"/>
  <c r="D62" i="1"/>
  <c r="D20" i="1"/>
  <c r="D732" i="1"/>
  <c r="D640" i="1"/>
  <c r="D609" i="1"/>
  <c r="D598" i="1"/>
  <c r="D585" i="1"/>
  <c r="D506" i="1"/>
  <c r="D443" i="1"/>
  <c r="D386" i="1"/>
  <c r="D314" i="1"/>
  <c r="D251" i="1"/>
  <c r="D217" i="1"/>
  <c r="D159" i="1"/>
  <c r="D131" i="1"/>
  <c r="D6" i="1"/>
  <c r="D12" i="1"/>
  <c r="D718" i="1"/>
  <c r="D667" i="1"/>
  <c r="D541" i="1"/>
  <c r="D403" i="1"/>
  <c r="D372" i="1"/>
  <c r="D353" i="1"/>
  <c r="D321" i="1"/>
  <c r="D292" i="1"/>
  <c r="D266" i="1"/>
  <c r="D224" i="1"/>
  <c r="D195" i="1"/>
  <c r="D118" i="1"/>
  <c r="D94" i="1"/>
  <c r="D29" i="1"/>
  <c r="D711" i="1"/>
  <c r="D620" i="1"/>
  <c r="D515" i="1"/>
  <c r="D379" i="1"/>
  <c r="D260" i="1"/>
  <c r="D145" i="1"/>
  <c r="D40" i="1"/>
  <c r="D769" i="1"/>
  <c r="D792" i="1"/>
  <c r="D778" i="1"/>
  <c r="D751" i="1"/>
  <c r="D688" i="1"/>
  <c r="D668" i="1"/>
  <c r="D641" i="1"/>
  <c r="D603" i="1"/>
  <c r="D566" i="1"/>
  <c r="D540" i="1"/>
  <c r="D518" i="1"/>
  <c r="D496" i="1"/>
  <c r="D474" i="1"/>
  <c r="D456" i="1"/>
  <c r="D433" i="1"/>
  <c r="D387" i="1"/>
  <c r="D365" i="1"/>
  <c r="D326" i="1"/>
  <c r="D309" i="1"/>
  <c r="D279" i="1"/>
  <c r="D244" i="1"/>
  <c r="D214" i="1"/>
  <c r="D186" i="1"/>
  <c r="D160" i="1"/>
  <c r="D128" i="1"/>
  <c r="D106" i="1"/>
  <c r="D90" i="1"/>
  <c r="D59" i="1"/>
  <c r="D15" i="1"/>
  <c r="D731" i="1"/>
  <c r="D638" i="1"/>
  <c r="D608" i="1"/>
  <c r="D597" i="1"/>
  <c r="D583" i="1"/>
  <c r="D490" i="1"/>
  <c r="D435" i="1"/>
  <c r="D378" i="1"/>
  <c r="D310" i="1"/>
  <c r="D249" i="1"/>
  <c r="D216" i="1"/>
  <c r="D158" i="1"/>
  <c r="D122" i="1"/>
  <c r="D555" i="1"/>
  <c r="D376" i="1"/>
  <c r="D293" i="1"/>
  <c r="D121" i="1"/>
  <c r="D581" i="1"/>
  <c r="D481" i="1"/>
  <c r="D431" i="1"/>
  <c r="D7" i="1"/>
  <c r="D11" i="1"/>
  <c r="D717" i="1"/>
  <c r="D654" i="1"/>
  <c r="D578" i="1"/>
  <c r="D531" i="1"/>
  <c r="D469" i="1"/>
  <c r="D401" i="1"/>
  <c r="D367" i="1"/>
  <c r="D352" i="1"/>
  <c r="D318" i="1"/>
  <c r="D291" i="1"/>
  <c r="D263" i="1"/>
  <c r="D208" i="1"/>
  <c r="D181" i="1"/>
  <c r="D117" i="1"/>
  <c r="D86" i="1"/>
  <c r="D22" i="1"/>
  <c r="D710" i="1"/>
  <c r="D616" i="1"/>
  <c r="D488" i="1"/>
  <c r="D338" i="1"/>
  <c r="D248" i="1"/>
  <c r="D320" i="1"/>
  <c r="D39" i="1"/>
  <c r="D767" i="1"/>
  <c r="D787" i="1"/>
  <c r="D776" i="1"/>
  <c r="D764" i="1"/>
  <c r="D733" i="1"/>
  <c r="D686" i="1"/>
  <c r="D666" i="1"/>
  <c r="D639" i="1"/>
  <c r="D601" i="1"/>
  <c r="D565" i="1"/>
  <c r="D535" i="1"/>
  <c r="D508" i="1"/>
  <c r="D495" i="1"/>
  <c r="D472" i="1"/>
  <c r="D454" i="1"/>
  <c r="D429" i="1"/>
  <c r="D383" i="1"/>
  <c r="D362" i="1"/>
  <c r="D325" i="1"/>
  <c r="D306" i="1"/>
  <c r="D273" i="1"/>
  <c r="D241" i="1"/>
  <c r="D213" i="1"/>
  <c r="D184" i="1"/>
  <c r="D150" i="1"/>
  <c r="D126" i="1"/>
  <c r="D105" i="1"/>
  <c r="D80" i="1"/>
  <c r="D53" i="1"/>
  <c r="D3" i="1"/>
  <c r="D702" i="1"/>
  <c r="D636" i="1"/>
  <c r="D607" i="1"/>
  <c r="D596" i="1"/>
  <c r="D561" i="1"/>
  <c r="D482" i="1"/>
  <c r="D432" i="1"/>
  <c r="D359" i="1"/>
  <c r="D300" i="1"/>
  <c r="D245" i="1"/>
  <c r="D215" i="1"/>
  <c r="D156" i="1"/>
  <c r="D107" i="1"/>
  <c r="D312" i="1"/>
  <c r="D252" i="1"/>
  <c r="D8" i="1"/>
  <c r="D653" i="1"/>
  <c r="D461" i="1"/>
  <c r="D391" i="1"/>
  <c r="D366" i="1"/>
  <c r="D351" i="1"/>
  <c r="D304" i="1"/>
  <c r="D290" i="1"/>
  <c r="D261" i="1"/>
  <c r="D207" i="1"/>
  <c r="D146" i="1"/>
  <c r="D116" i="1"/>
  <c r="D85" i="1"/>
  <c r="D21" i="1"/>
  <c r="D692" i="1"/>
  <c r="D580" i="1"/>
  <c r="D460" i="1"/>
  <c r="D332" i="1"/>
  <c r="D198" i="1"/>
  <c r="D127" i="1"/>
  <c r="D35" i="1"/>
  <c r="D766" i="1"/>
  <c r="D786" i="1"/>
  <c r="D775" i="1"/>
  <c r="D760" i="1"/>
  <c r="D716" i="1"/>
  <c r="D681" i="1"/>
  <c r="D661" i="1"/>
  <c r="D633" i="1"/>
  <c r="D595" i="1"/>
  <c r="D559" i="1"/>
  <c r="D533" i="1"/>
  <c r="D507" i="1"/>
  <c r="D491" i="1"/>
  <c r="D471" i="1"/>
  <c r="D452" i="1"/>
  <c r="D382" i="1"/>
  <c r="D349" i="1"/>
  <c r="D324" i="1"/>
  <c r="D305" i="1"/>
  <c r="D272" i="1"/>
  <c r="D238" i="1"/>
  <c r="D211" i="1"/>
  <c r="D183" i="1"/>
  <c r="D149" i="1"/>
  <c r="D125" i="1"/>
  <c r="D102" i="1"/>
  <c r="D79" i="1"/>
  <c r="D52" i="1"/>
  <c r="D754" i="1"/>
  <c r="D689" i="1"/>
  <c r="D635" i="1"/>
  <c r="D605" i="1"/>
  <c r="D591" i="1"/>
  <c r="D539" i="1"/>
  <c r="D477" i="1"/>
  <c r="D418" i="1"/>
  <c r="D348" i="1"/>
  <c r="D299" i="1"/>
  <c r="D242" i="1"/>
  <c r="D194" i="1"/>
  <c r="D154" i="1"/>
  <c r="D95" i="1"/>
  <c r="D438" i="1"/>
  <c r="D196" i="1"/>
  <c r="D713" i="1"/>
  <c r="D385" i="1"/>
  <c r="D768" i="1"/>
  <c r="D669" i="1"/>
  <c r="D542" i="1"/>
  <c r="D519" i="1"/>
  <c r="D476" i="1"/>
  <c r="D457" i="1"/>
  <c r="D327" i="1"/>
  <c r="D282" i="1"/>
  <c r="D189" i="1"/>
  <c r="D748" i="1"/>
  <c r="D708" i="1"/>
  <c r="D568" i="1"/>
  <c r="D511" i="1"/>
  <c r="D428" i="1"/>
  <c r="D44" i="1"/>
  <c r="D747" i="1"/>
  <c r="D704" i="1"/>
  <c r="D634" i="1"/>
  <c r="D567" i="1"/>
  <c r="D509" i="1"/>
  <c r="D459" i="1"/>
  <c r="D421" i="1"/>
  <c r="D390" i="1"/>
  <c r="D350" i="1"/>
  <c r="D302" i="1"/>
  <c r="D289" i="1"/>
  <c r="D258" i="1"/>
  <c r="D206" i="1"/>
  <c r="D144" i="1"/>
  <c r="D112" i="1"/>
  <c r="D77" i="1"/>
  <c r="D18" i="1"/>
  <c r="D680" i="1"/>
  <c r="D576" i="1"/>
  <c r="D458" i="1"/>
  <c r="D329" i="1"/>
  <c r="D180" i="1"/>
  <c r="D124" i="1"/>
  <c r="D23" i="1"/>
  <c r="D763" i="1"/>
  <c r="D785" i="1"/>
  <c r="D774" i="1"/>
  <c r="D759" i="1"/>
  <c r="D715" i="1"/>
  <c r="D676" i="1"/>
  <c r="D652" i="1"/>
  <c r="D632" i="1"/>
  <c r="D594" i="1"/>
  <c r="D553" i="1"/>
  <c r="D530" i="1"/>
  <c r="D504" i="1"/>
  <c r="D485" i="1"/>
  <c r="D470" i="1"/>
  <c r="D451" i="1"/>
  <c r="D426" i="1"/>
  <c r="D381" i="1"/>
  <c r="D342" i="1"/>
  <c r="D323" i="1"/>
  <c r="D303" i="1"/>
  <c r="D264" i="1"/>
  <c r="D232" i="1"/>
  <c r="D209" i="1"/>
  <c r="D173" i="1"/>
  <c r="D141" i="1"/>
  <c r="D123" i="1"/>
  <c r="D100" i="1"/>
  <c r="D74" i="1"/>
  <c r="D47" i="1"/>
  <c r="D737" i="1"/>
  <c r="D683" i="1"/>
  <c r="D630" i="1"/>
  <c r="D604" i="1"/>
  <c r="D590" i="1"/>
  <c r="D527" i="1"/>
  <c r="D473" i="1"/>
  <c r="D406" i="1"/>
  <c r="D346" i="1"/>
  <c r="D288" i="1"/>
  <c r="D234" i="1"/>
  <c r="D193" i="1"/>
  <c r="D142" i="1"/>
  <c r="D486" i="1"/>
  <c r="K22" i="1"/>
  <c r="K21" i="1"/>
  <c r="K20" i="1"/>
  <c r="K19" i="1"/>
  <c r="K18" i="1"/>
  <c r="K23" i="1" l="1"/>
</calcChain>
</file>

<file path=xl/sharedStrings.xml><?xml version="1.0" encoding="utf-8"?>
<sst xmlns="http://schemas.openxmlformats.org/spreadsheetml/2006/main" count="5329" uniqueCount="1086">
  <si>
    <t>Empfehlung</t>
  </si>
  <si>
    <t>Status</t>
  </si>
  <si>
    <t>Linktext</t>
  </si>
  <si>
    <t>Linkart</t>
  </si>
  <si>
    <t>lassen</t>
  </si>
  <si>
    <t>gelöscht</t>
  </si>
  <si>
    <t>löschen</t>
  </si>
  <si>
    <t>Unbearbeitet</t>
  </si>
  <si>
    <t>Projekt</t>
  </si>
  <si>
    <t>Verlinkende URL</t>
  </si>
  <si>
    <t>ändern</t>
  </si>
  <si>
    <t>hier</t>
  </si>
  <si>
    <t>Homepage</t>
  </si>
  <si>
    <t>Sonstiges</t>
  </si>
  <si>
    <t>n/a</t>
  </si>
  <si>
    <t>Webseite</t>
  </si>
  <si>
    <t>http://www.bc.ag/html/partner.html</t>
  </si>
  <si>
    <t>http://www.easterngraphics.com/pcon/ru/pcon-update-ofml/</t>
  </si>
  <si>
    <t>http://www.h-und-k.de/links.htm</t>
  </si>
  <si>
    <t>http://www.jabe-dresden.de/Produkte.7.0.html</t>
  </si>
  <si>
    <t>zum hersteller</t>
  </si>
  <si>
    <t>http://www.muehlmann-online.com/index.php/hersteller</t>
  </si>
  <si>
    <t>http://www.officeline-gmbh.de/home/unternehmen/partner/</t>
  </si>
  <si>
    <t>http://www.pape-rohde.de/hersteller</t>
  </si>
  <si>
    <t>http://www.steppe-ambiente.de/index.php/partner</t>
  </si>
  <si>
    <t>Branchenverzeichnis</t>
  </si>
  <si>
    <t>URL</t>
  </si>
  <si>
    <t>Logo</t>
  </si>
  <si>
    <t>SMV</t>
  </si>
  <si>
    <t>http://www.b2b-katalog.de/a/arbeitsstuhle/</t>
  </si>
  <si>
    <t>http://b2b-katalog.de/o/objekteinrichtungen/</t>
  </si>
  <si>
    <t>https://www.ton-objekt.de/marken/</t>
  </si>
  <si>
    <t>http://www.buero-profil.de/unser-lieferantenverzeichnis</t>
  </si>
  <si>
    <t>https://www.zoellner-office.de/unsere-partner/</t>
  </si>
  <si>
    <t>https://www.kompass-nachhaltigkeit.de/kommunaler-kompass/hamburg/holz-holzprodukte/stuehle/?L=0</t>
  </si>
  <si>
    <t>https://www.mittelstand-ostwestfalen.de/branchenbuch/</t>
  </si>
  <si>
    <t>http://www.nzp.ch/de/kommunikations-trainings/referenzen/details/?itemid=838</t>
  </si>
  <si>
    <t>https://www.dk-buerowohndesign.de/index.php/hersteller</t>
  </si>
  <si>
    <t>https://www.bw-officeworld.de/partner/</t>
  </si>
  <si>
    <t>https://www.buerohaus-feuerstein.de/partner/</t>
  </si>
  <si>
    <t>https://www.moderne-buerowelten.de/objekteinrichtung/buero-objekteinrichtung/</t>
  </si>
  <si>
    <t>https://www.kathan-ergonomie.de/partner-2/</t>
  </si>
  <si>
    <t>http://www.xn--neumaier-bro-mlb.de/hersteller-39.html</t>
  </si>
  <si>
    <t>https://www.buero-stiegler.de/</t>
  </si>
  <si>
    <t>http://www.madlines.info/hoher-rucken-akzentstuhle</t>
  </si>
  <si>
    <t>http://augenhoehe-wege.de/unterstuetzer/unternehmen/</t>
  </si>
  <si>
    <t>https://srbconsulting.de/hersteller/</t>
  </si>
  <si>
    <t>http://hompage-wert.de/smv-gmbh.de.html</t>
  </si>
  <si>
    <t>http://www.zukunft-personal.de/de/zp16/agenda/highlights-events/arbeitsweltenhr-design-by-hcd/</t>
  </si>
  <si>
    <t>http://www.hrm-expo.com/de/zp17/agenda/highlights-events/arbeitsweltenhr-design-by-hcd/</t>
  </si>
  <si>
    <t>http://www.onlineobchody.com/fff.php?q=praktiker%20zittau</t>
  </si>
  <si>
    <t>https://greabauer.de/impressum/</t>
  </si>
  <si>
    <t>http://firmenschau.com/firmenverzeichnis/nordrhein-westfalen/loehne/seite12/</t>
  </si>
  <si>
    <t>http://office-roxx.de/top-adressen-fuer-die-bueroausstattung/</t>
  </si>
  <si>
    <t>http://bfw-wst.com/index.php/ueber-uns/lieferanten/</t>
  </si>
  <si>
    <t>https://witte-dresden.de/de/bueromoebel/partner.html</t>
  </si>
  <si>
    <t>http://legler-ok.de/unternehmen/partner/</t>
  </si>
  <si>
    <t>http://www.ci-konzepte.de/</t>
  </si>
  <si>
    <t>http://kohlsmann.de/bueromoebel/</t>
  </si>
  <si>
    <t>http://auf-deutschland.net/132947310071635/</t>
  </si>
  <si>
    <t>http://sandra-wilms.de/2016/09/21/rueckblick-augenhoehe-film-und-dialog-bei-smv-wohlsitzen/</t>
  </si>
  <si>
    <t>https://www.bueroprofil.de/unser-lieferantenverzeichnis</t>
  </si>
  <si>
    <t>http://hsvlimos.com/w_Dima+Nrw/</t>
  </si>
  <si>
    <t>https://wema-raumkonzepte.de/partner-lieferanten/</t>
  </si>
  <si>
    <t>http://ausstellerdaten.de/express/0271/2012/de/S.html</t>
  </si>
  <si>
    <t>http://3d-product-configuration.com/en/about-us/references.html</t>
  </si>
  <si>
    <t>http://www.hjwbankundbuero.de/20861.html</t>
  </si>
  <si>
    <t>http://www.hjw-online.de/20861.html</t>
  </si>
  <si>
    <t>http://pcon-portal.de/about_office.html</t>
  </si>
  <si>
    <t>http://xn--tbs-broservice-ksb.de/unternehmen.html</t>
  </si>
  <si>
    <t>http://brand-feuer.de/?title=Schwer_entflammbare_Sitz-_und_Objektm%C3%B6bel</t>
  </si>
  <si>
    <t>http://www.msl-office.de/</t>
  </si>
  <si>
    <t>http://offenbacher-wirtschaft.de/zeitlose-sitzgelegenheit/</t>
  </si>
  <si>
    <t>http://firmex.biz/SMV_Wohlsitzen_Loehne_detail_122592.html</t>
  </si>
  <si>
    <t>https://wema-buero.de/partner/</t>
  </si>
  <si>
    <t>http://obhl.de/de/55/garderobe-umkleide.html</t>
  </si>
  <si>
    <t>http://bents.de/bueromoebel/unsere-lieferanten-partner.html</t>
  </si>
  <si>
    <t>http://www.xn--smv-sitzmbel-djb.de/</t>
  </si>
  <si>
    <t>http://www.xn--smv-drehsthle-5ob.de/</t>
  </si>
  <si>
    <t>http://activsit.com/SMV.html</t>
  </si>
  <si>
    <t>Partner</t>
  </si>
  <si>
    <t>http://aquamagica.de/veranstaltungen/poetischequellen/</t>
  </si>
  <si>
    <t>http://broders-knigge.de/arbeitswelten/</t>
  </si>
  <si>
    <t>http://www.buerocenter-ruecker.de/partner.php</t>
  </si>
  <si>
    <t>http://www.kruegereinrichtungen.de/de/102078-Kollektionen</t>
  </si>
  <si>
    <t>http://www.bit-technik.com/produkte/moebel.htm</t>
  </si>
  <si>
    <t>http://www.bit-technik-ohg.de/produkte/moebel.htm</t>
  </si>
  <si>
    <t>http://www.jobkicks.de/stellenangebote/löhne/ausbildung</t>
  </si>
  <si>
    <t>http://www.reintextur.de/</t>
  </si>
  <si>
    <t>http://www.industrystock.jp/html/product-service-jp-71779-0.html</t>
  </si>
  <si>
    <t>http://www.industrystock.ru/html/product-service-ru-113883-0.html</t>
  </si>
  <si>
    <t>http://www.buero-und-betrieb.com/adressen/smv__308.php</t>
  </si>
  <si>
    <t>http://www.industrystock.de/html/Barhocker/product-result-de-113883-0.html</t>
  </si>
  <si>
    <t>Startseite - SMV</t>
  </si>
  <si>
    <t>http://www.smv-gmbh.de/de/</t>
  </si>
  <si>
    <t>https://www.papierfischer.de/marken/s/smv.html</t>
  </si>
  <si>
    <t>http://www.handwerker-in.de/web/brandschutz/bremerhaven.html</t>
  </si>
  <si>
    <t>http://www.officemaxx-ruecker.de/partner.php</t>
  </si>
  <si>
    <t>http://www.industrystock.ae/html/product-service-ar-113883-0.html</t>
  </si>
  <si>
    <t>http://www.buende.com/sus/referenz.htm</t>
  </si>
  <si>
    <t>http://dingel-dongel.de/SMV.html</t>
  </si>
  <si>
    <t>http://www.raum-anzug.de/wordpress/index.php/hersteller/</t>
  </si>
  <si>
    <t>http://www.trendkraft.de/user/smvwohlsitzen/</t>
  </si>
  <si>
    <t>http://www.office-work.net/hersteller/</t>
  </si>
  <si>
    <t>http://www.wohlsitzen.de/</t>
  </si>
  <si>
    <t>http://www.resin.de/resin/Office-Interior/Sitzmoebel.php</t>
  </si>
  <si>
    <t>http://www.office-elements.nl/de/merken/</t>
  </si>
  <si>
    <t>http://funktioneller-sitz-comfort.de/SMV.html</t>
  </si>
  <si>
    <t>https://www.lycle.net/results?l=de&amp;q=Besucherstuhl+Stapelbar</t>
  </si>
  <si>
    <t>http://einkaufen-in-der-toscana.com/SMV.html</t>
  </si>
  <si>
    <t>http://buerodesign-frankfurt-berlin.de/1.html</t>
  </si>
  <si>
    <t>http://www.pimp-my-chair.de/SMV.html</t>
  </si>
  <si>
    <t>http://www.ostwestfalen-lippe.de/staedte-und-kreise/kreis-herford/smv-sitz-a-objektmoebel-gmbh.html</t>
  </si>
  <si>
    <t>http://www.schleef-officeline.de/joomla/?view=weblink&amp;catid=5%3Afachhandelspartner&amp;id=16%3Asmv-gmbh&amp;option=com_weblinks&amp;Itemid=12</t>
  </si>
  <si>
    <t>http://www.xn--broeinrichtung-leipzig-slc.de/objekteinrichtung.php</t>
  </si>
  <si>
    <t>http://www.msl-group.de/produkte.html</t>
  </si>
  <si>
    <t>http://www.xn--bewegtesbro-1hb.de/SMV.html</t>
  </si>
  <si>
    <t>http://www.xn--bewegtes-bro-mlb.de/SMV.html</t>
  </si>
  <si>
    <t>http://www.delfs-buerosys.de/</t>
  </si>
  <si>
    <t>http://www.bfw-wst.de/shop/shop_content.php?coID=13</t>
  </si>
  <si>
    <t>http://www.faktwerk.de/allgemein/schrittzaehler-wettbewerb-owl-2015/</t>
  </si>
  <si>
    <t>http://www.ais-online.de/firma/smv-sitz-und-objektmoebel/12304275/</t>
  </si>
  <si>
    <t>http://www.tokaro.de/smv.htm</t>
  </si>
  <si>
    <t>http://aktiv-sit.com/SMV.html</t>
  </si>
  <si>
    <t>http://xn--steppe-bro-heb.com/index.php/partner</t>
  </si>
  <si>
    <t>http://xn--broeinrichtungen-objektmbel-dresden-crd2r.de/source/hersteller.php</t>
  </si>
  <si>
    <t>http://sobotta-objekt.de/partnerunternehmen/</t>
  </si>
  <si>
    <t>http://buerobedarf-kleve.de/?seite=bueroeinrichtung&amp;lang=deu&amp;item=item&amp;id1=3&amp;id2=3&amp;id3=0</t>
  </si>
  <si>
    <t>http://www.breu-buerotechnik.de/cms/front_content.php?idcat=24</t>
  </si>
  <si>
    <t>http://www.openpr.de/news/353998/Hausmesse-zeigt-Kuechendesign-an-Tisch-und-Tresen.html</t>
  </si>
  <si>
    <t>http://de.askpins.com/7303-was-macht-man-so-in-der-smv/</t>
  </si>
  <si>
    <t>http://xn--bro-ergonomie-wob.com/SMV.html</t>
  </si>
  <si>
    <t>http://www.pro-office-buero.de/unternehmen/partner.html</t>
  </si>
  <si>
    <t>http://www.mandt-buero.de/bueromoebel/</t>
  </si>
  <si>
    <t>http://www.inside-dd.com/source/hersteller.php</t>
  </si>
  <si>
    <t>http://www.industrystock.hu/html/Dohányzóasztalok/product-result-hu-76093-0.html</t>
  </si>
  <si>
    <t>http://www.herchenhahn.com/</t>
  </si>
  <si>
    <t>http://www.bueropartnerteam.com/produkte/</t>
  </si>
  <si>
    <t>http://www.bke-fislage.de/partner/uncategorised/partner</t>
  </si>
  <si>
    <t>http://planobjekt.net/</t>
  </si>
  <si>
    <t>http://officeabc.de/das-buro/top-adressen/</t>
  </si>
  <si>
    <t>http://offpa.com/licht.html</t>
  </si>
  <si>
    <t>http://xn--steppe-bro-heb.de/index.php/partner</t>
  </si>
  <si>
    <t>http://xn--bro-steppe-9db.de/index.php/partner</t>
  </si>
  <si>
    <t>http://xn--bro-steppe-9db.com/index.php/partner</t>
  </si>
  <si>
    <t>http://xn--bro-ambiente-dlb.de/index.php/partner</t>
  </si>
  <si>
    <t>http://xn--bro-ambiente-dlb.com/index.php/partner</t>
  </si>
  <si>
    <t>http://www.fhdw.de/fhdw-studien--und-karrieretag-in-bielefeld.aspx</t>
  </si>
  <si>
    <t>http://steppe-ambiente.com/index.php/partner</t>
  </si>
  <si>
    <t>http://boesel-buero.de/lieferanten-bueromoebel.php</t>
  </si>
  <si>
    <t>http://www.kiefel-bd.biz/de/hersteller/a-z/</t>
  </si>
  <si>
    <t>http://3doffice.de/index.php/de/hilfe-support/hover-hilfe-news/8-news-vertrieb/57-3d-office-54-sp8-jetzt-verfuegbar</t>
  </si>
  <si>
    <t>http://www.orgaplan-cottbus.de/index.php/moebel-hersteller.html</t>
  </si>
  <si>
    <t>http://www.derksen-kleve.de/?seite=bueroeinrichtung&amp;lang=deu&amp;item=item&amp;id1=3&amp;id2=3&amp;id3=0</t>
  </si>
  <si>
    <t>http://www.bueroco.eu/index.php/links.html</t>
  </si>
  <si>
    <t>http://de.itsbetter.com/produkte/SMV/SMV.html?id=93647</t>
  </si>
  <si>
    <t>http://radaris.de/p/Christine/Bautze/</t>
  </si>
  <si>
    <t>http://www.sicherheitsbeauftragter.de/termine/termine/?aid=4097</t>
  </si>
  <si>
    <t>http://www.new-ways-buero.de/referenzen/</t>
  </si>
  <si>
    <t>http://www.medienpower.de/unterstuetzen/spendersponsoren/</t>
  </si>
  <si>
    <t>http://www.weber-os.ch/ofml.html</t>
  </si>
  <si>
    <t>http://www.tbs-bueroservice.de/unternehmen.html</t>
  </si>
  <si>
    <t>http://www.dp-peine.de/index.php/wartezonen.html</t>
  </si>
  <si>
    <t>http://www.b-w-d.eu/index.php/pages/content/hersteller</t>
  </si>
  <si>
    <t>http://www.123verzeichnis.com/547-1-innendekoration.php</t>
  </si>
  <si>
    <t>http://menschundbuero.de/hersteller</t>
  </si>
  <si>
    <t>http://herchenhahn.org/</t>
  </si>
  <si>
    <t>http://herchenhahn.info/</t>
  </si>
  <si>
    <t>http://www.xn--gesundesbro-1hb.de/produkte.html</t>
  </si>
  <si>
    <t>http://www.pruefer-herting.de/bueroeinrichtungen/partner/mid_38018.html</t>
  </si>
  <si>
    <t>http://1.maerker-wilsdruff.de/hauptlieferanten-buero/</t>
  </si>
  <si>
    <t>http://3d-team.de/partner.php</t>
  </si>
  <si>
    <t>http://www.kontek-buero.de/de/106575-Marken</t>
  </si>
  <si>
    <t>http://www.feistauer-buerodesign.de/cms/?option=com_content&amp;view=article&amp;id=62&amp;Itemid=68</t>
  </si>
  <si>
    <t>http://www.fireball.de/mobileBildersuche.php?searchText=schirmstaender&amp;land=Bildersuche&amp;page=&amp;submit=1</t>
  </si>
  <si>
    <t>http://www.suche-branchen.de/branchensuche.php/branchen.php%3FBranche%3DAuto/branchen.php?Branche=Handwerk/Gewerbe&amp;Link=&amp;suche=&amp;seite=30</t>
  </si>
  <si>
    <t>http://kostenlos-eintragen.com/556-2-moebelwerkstatt.php</t>
  </si>
  <si>
    <t>http://www.sitz-moebel-vertrieb.de/</t>
  </si>
  <si>
    <t>http://www.reitinger.de/html/links.html</t>
  </si>
  <si>
    <t>https://www.erdmannulrike.de/project/starke-frauen-lass-dein-ziel-nicht-aus-den-augen/</t>
  </si>
  <si>
    <t>http://www.moebelkultur.de/news/smv-engagement-im-bereich-social-media/14667.html</t>
  </si>
  <si>
    <t>http://www.bridge2b.com/snippet_click.php?l=%01%17%1C%07_F%5C%04%19%1EM%1B%19%01L%14%1E%0D%04B%01%16M&amp;from_lang=2&amp;fid=800000&amp;addparam=st_24312000</t>
  </si>
  <si>
    <t>http://www.smv-wohlsitzen.com/</t>
  </si>
  <si>
    <t>http://buero-wohn-design.de/index.php/pages/content/hersteller</t>
  </si>
  <si>
    <t>http://www.c-ompany.de/Buero-2000-K.A.H.-GmbH</t>
  </si>
  <si>
    <t>http://www.buero-forum.de/de/bso/mitglieder/limit/50/</t>
  </si>
  <si>
    <t>http://www.funktion-design-gmbh.de/organisation/vitrinen/</t>
  </si>
  <si>
    <t>https://www.xing.com/company/smv</t>
  </si>
  <si>
    <t>http://www.hevis-berlin.de/info/hersteller/21/SMV%20Sitz-%20&amp;amp;%20Objektm%C3%B6bel%20GmbH.html</t>
  </si>
  <si>
    <t>http://www.hs-buero.de/0000012385___________0000000003.htm</t>
  </si>
  <si>
    <t>http://www.knauer-bueroeinrichtungen.de/partner/</t>
  </si>
  <si>
    <t>http://webcolourdata.com/profile/46231</t>
  </si>
  <si>
    <t>http://www.foto-treff-bielefeld.de/die-menschen-gesichter-der-stadt-stadtgesichter/</t>
  </si>
  <si>
    <t>http://www.deublerschulze.de/links.php</t>
  </si>
  <si>
    <t>http://www.online-bueroeinrichtungen.de/de/55/garderobe-umkleide.html</t>
  </si>
  <si>
    <t>http://www.wipper-shop.de/kissen-klein-zubehoer-fuer-sitzlandschaft-speakers-corner</t>
  </si>
  <si>
    <t>http://www.kontor-einrichtungen.de/kollektionen/kollektion_smv.html</t>
  </si>
  <si>
    <t>http://www.kompetenz-konferenzraum.de/objekteinrichtung.php</t>
  </si>
  <si>
    <t>http://www.mkelbassa-buero-objekt.com/unsere-partner-für-arbeitsplatz-stauraum-konferenz-empfang-lounge-akustik/</t>
  </si>
  <si>
    <t>http://www.unitel-buerosysteme.de/index.php/bueromoebel/partner-produkte/160-smv-partner-fuer-besonderes</t>
  </si>
  <si>
    <t>http://www.wortundidee.de/2015/02/netz-sein-der-auftakt-ist-gelungen/</t>
  </si>
  <si>
    <t>http://www.ttg-gmbh.de/?id=65</t>
  </si>
  <si>
    <t>http://www.handwerkherford.de/cgi/rate.cgi?ID=336</t>
  </si>
  <si>
    <t>http://www.chairshop.de/</t>
  </si>
  <si>
    <t>http://www.existenzgruendungstag.de/joomla1013/?option=com_iwkhmitglieder&amp;Itemid=3</t>
  </si>
  <si>
    <t>http://suche.t-online.de/fast-cgi/tsc?mandant=toi&amp;context=internet-tab&amp;dia=pto&amp;ptl=std&amp;q=C.+Baene+De&amp;adpage=8&amp;www_start=70</t>
  </si>
  <si>
    <t>http://www.home-and-more.de/geschaeftskunden/aktuelles.html</t>
  </si>
  <si>
    <t>http://zukunftstechnologietage.de/?page_id=128</t>
  </si>
  <si>
    <t>http://www.foelschow.de/produkte/objekteinrichtungen/umkleidemobiliar/</t>
  </si>
  <si>
    <t>http://www.sitzenmitvergnuegen.de/</t>
  </si>
  <si>
    <t>http://www.rtk-koeln.com/lieferanten</t>
  </si>
  <si>
    <t>http://www.vullriede-buerosysteme.de/hersteller.html</t>
  </si>
  <si>
    <t>http://www.lavorenz.de/bueromoebel</t>
  </si>
  <si>
    <t>http://www.apropo-iserlohn.de/?id=33</t>
  </si>
  <si>
    <t>http://www.droege-einrichtungen.de/das-unternehmen/partner.html</t>
  </si>
  <si>
    <t>http://www.dekra-award.de/fileadmin/scripts/award/?view=7&amp;category=2</t>
  </si>
  <si>
    <t>http://www.profile-media.de/referenzen/referenz_details.php?idx_bereich=4&amp;ref=0nline</t>
  </si>
  <si>
    <t>http://www.welt-verzeichnis.de/web/Moebel/Barhocker.html</t>
  </si>
  <si>
    <t>http://owlshop24.de/cgi-bin/buende/firmlink.pl%3FJumpTo%3DArbeit</t>
  </si>
  <si>
    <t>http://www.takeoffice.de/?id=28</t>
  </si>
  <si>
    <t>http://www.bueroversandhamburg.de/index.php/objektmoebel</t>
  </si>
  <si>
    <t>http://www.domig.cc/partner.php</t>
  </si>
  <si>
    <t>http://www.classen-design.de/de/Partner--Zulieferer.htm</t>
  </si>
  <si>
    <t>http://www.cvjm-roedinghausen-sport.de/foerderer/</t>
  </si>
  <si>
    <t>http://www.webkatalog-2007.de/M�bel_166_41.html</t>
  </si>
  <si>
    <t>http://www.rangau-mall-office-studio.de/partner/</t>
  </si>
  <si>
    <t>http://www.wortwolke.de/b/bueromoebelsysteme.html</t>
  </si>
  <si>
    <t>http://www.ergowebshop.eu/Ergonomische-Sitzmoebel/Hersteller-ergonomischer-Sitzmoebel</t>
  </si>
  <si>
    <t>http://www.moebel-forum.com/showthread.php?tid=50</t>
  </si>
  <si>
    <t>http://buender.info/cgi-bin/buende/firmlink.pl%3FJumpTo%3DComputer</t>
  </si>
  <si>
    <t>http://www.xing.com/events/brandschutz-griff-relevante-normen-polstermobel-kennen-verstehen-anwenden-1329992</t>
  </si>
  <si>
    <t>http://www.offpa.de/hersteller.php</t>
  </si>
  <si>
    <t>http://www.uni-muenster.de/ZBMed/aktuelles/4731</t>
  </si>
  <si>
    <t>http://www.orte-online.de/Mobach-56459-Autohaus.html</t>
  </si>
  <si>
    <t>http://www.bueroland-dresden.de/produkte-geschaeftsfelder.html</t>
  </si>
  <si>
    <t>http://www.gelbeseiten.de/moebel/loehne</t>
  </si>
  <si>
    <t>http://www.schoener-wohnen.de/tipps-trends/tipp-des-tages/39669-rtkl-kurz-oder-lang-modulare-sitzbank-4six-von-smv</t>
  </si>
  <si>
    <t>www.smv-gmbh.de</t>
  </si>
  <si>
    <t>http://www.gelbeseiten.de/Branchen/Juwelier/Braunschweig</t>
  </si>
  <si>
    <t>webseite</t>
  </si>
  <si>
    <t>https://www.wlw.de/de/firmen/banksitze</t>
  </si>
  <si>
    <t>smv</t>
  </si>
  <si>
    <t>https://www.heinze.de/firma/smv-sitz-und-objektmoebel/12304275/</t>
  </si>
  <si>
    <t>https://www.ikz.de/nc/detail/news/detail/smv-sitz-und-objektmoebel-mobil-kommunizieren/</t>
  </si>
  <si>
    <t>http://www.detail.de/artikel/multifunktional-10389/</t>
  </si>
  <si>
    <t>https://www.feuertrutz.de/brandschutz-im-griff-relevante-normen-fuer-polstermoebel-kennen-verstehen-und-anwenden/345/7574/16382/</t>
  </si>
  <si>
    <t>http://www.smv-gmbh.de</t>
  </si>
  <si>
    <t>https://www.pbs-business.de/themen/bueromoebel/05-12-2013-trends-fuer-office-und-mittelzone/</t>
  </si>
  <si>
    <t>https://www.schoolandcollegelistings.com/DE/L%C3%B6hne/889506684463264/Carzubi</t>
  </si>
  <si>
    <t>http://www.smv-gmbh.de/de/impressum-datenschutzerklaerung.html</t>
  </si>
  <si>
    <t>smv-gmbh.de</t>
  </si>
  <si>
    <t>https://officerepublic.news/en/manufacturer-overview/smv-sitzmobel/</t>
  </si>
  <si>
    <t>https://www.md-mag.com/projekte/bueros-objektbauten/arbeitsraeume/</t>
  </si>
  <si>
    <t>http://www.suchnase.de/Handel/Mode/Jeans/more2.html</t>
  </si>
  <si>
    <t>jeanssessel: deine lieblingsjeans erwacht zu neuem leben!</t>
  </si>
  <si>
    <t>https://architizer.com/brands/smv-sitz-objektmoebel/</t>
  </si>
  <si>
    <t>k</t>
  </si>
  <si>
    <t>https://www.wohninsider.at/top-news/artikel/smv-auf-der-orgatec-sitzen-mit-visionen.html</t>
  </si>
  <si>
    <t>https://www.jeanswelt.de/blog/tag/sessel-aus-jeans/</t>
  </si>
  <si>
    <t>www.jeanssessel.de</t>
  </si>
  <si>
    <t>https://trendkraft.io/wirtschaft-geschaeft/unternehmen-im-sportlichen-schrittzaehler-wettbewerb/</t>
  </si>
  <si>
    <t>www.smv-gmbh.de/</t>
  </si>
  <si>
    <t>https://www.arcguide.de/firmenverzeichnis/smv/</t>
  </si>
  <si>
    <t>https://www.smv-gmbh.de/de/expertenwissen/brandschutz.html</t>
  </si>
  <si>
    <t>https://www.findfurniturestores.com/DE/Dresden/1888263078159950/Kontek-Objekteinrichtungs-GmbH</t>
  </si>
  <si>
    <t>https://www.smv-gmbh.de/de/produkt/flexfive.html</t>
  </si>
  <si>
    <t>https://www.webinhalt.de/Webverzeichnis/Branchen_und_Gewerbe/I/Innenausbau/Ladenbau/index.php</t>
  </si>
  <si>
    <t>http://www.smv-gmbh.de/</t>
  </si>
  <si>
    <t>https://www.einkaufsquellen.de/profil/grosshaendler-smv-sitz-und-objektmoebel-gmbh-loehne-gohfeld-47920</t>
  </si>
  <si>
    <t>webseite besuchen</t>
  </si>
  <si>
    <t>https://www.transplo.com/DE/L%C3%B6hne/132947310071635/SMV-Wohlsitzen</t>
  </si>
  <si>
    <t>25 jahre smv - im gespr√§ch mit inge br√ºnger-mylius - smv</t>
  </si>
  <si>
    <t>http://www.firmenwissen.com/en/az/firmeneintrag/32584/4170117988/SMV_SITZ_OBJEKTMOEBEL_GMBH.html?locale=en</t>
  </si>
  <si>
    <t>https://www.german-design-award.com/en/the-winners/gallery/detail/5390-fourtytwo.html</t>
  </si>
  <si>
    <t>smv sitz- &amp; objektm√∂bel gmbh</t>
  </si>
  <si>
    <t>https://www.smv-gmbh.de</t>
  </si>
  <si>
    <t>https://vegconomist.de/messen-und-events/orgatec-2018-smv-praesentiert-vegane-sitzmoebel/</t>
  </si>
  <si>
    <t>http://www.store-locator.com/en/a-80287/SMV_Sitz_Objektmoebel_Loehne_Germany/</t>
  </si>
  <si>
    <t>http://www.prisma.ag/lieferanten/lieferanten-finden/?optPLZ=&amp;amp;optSuchbegriff=&amp;amp;optSeite=97</t>
  </si>
  <si>
    <t>https://www.ejh-schweicheln.de/de/topic/153.berufsausbildung.html?projectId=68</t>
  </si>
  <si>
    <t>https://www.wohnen-einrichten.de/index.php/wohnen/arbeiten/224-zwei-iconic-awards-fuer-smv</t>
  </si>
  <si>
    <t>https://www.cebra.biz/news/unternehmen/22-11-2017-smv-praesentiert-sich-auf-hausmesse/</t>
  </si>
  <si>
    <t>https://www.grasenhiller.de/buero-objekteinrichtungen/unsere-partner/smv-sitz-objektmoebel</t>
  </si>
  <si>
    <t>https://www.smv-gmbh.de/de/startseite.html</t>
  </si>
  <si>
    <t>http://www.bossticker.de/news/default.asp?nws_item=46598</t>
  </si>
  <si>
    <t>http://www.gewerbeauskunft.com/firmenverzeichnis/Einzelhandel-3/Moebel-361/B%C3%BCnde/SMV-Sitzmoebel-Vertriebsgesellschaft-mbH-8973903.html</t>
  </si>
  <si>
    <t>https://www.madvix.com/DE/L%C3%B6hne/196356019667/Windus-Fotodesign</t>
  </si>
  <si>
    <t>smv wohlsitzen</t>
  </si>
  <si>
    <t>https://www.teamotion.de/referenzen.html</t>
  </si>
  <si>
    <t>https://www.evensi.de/page/smv-wohlsitzen/10004924281/</t>
  </si>
  <si>
    <t>smv-gmbh.de/de/datenschutzerklaerung.html</t>
  </si>
  <si>
    <t>https://www.bueromoebel-hannover.de/buerostuhl-hersteller.html</t>
  </si>
  <si>
    <t>https://www.trendwelten.eu/ticker-termine.html?news_id=9381</t>
  </si>
  <si>
    <t>https://www.smv-gmbh.de/</t>
  </si>
  <si>
    <t>https://www.markaelrod.net/steel-frame-coffee-table-base.html</t>
  </si>
  <si>
    <t>entree coffee table base frame smv</t>
  </si>
  <si>
    <t>http://www.orgatec.de/aussteller-und-produkte/ausstellerverzeichnis/ausstellerverzeichnis-19.php?fw_goto=aussteller/details&amp;amp;&amp;amp;kid=0040107308</t>
  </si>
  <si>
    <t>https://sofa24.net/italienische-designer-sofas/</t>
  </si>
  <si>
    <t>via</t>
  </si>
  <si>
    <t>http://www.glagla.de/inhalt-kreativitaet</t>
  </si>
  <si>
    <t>smvsitz-undobjektm√∂belgmbh</t>
  </si>
  <si>
    <t>https://www.connectiv.de/referenzen/details/smv-sitz-objektmoebel-gmbh.html</t>
  </si>
  <si>
    <t>zur website des kunden</t>
  </si>
  <si>
    <t>http://www.aquamagica.de/int-literaturfest-poetische-quellen/foerderer-partner/</t>
  </si>
  <si>
    <t>https://www.architektenkammer-mv.de/de/aktuelles-veranstaltungen/veranstaltungskalender/fb201109-smv-bs/</t>
  </si>
  <si>
    <t>smv sitz- und objektm√∂bel gmbh¬†l√∂hne / gohfeld</t>
  </si>
  <si>
    <t>smv gmbh</t>
  </si>
  <si>
    <t>https://www.improuse.com/DE/L%C3%B6hne/132947310071635/SMV-Wohlsitzen</t>
  </si>
  <si>
    <t>https://www.wipperbuerodesign.de/marken.html</t>
  </si>
  <si>
    <t>https://www.sicherheits-berater.de/themen/artikel-ohne-abo/ausgaben-2013/seminar-zu-relevanten-brandschutznormen-fuer-polstermoebel.html</t>
  </si>
  <si>
    <t>http://m.buero-und-betrieb.com/adressen/smv__308.htm</t>
  </si>
  <si>
    <t>https://www.interiorfashion.de/news/2018/12/smv_neuheiten_orgatec.php</t>
  </si>
  <si>
    <t>http://factsverlag.de/aktuelles-dialog/aktuelles-dialog-sub/news-meldungen/item/smv-jetzt-zum-trend-workshop-anmelden/1001?tmpl=component&amp;print=1&amp;page=</t>
  </si>
  <si>
    <t>https://hoch5.com/projekt/smv-sitzmoebel-2015-11-19.html</t>
  </si>
  <si>
    <t>https://www.jobs-neumuenster.de/999960004005368181.html</t>
  </si>
  <si>
    <t>https://www.jobs-in-wilhelmshaven.de/999960004005368181.html</t>
  </si>
  <si>
    <t>https://www.glequip.com/DE/Dresden/1888263078159950/Kontek-Objekteinrichtungs-GmbH</t>
  </si>
  <si>
    <t>flexfive modulares loungesitzm√∂bel - smv</t>
  </si>
  <si>
    <t>https://augenhoehe-film.de/sponsoren-augenhoehewege/</t>
  </si>
  <si>
    <t>smv logo</t>
  </si>
  <si>
    <t>https://www.jobs-minden.de/999960004005368181.html</t>
  </si>
  <si>
    <t>https://www.pro-office.de/einrichtung/partner/</t>
  </si>
  <si>
    <t>https://www.steelcase-werkverkauf.de/empfang-lounge/592/smv-manhattan-2-sitzer-highback</t>
  </si>
  <si>
    <t>https://www.smv-gmbh.de/de/produkt/manhattan-highback.html</t>
  </si>
  <si>
    <t>https://www.jobs-in-hannover.com/999960004005368181.html</t>
  </si>
  <si>
    <t>http://ubsysteme.de/index.php/visualisierung/index.php/bueromoebel/partner-produkte/160-smv</t>
  </si>
  <si>
    <t>https://www.getcompanyinfo.com/company/smv-wohlsitzen/</t>
  </si>
  <si>
    <t>smv smv</t>
  </si>
  <si>
    <t>https://www.ohning.de/ohning-firmengruppe-ohning-dresden/leistungen/bueromoebelhandel</t>
  </si>
  <si>
    <t>https://www.jobs-detmold.de/999960004005368181.html</t>
  </si>
  <si>
    <t>http://www.buero-marb.de/</t>
  </si>
  <si>
    <t>https://www.kastrup-recycling.de/en/unternehmen/aktuelles-1.html</t>
  </si>
  <si>
    <t>https://www.caseconrad.com/stoss-mobel-prospekt/</t>
  </si>
  <si>
    <t>sitzen mit visionen smv</t>
  </si>
  <si>
    <t>https://en.seokicks.de/backlinks/www.makeyourhome.de</t>
  </si>
  <si>
    <t>https://www.gruenemay-abt.de/hersteller.php</t>
  </si>
  <si>
    <t>https://www.rm-buero.de/hersteller-und-partner</t>
  </si>
  <si>
    <t>https://buerobedarf-brueggemann.de/brueggemann-objekteinrichtungen.htm</t>
  </si>
  <si>
    <t>http://www.griebel-officedesign.de/hersteller</t>
  </si>
  <si>
    <t>https://www.jobs-in-bielefeld.de/999960004005368181.html</t>
  </si>
  <si>
    <t>https://www.bsl-zwenkau.de/objekteinrichtung.php</t>
  </si>
  <si>
    <t>zur webseite</t>
  </si>
  <si>
    <t>https://www.hevis-berlin.de/hersteller/smv</t>
  </si>
  <si>
    <t>https://wfg-hf.de/Startseite</t>
  </si>
  <si>
    <t>https://www.gk-buerodesign.de/impressum/</t>
  </si>
  <si>
    <t>https://www.innozent-owl.de/referenzpartner/referenzpartner/</t>
  </si>
  <si>
    <t>https://www.wermke-buero.de/leistungen.html</t>
  </si>
  <si>
    <t>smv-gmbh zur internetseite des markenm√∂belherstellers smv-gmbh</t>
  </si>
  <si>
    <t>https://www.stellenanzeigen-in-celle.de/999960004005368181.html</t>
  </si>
  <si>
    <t>http://iwkh.de/portfolio-item/smv/</t>
  </si>
  <si>
    <t>http://www.mb-mw.de/smv.html</t>
  </si>
  <si>
    <t>https://direkt.sicherheits-berater.de/2013/ausgabe-11/ausgabe-112013-beitrag-55.html</t>
  </si>
  <si>
    <t>weiter ‚Ä¶</t>
  </si>
  <si>
    <t>https://buerosysteme-fassbach.de/sortiment</t>
  </si>
  <si>
    <t>smv-logo</t>
  </si>
  <si>
    <t>https://configedit.wordpress.com/2014/09/01/five-funf-links-urls-url-is-male/</t>
  </si>
  <si>
    <t>http://jrbuero.de/hersteller-und-partner/</t>
  </si>
  <si>
    <t>http://www.cylex-branchenbuch-braunschweig.de/firma-home-braunschweig/smv-gmbh-12393814.html</t>
  </si>
  <si>
    <t>https://www.smv-gmbh.de/de/</t>
  </si>
  <si>
    <t>http://www.industrycat.com/68/41034327468.html</t>
  </si>
  <si>
    <t>smv sitzmobel-vertriebsgesellschaft mbh</t>
  </si>
  <si>
    <t>https://www.knorz.de/marken-partner/smv</t>
  </si>
  <si>
    <t>http://www.objektiv-gmbh.de/hersteller.php</t>
  </si>
  <si>
    <t>https://www.officepartner-whv.de/partner</t>
  </si>
  <si>
    <t>https://www.soremba.de/produkte/sitzen/smv/index.html</t>
  </si>
  <si>
    <t>smv externer link</t>
  </si>
  <si>
    <t>http://loehne.staedte-info.net/gewerbestr_394000.php</t>
  </si>
  <si>
    <t>https://reco-bueromoebel.de/hersteller/smv/</t>
  </si>
  <si>
    <t>http://www.julienjaffres.com/bank-polster/</t>
  </si>
  <si>
    <t>http://www.mwbueroplanung.de/partner-produkte</t>
  </si>
  <si>
    <t>http://www.oeffentlichebeschaffung.kompass-nachhaltigkeit.de/en/municipality-compass/baden-wuerttemberg/holz-holzprodukte/baenke/</t>
  </si>
  <si>
    <t>https://ktpexpo.org/sofa-mit-hoher-lehne.html</t>
  </si>
  <si>
    <t>download image</t>
  </si>
  <si>
    <t>https://neuebuerowelten.de/produkt-liste/</t>
  </si>
  <si>
    <t>http://trendagentur.de/ein-interview-der-smv-sitz-objektmoebel-gmbh-loehne/</t>
  </si>
  <si>
    <t>http://www.kindersessel-999.de/loungesessel-sitz/</t>
  </si>
  <si>
    <t>boog loungesessel - smv-gmbh.de</t>
  </si>
  <si>
    <t>http://www.schuessler.works/index.php/produkte.html</t>
  </si>
  <si>
    <t>http://loehne.branchen-info.net/anfahrt-5062007.html</t>
  </si>
  <si>
    <t>https://raumstore.de/portfolio/lounge/</t>
  </si>
  <si>
    <t>https://www.aban-buerosysteme.com/office-welten/officeplus/hersteller/</t>
  </si>
  <si>
    <t>https://www.bueromoebel-lieferant.de/</t>
  </si>
  <si>
    <t>logo.png</t>
  </si>
  <si>
    <t>http://www.facts-online.de/aktuelles-dialog/aktuelles-dialog-sub/news-meldungen/item/smv-jetzt-zum-trend-workshop-anmelden/1001?tmpl=component&amp;print=1&amp;page=</t>
  </si>
  <si>
    <t>https://www.m-z.de/partner</t>
  </si>
  <si>
    <t>http://www.pahl-buero.de/</t>
  </si>
  <si>
    <t>https://www.roha-gmbh.de/hersteller/smv/</t>
  </si>
  <si>
    <t>http://www.stobbe-buero-objekt.de/partner</t>
  </si>
  <si>
    <t>http://1aday2fc.com/entree-design.html</t>
  </si>
  <si>
    <t>.</t>
  </si>
  <si>
    <t>http://adjustabletabledakushinu.blogspot.com/2017/02/coffee-table-adjustable.html</t>
  </si>
  <si>
    <t>... read here</t>
  </si>
  <si>
    <t>https://aostafurniture.com/buro-gemutlich-machen.html</t>
  </si>
  <si>
    <t>rundum gut sitzen mit one600 und bigfield smv</t>
  </si>
  <si>
    <t>https://assurepackers.com/tiptoe-design/30460/</t>
  </si>
  <si>
    <t>http://berikstore.com/couchtisch.html</t>
  </si>
  <si>
    <t>http://bewegtes-buero.com/SMV.html</t>
  </si>
  <si>
    <t>http://bueroprofil.spring-7.de/unser-lieferantenverzeichnis</t>
  </si>
  <si>
    <t>http://carstensen.double-youmedia.de/?cat=109</t>
  </si>
  <si>
    <t>http://ccmkr.net/sitzsack-zum-aufh%C3%A4ngen.html</t>
  </si>
  <si>
    <t>image credit</t>
  </si>
  <si>
    <t>http://cf.jiraygroup.com/hitch-coffee-table/</t>
  </si>
  <si>
    <t>hitch bar table hitch bar table smv</t>
  </si>
  <si>
    <t>http://cf.jiraygroup.com/coffee-table-red/</t>
  </si>
  <si>
    <t>upholstered coffee table upholstered coffee table smv</t>
  </si>
  <si>
    <t>http://classen.dscdev.de/de/Partner--Zulieferer.htm</t>
  </si>
  <si>
    <t>https://cosmeddicted.com/steel-frame-coffee-table-base.html</t>
  </si>
  <si>
    <t>https://dealforaliving.com/floor-mounted-table-base/</t>
  </si>
  <si>
    <t>http://dekor.intsbanglabook.com/barhocker-gestell-schwarz/</t>
  </si>
  <si>
    <t>download image 600 x 600</t>
  </si>
  <si>
    <t>https://demadridhastaelcielo.com/lounge-sofa-3-sitzer-outdoor.html</t>
  </si>
  <si>
    <t>fourtytwo lounge sofa smv</t>
  </si>
  <si>
    <t>http://dev.bueroco.eu/buero/</t>
  </si>
  <si>
    <t>https://distopialab.org/tiptoe-design/33166/</t>
  </si>
  <si>
    <t>http://eigenart-designstudio.de/g3/</t>
  </si>
  <si>
    <t>http://factsoffice.de/aktuelles-dialog/aktuelles-dialog-sub/aktuelle-ausgabe/item/test-smv-blogger-10-2019/1183?tmpl=component&amp;print=1&amp;page=</t>
  </si>
  <si>
    <t>http://femb.org/national-companies/</t>
  </si>
  <si>
    <t>https://gallery.designpreis.de/gdagallery/show/Project/fourtytwo.html?referrer=app&amp;cHash=408e3479b505d8b4315e09c7c59e06ec</t>
  </si>
  <si>
    <t>http://gartenmobel.fioreriabarbiero.com/bartisch-eckig-holz.html</t>
  </si>
  <si>
    <t>view image</t>
  </si>
  <si>
    <t>https://giftcertificates4u.com/sitzsack-big-bag.html</t>
  </si>
  <si>
    <t>beanbags smv</t>
  </si>
  <si>
    <t>http://gute-bueromoebel.com/5.html</t>
  </si>
  <si>
    <t>http://haus.wfdesigngroup.com/wangentisch.html</t>
  </si>
  <si>
    <t>https://hds-buero.de/index8803.html?id=7</t>
  </si>
  <si>
    <t>http://hds-bueromoebel.de/index8803.html?id=7</t>
  </si>
  <si>
    <t>https://infoasik.com/next-ritz-coffee-table.html</t>
  </si>
  <si>
    <t>ritz no 2 coffee table smv</t>
  </si>
  <si>
    <t>https://innozent-owl.de/aktuelles/16112016-social-media-loehne/</t>
  </si>
  <si>
    <t>https://iqfit.info/wohnzimmertisch-cube.html</t>
  </si>
  <si>
    <t>cube upholstered coffee table smv</t>
  </si>
  <si>
    <t>http://jeanssessel.de/</t>
  </si>
  <si>
    <t>http://jer.kocinas.com/buro-gemutlich-machen.html</t>
  </si>
  <si>
    <t>akustik smv</t>
  </si>
  <si>
    <t>https://koln.paperblog.fr/irre-sache-deine-alten-jeans-als-sessel-150095/</t>
  </si>
  <si>
    <t>jeanssessel.de</t>
  </si>
  <si>
    <t>https://koro.me/valencia-lounge-sofa.html/</t>
  </si>
  <si>
    <t>http://mdczim.net/lounge-sessel-drehbar.html</t>
  </si>
  <si>
    <t>leros loungesessel smv</t>
  </si>
  <si>
    <t>http://mobilewednesday.info/sofa-bed-forty-two.html</t>
  </si>
  <si>
    <t>fourtytwo loungesessel smv</t>
  </si>
  <si>
    <t>https://nattermann-buero.de/</t>
  </si>
  <si>
    <t>http://nzp.bag.ch/de/kommunikations-trainings/referenzen/details/?itemid=838</t>
  </si>
  <si>
    <t>http://officekonzepte.de/produkte/</t>
  </si>
  <si>
    <t>smv logo sw</t>
  </si>
  <si>
    <t>http://perceptualstudio.com/akustik-sofa-buro.html</t>
  </si>
  <si>
    <t>http://potztausend-medien.de/index.html%3Fp=859.html</t>
  </si>
  <si>
    <t>https://sessel2018.blogspot.com/2017/06/drehbarer-sessel.html</t>
  </si>
  <si>
    <t>source</t>
  </si>
  <si>
    <t>http://streit-einrichtungswelten.de/partner/</t>
  </si>
  <si>
    <t>zur seite</t>
  </si>
  <si>
    <t>http://suara-muhammadiyah.com/markisenstoff-nicht-brennbar.html</t>
  </si>
  <si>
    <t>http://sueltrop-bueromoebel.de/partnerlinks.html</t>
  </si>
  <si>
    <t>www.smv-gmbh.de/produkte/besucherstuehle/4gather-besucherstuhl.html</t>
  </si>
  <si>
    <t>mobel fur coole arbeitswelten smv</t>
  </si>
  <si>
    <t>http://tivnea.gq/aktuelles-dialog/aktuelles-dialog-sub/aktuelle-ausgabe/item/test-loungesitzmoebel-10-2017/643?tmpl=component&amp;print=1&amp;page=</t>
  </si>
  <si>
    <t>wayne william snellgrove</t>
  </si>
  <si>
    <t>https://tsukijis.com/seats-and-sofas-hannover-telefon.html</t>
  </si>
  <si>
    <t>http://ww30.antitheists.co.uk/oval-glass-and-metal-coffee-table.html</t>
  </si>
  <si>
    <t>https://www.akustikschmiede.org/index.php/partner-and-kataloge/</t>
  </si>
  <si>
    <t>http://www.am9501007fm.com/beistelltisch-couch-laptop.html</t>
  </si>
  <si>
    <t>blogger couchtisch couch und beistelltisch smv</t>
  </si>
  <si>
    <t>https://www.amandaeliasch.com/akustik-sofa-buro.html</t>
  </si>
  <si>
    <t>https://www.amandaeliasch.com/buro-gemutlich-machen.html</t>
  </si>
  <si>
    <t>http://www.bewegtesbuero.com/SMV.html</t>
  </si>
  <si>
    <t>https://www.brdesign.de/partner/</t>
  </si>
  <si>
    <t>https://www.bsjgmbh.de/hersteller.html</t>
  </si>
  <si>
    <t>http://www.buero-boerse.com/Leistungen/Ausstattung.html</t>
  </si>
  <si>
    <t>http://www.buero2000-eckes.de/wpnew/vertragspartner/</t>
  </si>
  <si>
    <t>https://www.bueroeinrichtung-hamburg.de/category/marken/</t>
  </si>
  <si>
    <t>https://www.bueroeinrichtungen-seidel.de/partner</t>
  </si>
  <si>
    <t>http://www.bueroinnovativ.de/</t>
  </si>
  <si>
    <t>https://www.bueromoebel-sachsen-manig-palme.de/sortiment-bueromoebel/</t>
  </si>
  <si>
    <t>http://www.bueromoebelhamburg.com/kontakt/</t>
  </si>
  <si>
    <t>http://www.buerostuehle.hamburg/</t>
  </si>
  <si>
    <t>http://www.citedelagloire.org/kinderriegel-gewinnspiel-2018.html</t>
  </si>
  <si>
    <t>https://www.concept-office.nl/unternehmen/referenzen</t>
  </si>
  <si>
    <t>http://www.derergoshop.de/SMV.html</t>
  </si>
  <si>
    <t>https://www.elbracht-beckum.de/</t>
  </si>
  <si>
    <t>http://www.ergonomischearbeitswelten.de/SMV.html</t>
  </si>
  <si>
    <t>http://www.facts-office.com/aktuelles-dialog/aktuelles-dialog-sub/aktuelle-ausgabe/item/test-smv-blogger-10-2019/1183?tmpl=component&amp;print=1&amp;page=</t>
  </si>
  <si>
    <t>http://www.facts-verlag.de/aktuelles-dialog/aktuelles-dialog-sub/aktuelle-ausgabe/item/test-smv-blogger-10-2019/1183?tmpl=component&amp;print=1&amp;page=</t>
  </si>
  <si>
    <t>http://www.griebel-gmbh.de/hersteller</t>
  </si>
  <si>
    <t>https://www.gutabe.de/gute-arbeitgeber/smv-sitz-objektmoebel-gmbh-loehne/</t>
  </si>
  <si>
    <t>https://www.h-2-office.de/partner/</t>
  </si>
  <si>
    <t>http://www.hanger18chicago.com/buro-gemutlich-machen.html</t>
  </si>
  <si>
    <t>https://www.herzer-design.info/</t>
  </si>
  <si>
    <t>http://www.il-ca-po.de/SMV.html</t>
  </si>
  <si>
    <t>http://www.jadeweser-versand.de/partner.php</t>
  </si>
  <si>
    <t>https://www.jaeger-buero.de/</t>
  </si>
  <si>
    <t>https://www.jtsent.com/big-sofa-manhattan.html</t>
  </si>
  <si>
    <t>sofa smv</t>
  </si>
  <si>
    <t>http://www.karolskitchen.com/akustik-sofa-buro.html</t>
  </si>
  <si>
    <t>http://www.kreativ-buero-gmbh.de/hersteller/objektmoebel/</t>
  </si>
  <si>
    <t>https://www.luxor-badezimmer.de/loungem%C3%B6bel-mit-stauraum.html</t>
  </si>
  <si>
    <t>90deegree akustik loungem√∂bel smv</t>
  </si>
  <si>
    <t>https://www.madebybright.com/sessel-hersteller-deutschland.html</t>
  </si>
  <si>
    <t>http://www.mylius-web.de/</t>
  </si>
  <si>
    <t>http://www.neumaier-buero.de/index.php/hersteller-39.html</t>
  </si>
  <si>
    <t>https://www.objektbuero.de/index.html</t>
  </si>
  <si>
    <t>http://www.office-village.de/</t>
  </si>
  <si>
    <t>https://www.ok-buerocenter.de/index.php/partner-and-kataloge/</t>
  </si>
  <si>
    <t>http://www.pimp-my-chair.com/SMV.html</t>
  </si>
  <si>
    <t>http://www.pimpmychair.de/SMV.html</t>
  </si>
  <si>
    <t>http://www.potztausend.de/index.html%3Fp=859.html</t>
  </si>
  <si>
    <t>http://www.rebelfreestyle.de/tag/uebergabe</t>
  </si>
  <si>
    <t>http://www.smv.design/</t>
  </si>
  <si>
    <t>http://www.smvgmbh.de/</t>
  </si>
  <si>
    <t>http://www.sueltrop.net/partnerlinks.html</t>
  </si>
  <si>
    <t>http://www.svenanwarbibi.com/index.php?id=48</t>
  </si>
  <si>
    <t>http://www.threesistersfolkartschool.com/coole-sitzmobel.html</t>
  </si>
  <si>
    <t>http://www.top-office-vertrieb.de/SMV.html</t>
  </si>
  <si>
    <t>http://www.top-office-vision.com/SMV.html</t>
  </si>
  <si>
    <t>http://www.top-office-vision.de/SMV.html</t>
  </si>
  <si>
    <t>http://www.tov.de/SMV.html</t>
  </si>
  <si>
    <t>http://www.treff-punkt-gesundheit.de/SMV.html</t>
  </si>
  <si>
    <t>https://www.ulrikeschwarz.com/project/starke-frauen-lass-dein-ziel-nicht-aus-den-augen/</t>
  </si>
  <si>
    <t>‚Äûvorbildunternehmerin des jahres 2014‚Äú</t>
  </si>
  <si>
    <t>https://www.woodenhome101.com/lounge-sofa-outdoor-holz.html</t>
  </si>
  <si>
    <t>manhattan lounge couch smv</t>
  </si>
  <si>
    <t>https://www.workandrelax.de/bueroeinrichtungen-marken/</t>
  </si>
  <si>
    <t>http://www.xn--bewegtes-bro-mlb.com/SMV.html</t>
  </si>
  <si>
    <t>http://www.xn--bewegtesbro-1hb.com/SMV.html</t>
  </si>
  <si>
    <t>http://www.xn--bro-ergonomie-wob.de/SMV.html</t>
  </si>
  <si>
    <t>http://www.xn--broeinrichtungen-seidel-cpc.de/partner.htm</t>
  </si>
  <si>
    <t>http://www.xn--broergonomie-dlb.com/SMV.html</t>
  </si>
  <si>
    <t>http://www.xn--drehsthl-c6a.de/</t>
  </si>
  <si>
    <t>_ weiter _</t>
  </si>
  <si>
    <t>http://www.xn--hds-bro-r2a.de/index8803.html?id=7</t>
  </si>
  <si>
    <t>http://www.xn--hs-bro-6ya.de/0000012385___________0000000003.htm</t>
  </si>
  <si>
    <t>http://www.xn--kundenverblffung-tzb.de/de/kommunikations-trainings/referenzen/details/?itemid=838</t>
  </si>
  <si>
    <t>http://www.xn--orthopdischebrosthle-gzb94ce.com/SMV.html</t>
  </si>
  <si>
    <t>http://www.xn--sitz-mbel-vertrieb-i3b.de/</t>
  </si>
  <si>
    <t>http://www.xn--smv-mbel-r4a.de/</t>
  </si>
  <si>
    <t>http://www.xn--smv-mbel-vertrieb-3zb.de/</t>
  </si>
  <si>
    <t>http://www.yildiz-design.de/portfolio.html</t>
  </si>
  <si>
    <t>https://www.haingmbh.de/</t>
  </si>
  <si>
    <t>https://www.agentur78.de/</t>
  </si>
  <si>
    <t>http://www.odp-office-furniture.com/</t>
  </si>
  <si>
    <t>SMV Sitz- &amp; Objektmöbel GmbH</t>
  </si>
  <si>
    <t>https://www.koch-walldorf.de/</t>
  </si>
  <si>
    <t>https://www.kuehn-online.com/de/</t>
  </si>
  <si>
    <t>https://www.architonic.com/en/microsite/smv-sitz-objektmobel/3105228</t>
  </si>
  <si>
    <t>Website</t>
  </si>
  <si>
    <t>https://www.office360.de/bueroeinrichtung/</t>
  </si>
  <si>
    <t>SMV Sitz- und Objektmöbel bei office360, Hannover</t>
  </si>
  <si>
    <t>https://bit.ly/2DMU2Qc</t>
  </si>
  <si>
    <t>http://gbo-hp.wixsite.com/gbo2017/inhalt-kreativitaet</t>
  </si>
  <si>
    <t>SMV Sitz-&amp; Objektmöbel GmbH</t>
  </si>
  <si>
    <t>https://www.wirtschaft-regional.net/unternehmen-maerkte/smv-hausmesse-17/</t>
  </si>
  <si>
    <t>https://trendkraft.io/user/smvwohlsitzen/</t>
  </si>
  <si>
    <t>WEBSITE</t>
  </si>
  <si>
    <t>https://personensuche.dastelefonbuch.de/Nachnamen/Brünger/Bad Salzuflen</t>
  </si>
  <si>
    <t>Webseite ansehen</t>
  </si>
  <si>
    <t>https://www.kuechenmeile.de/de/partner</t>
  </si>
  <si>
    <t>https://shi-systemhaus.de/ueber-shi/partner-hersteller/</t>
  </si>
  <si>
    <t>SMV - SMV Sitz- &amp; Objektmöbel GmbH</t>
  </si>
  <si>
    <t>https://www.robert-schoerck.de/hersteller.asp?id=3&amp;sub=10</t>
  </si>
  <si>
    <t>https://www.zeilfelder.de/produkte/</t>
  </si>
  <si>
    <t>https://www.schoener-wohnen.de/moebel/34446-bstr-schicke-sitzbaenke/173280-img-sitzbank-4six-von-smv</t>
  </si>
  <si>
    <t>https://www.tektorum.de/innenarchitektur-design/10312-nichtbrennbare-moebel-foyer-notwendiges-treppenhaus.html</t>
  </si>
  <si>
    <t>SMV Sitz- _ Objektmöbel GmbH SMV Sitz- _ Objektmöbel GmbH</t>
  </si>
  <si>
    <t>https://www.existenzgruenderinnen.de/SharedDocs/Personen/DE/Vorbildunternehmerinnen/Inge-Bruenger-Mylius.html</t>
  </si>
  <si>
    <t>Webseite von SMV Sitz- und Objektmöbel GmbH</t>
  </si>
  <si>
    <t>https://www.johann-wilhelm.de/partner.html</t>
  </si>
  <si>
    <t>Logo-schwarz-108x36D12-RA</t>
  </si>
  <si>
    <t>https://www.more-wolf.de/bueromoebelhersteller/</t>
  </si>
  <si>
    <t>https://www.starke-objekte.de/firma/Unsere-Partner/Lieferanten.html</t>
  </si>
  <si>
    <t>SMV Sitz- und Objektmöbel</t>
  </si>
  <si>
    <t>https://www.nette30.de/ihr/</t>
  </si>
  <si>
    <t>SMV Sitz- und Objektmöbel GmbH Löhne</t>
  </si>
  <si>
    <t>https://www.neueraeume.eu/en/product-consultancy</t>
  </si>
  <si>
    <t>Logo SMV</t>
  </si>
  <si>
    <t>https://www.siteprice.org/similar-websites/plagiarismfinder.de</t>
  </si>
  <si>
    <t>https://site-stats.org/smv.de/</t>
  </si>
  <si>
    <t>Go URL</t>
  </si>
  <si>
    <t>https://www.owler.com/company/smv-gmbh</t>
  </si>
  <si>
    <t>Smv Wohlsitzen's website »</t>
  </si>
  <si>
    <t>https://www.leineoffice.de/partner.html</t>
  </si>
  <si>
    <t>Glamox Luxo Beleuchtungssysteme Logo</t>
  </si>
  <si>
    <t>http://www.yellowmap.de/Details/egrLZhvgbW3o0y_Rg1Ng_w==.aspx</t>
  </si>
  <si>
    <t>https://www.followsite.net/www.smv-gmbh.de</t>
  </si>
  <si>
    <t>SMV Sitz- und Objektmöbel GmbH</t>
  </si>
  <si>
    <t>https://www.wegscheider-os.de/unternehmen/referenzen</t>
  </si>
  <si>
    <t>https://www.wohninsider.at/top-news/artikel/german-design-award-fuer-flexfive.html</t>
  </si>
  <si>
    <t>https://www.schlaganfall-kinder.de/2019/schaki-music-all-stars/index.html</t>
  </si>
  <si>
    <t>http://neuheiten.koelnmesse.net/271/2012/de/exhibitors/view/3181</t>
  </si>
  <si>
    <t>https://iba.online/ueber-uns/hersteller-marken/page7?alphabetical=&amp;product_type=&amp;product_usage=</t>
  </si>
  <si>
    <t>http://www.beliebtestewebseite.de/hpdetails.php?webseite=smv-gmbh.de</t>
  </si>
  <si>
    <t>Webseite besuchen</t>
  </si>
  <si>
    <t>https://www.buero-garisch.de/es/links</t>
  </si>
  <si>
    <t>http://www.smv-gmbh.de/de/blog/details/sessel-kuan-mit-natuerlichen-bestandteilen.html</t>
  </si>
  <si>
    <t>SMV GmbH</t>
  </si>
  <si>
    <t>Bild30</t>
  </si>
  <si>
    <t>http://www.bueser-buerotechnik.de/bueromoebel.html</t>
  </si>
  <si>
    <t>Büromöbel Hagen</t>
  </si>
  <si>
    <t>https://www.ergo-office-design.de/hersteller/</t>
  </si>
  <si>
    <t>https://www.freizeit-store-diepers.de/zubehoer/index.php</t>
  </si>
  <si>
    <t>https://stb-osna.de/aktuelles-dialog/aktuelles-dialog-sub/news-meldungen</t>
  </si>
  <si>
    <t>Alle Informationen</t>
  </si>
  <si>
    <t>https://www.bergmann-buero.de/hersteller/smv/</t>
  </si>
  <si>
    <t>https://www.buero-jung.de/unsere-lieferanten/</t>
  </si>
  <si>
    <t>https://www.bz-dw.de/buero-_und_objektaustattung.php</t>
  </si>
  <si>
    <t>SMV Sitz- &amp; Objektmöbel</t>
  </si>
  <si>
    <t>SMV Logo sw</t>
  </si>
  <si>
    <t>https://www.rasper-busch.de/aktuelles/</t>
  </si>
  <si>
    <t>Inge Brünger-Mylius</t>
  </si>
  <si>
    <t>https://h3.sug-webservice.de/aktuelles-dialog/aktuelles-dialog-sub/news-meldungen</t>
  </si>
  <si>
    <t>http://www.tageszeitung-24.de/firmenverzeichnis/einzelhandel-3/moebel-361/Bünde/smv-sitzmoebel-vertriebsgesellschaft-mbh-8973903.html</t>
  </si>
  <si>
    <t>https://www.udo-staehling.de/produkte/bueroeinrichtung/allgemein-hersteller/</t>
  </si>
  <si>
    <t>https://www.kiefel-büroeinrichtung.de/kiefel-unternehmensgruppe/büroeinrichtung-und-design/hersteller/</t>
  </si>
  <si>
    <t>Kiefel Büroeinrichtung Design Bürowelten Kiefel Unternehmensgruppe Frankenberg Rossau</t>
  </si>
  <si>
    <t>SMV Sitz- &amp; Objektmöbel GmbH, Löhne</t>
  </si>
  <si>
    <t>SMV - Jobbörse bei SMV</t>
  </si>
  <si>
    <t>ABV</t>
  </si>
  <si>
    <t>https://moebel-gollrad.de/service/leistungen</t>
  </si>
  <si>
    <t>http://firmenregister.de/register.php?cmd=mysearch&amp;fr=Ojo6Ojo6Ojo6OjMyMjU3Ojo6Ojo6Ojo6Ojo6Ojo=&amp;auswahl=alle&amp;ap=26</t>
  </si>
  <si>
    <t>http://www.namenfinden.de/s/heinrich+voth</t>
  </si>
  <si>
    <t>Bücher tauschen in Löhne - SMV</t>
  </si>
  <si>
    <t>https://audecibel.com/podcast-episode/FR/Endlich-Montag-Jobsuche-Bewerbung/68864/6994674/10</t>
  </si>
  <si>
    <t>https://www.kanzlei-weberstrasse.de/aktuelles-dialog/aktuelles-dialog-sub/news-meldungen</t>
  </si>
  <si>
    <t>SMV Sitzmöbel</t>
  </si>
  <si>
    <t>https://www.eudir21.com/de/company-detail/890615-smv-sitz--und-objektmobel-gmbh</t>
  </si>
  <si>
    <t>https://www.meridianunplugged.com/ubbthreads/ubbthreads.php?ubb=showflat&amp;Number=125613</t>
  </si>
  <si>
    <t>http://www.smv-gmbh.de/produkte/sonstiges/transportkarre-stuhltransport.html</t>
  </si>
  <si>
    <t>https://seekty.com/lohne/local-business/smv-sitz-objektmobel-gmbh/</t>
  </si>
  <si>
    <t>http://updowntoday.com/en/sites/smv-gmbh.de</t>
  </si>
  <si>
    <t>https://www.herold-buerosysteme.de/startseite.html</t>
  </si>
  <si>
    <t>https://www.loeffler-creativeinrichtungen.de/unternehmen/partner</t>
  </si>
  <si>
    <t>http://stuhl.fanbloomingtastic.com/sitzhohe-sofa/</t>
  </si>
  <si>
    <t>More @ www.smv-gmbh.de</t>
  </si>
  <si>
    <t>https://www.konzepta-siegen.de/marken/</t>
  </si>
  <si>
    <t>SMV ist ein Sitzmöbelhersteller für Office Möbel mit außergewöhnlichem Design und innovativen Konzeptlösungen.</t>
  </si>
  <si>
    <t>SMV – Sitz-Möbel-Vertriebsgesellschaft mbH</t>
  </si>
  <si>
    <t>http://www.smv-moebel.de/</t>
  </si>
  <si>
    <t>Please click here to be redirected to the final page.</t>
  </si>
  <si>
    <t>https://www.stratford-models.co.uk/images/images/jiaju53.php?/de/product/smv-sitz-objektmoebel-peep/1561939</t>
  </si>
  <si>
    <t>SMV wohlsitzen</t>
  </si>
  <si>
    <t>zu guten Stellenangeboten bei SMV Sitz- &amp; Objektmöbel GmbH</t>
  </si>
  <si>
    <t>SMV Sitz- und Objektmöbel GmbH Löhne / Gohfeld</t>
  </si>
  <si>
    <t>SMV wohlsitzen - Lebensräume brauchen Ideen</t>
  </si>
  <si>
    <t>https://mail.factsoffice.de/aktuelles-dialog/aktuelles-dialog-sub/news-meldungen</t>
  </si>
  <si>
    <t>http://factsoffice.com/aktuelles-dialog/aktuelles-dialog-sub/news-meldungen/item/smv-eigenes-compliance-system/965</t>
  </si>
  <si>
    <t>https://www.buero-objektmoebel.de/index8803.html?id=7</t>
  </si>
  <si>
    <t>https://www.hds-design.de/index8803.html?id=7</t>
  </si>
  <si>
    <t>https://www.hds1883.de/index8803.html?id=7</t>
  </si>
  <si>
    <t>https://www.hds24shop.de/index8803.html?id=7</t>
  </si>
  <si>
    <t>https://www.hdsbuero.de/index8803.html?id=7</t>
  </si>
  <si>
    <t>https://büro-objektmöbel.de/index0d7d.html?id=119</t>
  </si>
  <si>
    <t>https://www.hds-büro.de/index0d7d.html?id=119</t>
  </si>
  <si>
    <t>http://www.smv-gmbh.com/</t>
  </si>
  <si>
    <t>http://kundenverblüffung.de/de/kommunikations-trainings/referenzen/details/?itemid=253</t>
  </si>
  <si>
    <t>http://www.smv-sitzmöbel.de/</t>
  </si>
  <si>
    <t>[ weiter ]</t>
  </si>
  <si>
    <t>http://smv-gmbh.biz/</t>
  </si>
  <si>
    <t>http://smv-wohlsitzen.biz/</t>
  </si>
  <si>
    <t>http://wohlsitzen.biz/</t>
  </si>
  <si>
    <t>http://dein-jeans-sessel.com/</t>
  </si>
  <si>
    <t>http://jeans-sessel.com/</t>
  </si>
  <si>
    <t>http://jeanssessel.com/</t>
  </si>
  <si>
    <t>http://wohlsitzen.com/</t>
  </si>
  <si>
    <t>https://www.heinrichobjekt.de/html/objektstuhle.html</t>
  </si>
  <si>
    <t>Leros</t>
  </si>
  <si>
    <t>http://sitzmoebel-vertrieb.de/</t>
  </si>
  <si>
    <t>http://smv-sitz-moebel.de/</t>
  </si>
  <si>
    <t>http://smv-sitzmoebel.de/</t>
  </si>
  <si>
    <t>http://smv-wohlsitzen.de/</t>
  </si>
  <si>
    <t>http://drehstühl.de/</t>
  </si>
  <si>
    <t>http://sitz-möbel-vertrieb.de/</t>
  </si>
  <si>
    <t>http://sitzen-mit-vergnügen.de/</t>
  </si>
  <si>
    <t>http://sitzvergnügen.de/</t>
  </si>
  <si>
    <t>http://smv-bürostühle.de/</t>
  </si>
  <si>
    <t>http://smv-drehstühle.de/</t>
  </si>
  <si>
    <t>http://smv-möbel.de/</t>
  </si>
  <si>
    <t>http://smv-möbel-vertrieb.de/</t>
  </si>
  <si>
    <t>http://smv-wohlsitzen.eu/</t>
  </si>
  <si>
    <t>http://wohlsitzen.eu/</t>
  </si>
  <si>
    <t>http://smv-gmbh.info/</t>
  </si>
  <si>
    <t>http://smv-wohlsitzen.info/</t>
  </si>
  <si>
    <t>http://wohlsitzen.info/</t>
  </si>
  <si>
    <t>http://smv-gmbh.net/</t>
  </si>
  <si>
    <t>http://smv-wohlsitzen.net/</t>
  </si>
  <si>
    <t>http://wohlsitzen.net/</t>
  </si>
  <si>
    <t>http://smv-gmbh.org/</t>
  </si>
  <si>
    <t>http://smv-wohlsitzen.org/</t>
  </si>
  <si>
    <t>http://wohlsitzen.org/</t>
  </si>
  <si>
    <t>quelle</t>
  </si>
  <si>
    <t>Smv-gmbh.de</t>
  </si>
  <si>
    <t>tl_files/version2/img/leistungen/partner/profim.gif</t>
  </si>
  <si>
    <t>SMV Wohlsitzen</t>
  </si>
  <si>
    <t>http://www.smv-gmbh.de/produkte/brandschutz.html</t>
  </si>
  <si>
    <t>smv GmbH</t>
  </si>
  <si>
    <t>SMV SITZM�BEL</t>
  </si>
  <si>
    <t>x_smv_logo</t>
  </si>
  <si>
    <t>Ausbildung (m/w) als Fachkraft f�r Lagerlogistik www.smv-gmbh.de &amp;bull; L�hne SMV Sitz-M�bel-Vertriebs- gesellschaft mbH</t>
  </si>
  <si>
    <t>Inge Brünger - Mylius</t>
  </si>
  <si>
    <t>Login</t>
  </si>
  <si>
    <t>Hier geht es zur Hersteller-Website »</t>
  </si>
  <si>
    <t>smw</t>
  </si>
  <si>
    <t>logo-smv-01-lo</t>
  </si>
  <si>
    <t>Girsberger</t>
  </si>
  <si>
    <t>www.smv-gmbh.de/produkte/besucherstuehle.html</t>
  </si>
  <si>
    <t>zur Webseite</t>
  </si>
  <si>
    <t>SMV - Objektm�bel, Sitzm�bel, Empfangsm�bel und Loungem�bel</t>
  </si>
  <si>
    <t>3D-Animation</t>
  </si>
  <si>
    <t>SMV - WISSEN WAS GUT IST - SMV - Objektm�bel, Sitzm�bel ...</t>
  </si>
  <si>
    <t>lo_smv</t>
  </si>
  <si>
    <t>logo_smvwohlsitzen</t>
  </si>
  <si>
    <t>Zur SMV-Homepage</t>
  </si>
  <si>
    <t>Logo SMV � Sitz- und Objektm�bel</t>
  </si>
  <si>
    <t>wohlsitzen, für Innen und Aussen</t>
  </si>
  <si>
    <t>Unternehmen SMV Sitzmöbel</t>
  </si>
  <si>
    <t>SMV Objekteinrichtungen</t>
  </si>
  <si>
    <t>SMV Sitz- und Objektm�bel GmbH</t>
  </si>
  <si>
    <t>SMV Sitzm�bel und M�belsysteme</t>
  </si>
  <si>
    <t>Besprechungs- und Bistrotische</t>
  </si>
  <si>
    <t>SMV - RELAXEN NACH ZAHLEN</t>
  </si>
  <si>
    <t>Internetseite SMV Sitz- &amp; Objektmöbel GmbH</t>
  </si>
  <si>
    <t>Lederkollektion</t>
  </si>
  <si>
    <t>SMV- Sitz und Objektmöbel aus Löhne</t>
  </si>
  <si>
    <t>SMV - Empfangsmöbel, Loungemöbel, Sitze und Bänke</t>
  </si>
  <si>
    <t>SMV - Sitz - M�bel Vertriebsges.</t>
  </si>
  <si>
    <t>SMV - Barhocker, Tresenhocker und Barstühle</t>
  </si>
  <si>
    <t>SMV Webseite</t>
  </si>
  <si>
    <t>SMV B�rom�bel und M�belsysteme</t>
  </si>
  <si>
    <t>hier ehalten Sie mehr Informationen über SMV</t>
  </si>
  <si>
    <t>http://www.smv-gmbh.de/news/kalender.html</t>
  </si>
  <si>
    <t>SMV Büro, - u. Objektzubehör</t>
  </si>
  <si>
    <t>SMV - Referenzen</t>
  </si>
  <si>
    <t>Händler / Partner</t>
  </si>
  <si>
    <t>Spam</t>
  </si>
  <si>
    <t>Presseportal</t>
  </si>
  <si>
    <t>Online-Magazin</t>
  </si>
  <si>
    <t>Blog</t>
  </si>
  <si>
    <t>Domain</t>
  </si>
  <si>
    <t>Veranstaltung</t>
  </si>
  <si>
    <t>https://www.arcade-xxl.de/news/25781</t>
  </si>
  <si>
    <t>Portal</t>
  </si>
  <si>
    <t>https://implisense.com/en/companies/smv-sitz-objektmobel-gmbh-lohne-DEDYBPC2BI77</t>
  </si>
  <si>
    <t>Referenzprojekt</t>
  </si>
  <si>
    <t>https://www.goppert-buero.de/unsere-partner/</t>
  </si>
  <si>
    <t>https://www.frauenbranchenbuch-owl.de/smv-sitz-objektmoebel-gmbh-sitzen-mit-visionen-ueber-25-jahren/</t>
  </si>
  <si>
    <t>https://www.inbonova.de/partner.html</t>
  </si>
  <si>
    <t>Stellenbörse</t>
  </si>
  <si>
    <t>https://www.kempf-bueroeinrichtungen.de/hersteller/</t>
  </si>
  <si>
    <t>http://www.ebe-elmshorn.de/bueroeinrichtung.html</t>
  </si>
  <si>
    <t>Achtung!</t>
  </si>
  <si>
    <t>https://www.wini.de/360-magazin/artikel/360-aktuelles/news/stern-nr-16-sitzen-die-unterschaetzte-gefahr/</t>
  </si>
  <si>
    <t>https://www.sturm-eningen.de/index.php?id=unsere_partner</t>
  </si>
  <si>
    <t>https://www.offermannsundpartner.de/hersteller</t>
  </si>
  <si>
    <t>Auswertung &amp; Statistik</t>
  </si>
  <si>
    <t>Sonstige Anmerkungen</t>
  </si>
  <si>
    <t>Händler gelöscht</t>
  </si>
  <si>
    <t>Spam löschen</t>
  </si>
  <si>
    <t>Branchenverz. Löschen</t>
  </si>
  <si>
    <t>Unbekannt (gelöscht)</t>
  </si>
  <si>
    <t>https://www.wlw.at/de/firma/smv-sitz-und-objektmoebel-gmbh-577456</t>
  </si>
  <si>
    <t>https://www.wlw.ch/de/firma/smv-sitz-und-objektmoebel-gmbh-577456</t>
  </si>
  <si>
    <t>https://www.archiproducts.com/de/news/smv-im-co-working-space-der-hotelfachschule-hamburg_80185</t>
  </si>
  <si>
    <t>https://www.firmenwissen.de/az/firmeneintrag/32584/4170117988/SMV_SITZ_OBJEKTMOEBEL_GMBH.html</t>
  </si>
  <si>
    <t>https://www.arbeitstipps.de/gemuetliche-sitzecke-buero-einrichten-vorteile-einrichtungsideen.html</t>
  </si>
  <si>
    <t>https://das-unternehmerhandbuch.de/einrichtung-buero-motivation/</t>
  </si>
  <si>
    <t>https://www.designmadeingermany.de/weblog/sitzmoebel/</t>
  </si>
  <si>
    <t>https://g-wie-gastro.de/abteilungen/arbeitsschutz/brandschutz/brandschutzmoebel-in-der-gastronomie.html</t>
  </si>
  <si>
    <t>https://www.lokalwissen.de/smv-sitz--und-objektm%C3%B6bel-gmbh-l%C3%B6hne-29745.html</t>
  </si>
  <si>
    <t>https://seositecheckup.com/seo-audit/smv-gmbh.de</t>
  </si>
  <si>
    <t>http://www.arbeitsratgeber.com/betriebliches-gesundheitsmanagement-tipps-fur-die-psychosoziale-gesundheit/</t>
  </si>
  <si>
    <t>http://de.buildup.group/category/bfc41b7e-fa6f-44c2-9adf-73ebf9ef1d79/view</t>
  </si>
  <si>
    <t>https://www.pluradent.de/de/produkte/praxis/fundgrube-praxis/couchtisch-royal/</t>
  </si>
  <si>
    <t>https://www.edle-bauelemente.de/betriebe-im-fokus-bauelemente-fuer-gewerbe-und-gastronomie/</t>
  </si>
  <si>
    <t>http://greenya.de/eintrag/218689-lhne-bueromoebel-smv-sitz-objektmbel-gmbh</t>
  </si>
  <si>
    <t>https://greenya.de/gute-nachrichten/querdenker-mit-gruenem-herz-objektmoebelhersteller-smv-vereint-design-und-nachhaltigkeit-fuer-ein-reines-gewissen-und-optimalen-sitzkomfort</t>
  </si>
  <si>
    <t>https://www.unikatoo.com/blog/flexfive-smv-modulare-sitzlandschaft/</t>
  </si>
  <si>
    <t>https://www.german-brand-award.com/preistraeger/galerie/detail/13877-smv-sitz-objektmoebel-gmbh.html</t>
  </si>
  <si>
    <t>http://bauenwohnen.org/NW/lohne/smv-sitz--objektmobel-gmbh/</t>
  </si>
  <si>
    <t>https://www.idcrawl.com/gabriela-kaiser</t>
  </si>
  <si>
    <t>https://vegconomist.com/products-and-launches/quality-made-from-cork-vegan-seating-from-german-company-smv/</t>
  </si>
  <si>
    <t>http://office-dealzz.office-roxx.de/hotelfachschule-hamburg-beherbergt-coworking-space/</t>
  </si>
  <si>
    <t>http://www.royschulz.de/bueromoebel_blaetterkataloge/</t>
  </si>
  <si>
    <t>http://the-coconutoil.blogspot.com/2019/08/bank-polster.html</t>
  </si>
  <si>
    <t>https://officedesign24.de/</t>
  </si>
  <si>
    <t>https://planer.iba.online/inspirationen/brandschutz-in-jeder-schicht</t>
  </si>
  <si>
    <t>http://www.kultampult.de/kultampult/news/archiv/default.asp?nws_item=48177&amp;i_item=48177&amp;nws_step=15&amp;nws_start=136&amp;rb=kleinanzeigen&amp;nws_rb=kleinanzeigen&amp;nws_no=01</t>
  </si>
  <si>
    <t>http://www.inqa-audit.de/praxis/teilnehmerarchiv/smv-sitz-objektmoebel-gmbh-mit-einstiegsurkunde-des-audits-zukunftsfaehige-unternehmenskultur-ausgezeichnet</t>
  </si>
  <si>
    <t>http://soelring-museen.de/kooperationspartner/</t>
  </si>
  <si>
    <t>http://www.designyouroffice.de/de/smv-hitch-stehtisch-hochtisch</t>
  </si>
  <si>
    <t>https://bs03-hamburg.de/co-working-space-in-der-hotelfachschule/</t>
  </si>
  <si>
    <t>https://www.hausbau.net/hausbau/ausbau/2/94/588/560/raumakustik-im-eigenheim-5-tipps.html</t>
  </si>
  <si>
    <t>http://www.gastroecho.de/sitzbank-4six-objektmoebel-in-hotel-und-gastgewerbe/</t>
  </si>
  <si>
    <t>https://www.wlw.be/de/firma/smv-sitz-und-objektmoebel-gmbh-577456</t>
  </si>
  <si>
    <t>https://loginboost.com/s-logins/smv-gmbhde-login.php</t>
  </si>
  <si>
    <t>http://www.der-schumacher.de/marken/smv.html</t>
  </si>
  <si>
    <t>https://pdu365.de/de/suche/kantineneinrichtungen?page=4&amp;hash=03ee9dc8805d574e3c8a887dafa4fb5f</t>
  </si>
  <si>
    <t>https://bublitz-einrichtungen.de/marken/smv/</t>
  </si>
  <si>
    <t>https://www.sanctuaryvf.org/coole-lounge-sessel/</t>
  </si>
  <si>
    <t>https://iba-forum.expo-ip.com/stand/smv</t>
  </si>
  <si>
    <t>https://fischer-bueromoebel.de/partner/</t>
  </si>
  <si>
    <t>http://www.sueltrop.com/partnerlinks.html</t>
  </si>
  <si>
    <t>http://www.tg-contor.de/hersteller.html</t>
  </si>
  <si>
    <t>https://usedevelopments.com/weblog/sitzmoebel/</t>
  </si>
  <si>
    <t>https://www.wks-buerotechnik.de/bueroeinrichtung.php</t>
  </si>
  <si>
    <t>https://www.derenet.de/bueroeinrichtungen/bueromoebel</t>
  </si>
  <si>
    <t>https://heimatfuermacher.de/produkte-dienstleistungen/smv-sitz-objektmoebel-gmbh-inge-bruenger-mylius/</t>
  </si>
  <si>
    <t>https://www.wlw.lu/de/firma/smv-sitz-und-objektmoebel-gmbh-577456</t>
  </si>
  <si>
    <t>https://www.kaechelen.de/bueroeinrichtung-hersteller-marken/</t>
  </si>
  <si>
    <t>https://abe-inneneinrichtungen.de/marken/</t>
  </si>
  <si>
    <t>https://wambach-gmbh.de/</t>
  </si>
  <si>
    <t>http://www.quadro-office-nord.de/produkte/buerostuhl/</t>
  </si>
  <si>
    <t>https://engine.presearch.org/search?q=Manhattan&amp;page=4</t>
  </si>
  <si>
    <t>https://www.schwadke-shop.de/alle-artikel/594/smv-manhattan-2-sitzer-highback-abholpreis</t>
  </si>
  <si>
    <t>http://www.orgatec.com/exhibitors-and-products/exhibitor-index/exhibitor-index-16.php?fw_goto=aussteller/details&amp;amp;&amp;amp;kid=0040107308</t>
  </si>
  <si>
    <t>https://www.xn--kiefel-broeinrichtung-gic.de/kiefel-unternehmensgruppe/b%C3%BCroeinrichtung-und-design/hersteller/</t>
  </si>
  <si>
    <t>https://www.kurzbach-vechta.de/portfolio/buero-besucherstuehle/</t>
  </si>
  <si>
    <t>https://www.judgejimjordan.com/3-sitzer-lounge-sofa/</t>
  </si>
  <si>
    <t>http://archiv.innozent-owl.de/aktuelles/16112016-social-media-loehne/</t>
  </si>
  <si>
    <t>https://www.sundermann-buerokonzepte.de/</t>
  </si>
  <si>
    <t>https://quadro-office.de/partner/</t>
  </si>
  <si>
    <t>https://alma.lu/de/partner/</t>
  </si>
  <si>
    <t>http://profi-m.eu/</t>
  </si>
  <si>
    <t>http://www.flanjak.eu/lieferanten.html</t>
  </si>
  <si>
    <t>https://pat.rest/barhocker-nur-sitz.html</t>
  </si>
  <si>
    <t>https://chotoka.net/kajak-sitz-hohe-lehne.html</t>
  </si>
  <si>
    <t>https://wohnkultur.netlify.app/hochbank-mit-lehne.html</t>
  </si>
  <si>
    <t>https://buch-vonbolton.netlify.app/polstermaterial-fuer-sofa.html</t>
  </si>
  <si>
    <t>https://ww2-bank.netlify.app/barhocker-bank.html</t>
  </si>
  <si>
    <t>https://tina-kalas880.web.app/barhocker-bank.html</t>
  </si>
  <si>
    <t>http://instantiate.co/barhocker-sedeo</t>
  </si>
  <si>
    <t>https://earntrickz.com/image/sofa-f%C3%BC%C3%9Fe-edelstahl-eckig.html</t>
  </si>
  <si>
    <t>http://www.injustice-today.com/tischgestell-edelstahl-geburstet/</t>
  </si>
  <si>
    <t>https://www.teresaduckfineart.com/image/sofa-f%C3%BC%C3%9Fe-edelstahl-eckig.html</t>
  </si>
  <si>
    <t>https://tuwendy.blogspot.com/2020/02/italian-plastic-outdoor-chairs.html</t>
  </si>
  <si>
    <t>https://www.poisonoakproductions.com/sitzsack-big-bag.html</t>
  </si>
  <si>
    <t>https://zyklonbproductions.com/image/sofa-f%C3%BC%C3%9Fe-edelstahl-eckig.html</t>
  </si>
  <si>
    <t>https://inhghs.com/weblog/sitzmoebel/</t>
  </si>
  <si>
    <t>https://pigeonforgeweddingsvenues.com/image/sofa-f%C3%BC%C3%9Fe-edelstahl-eckig.html</t>
  </si>
  <si>
    <t>https://www.gerberapartmentproperties.com/image/sofa-f%C3%BC%C3%9Fe-edelstahl-eckig.html</t>
  </si>
  <si>
    <t>https://landingpageconstructor.com/image/sofa-f%C3%BC%C3%9Fe-edelstahl-eckig.html</t>
  </si>
  <si>
    <t>https://www.soundsmeister.com/image/sofa-f%C3%BC%C3%9Fe-edelstahl-eckig.html</t>
  </si>
  <si>
    <t>http://co.mengger.com/ritz-er-cookies/</t>
  </si>
  <si>
    <t>https://generation-wonder.com/image/sofa-f%C3%BC%C3%9Fe-edelstahl-eckig.html</t>
  </si>
  <si>
    <t>http://www.fazerartesanato.com/coole-mobel/</t>
  </si>
  <si>
    <t>https://britespotsanpedro.com/image/sofa-f%C3%BC%C3%9Fe-edelstahl-eckig.html</t>
  </si>
  <si>
    <t>https://www.lonestarknifeexpo.com/image/sofa-f%C3%BC%C3%9Fe-edelstahl-eckig.html</t>
  </si>
  <si>
    <t>http://www.breakingon.com/little-coffee-tables/</t>
  </si>
  <si>
    <t>https://projektlublin.com/image/sofa-f%C3%BC%C3%9Fe-edelstahl-eckig.html</t>
  </si>
  <si>
    <t>http://www.saveladywellpool.com/akustik-sessel-buro/</t>
  </si>
  <si>
    <t>https://www.moebelhaus-moebel.com/smv-sitz-objektmoebel-gmbh-in-loehne-moebelhaus-moebel/</t>
  </si>
  <si>
    <t>http://bridgeportbenedumfestival.com/barhocker-sedeo.html</t>
  </si>
  <si>
    <t>https://www.savvieri.com/leicht-gmbh-co-aktuelles-vom-m%C3%B6belhaus/11308865461395733149</t>
  </si>
  <si>
    <t>https://repenglish.com/image/sofa-f%C3%BC%C3%9Fe-edelstahl-eckig.html</t>
  </si>
  <si>
    <t>https://wohndesign.ultradelarue.com/hochbank-mit-lehne.html</t>
  </si>
  <si>
    <t>https://www.landewednackhouse.com/akustik-sessel-buro/</t>
  </si>
  <si>
    <t>https://irockanytimeanywhere.com/image/sofa-f%C3%BC%C3%9Fe-edelstahl-eckig.html</t>
  </si>
  <si>
    <t>https://lohne-nw.deutscheshoponline.com/smv-sitz-objektmobel-gmbh/</t>
  </si>
  <si>
    <t>https://www.theblowingrockgrille.com/11246142454816589688/blogger.html</t>
  </si>
  <si>
    <t>https://levinsonforjustice.com/11246142454816589688/blogger.html</t>
  </si>
  <si>
    <t>https://melanieharrold.com/1026513365614042342/tischdesign24-brisbane-couchtisch-mit-einer-12mm-starken-klarglas.html</t>
  </si>
  <si>
    <t>https://holeybrewed.com/11246142454816589688/blogger.html</t>
  </si>
  <si>
    <t>https://www.sparechangeinc.com/coole-lounge-sessel/</t>
  </si>
  <si>
    <t>https://seotech2.com/2021/05/25/free-backlinks-provider-site-list-135001-to-140000/</t>
  </si>
  <si>
    <t>https://duitse-kantoormeubelen.nl/fabrikanten/smv/</t>
  </si>
  <si>
    <t>http://smv-gmbh.co.uk/</t>
  </si>
  <si>
    <t>http://www.surrey-office-furniture.co.uk/sofa-cover-with-peninsula-genius-swing-left-white.html</t>
  </si>
  <si>
    <t>https://staging.nzp.ch/referenzen_cpt/smv-sitz-objektmobel-gmbh/</t>
  </si>
  <si>
    <t>http://smv-gmbh.ch/</t>
  </si>
  <si>
    <t>https://meraswasthyameriaawaz.org/image/sofa-f%C3%BC%C3%9Fe-edelstahl-eckig.html</t>
  </si>
  <si>
    <t>https://www.loudounballet.org/image/sofa-f%C3%BC%C3%9Fe-edelstahl-eckig.html</t>
  </si>
  <si>
    <t>http://www.biocassavaplus.org/akustik-sessel-buro/</t>
  </si>
  <si>
    <t>https://arnoldchiarimalformation.org/image/sofa-f%C3%BC%C3%9Fe-edelstahl-eckig.html</t>
  </si>
  <si>
    <t>https://www.btgresearch.org/ottomane.html</t>
  </si>
  <si>
    <t>https://www.tarantovecchia.org/image/sofa-f%C3%BC%C3%9Fe-edelstahl-eckig.html</t>
  </si>
  <si>
    <t>https://stclement1.org/image/sofa-f%C3%BC%C3%9Fe-edelstahl-eckig.html</t>
  </si>
  <si>
    <t>https://wks2.srv2.msbu.de/bueroeinrichtung.php</t>
  </si>
  <si>
    <t>https://buerokult.de/</t>
  </si>
  <si>
    <t>https://mail.webinhalt.de/Webverzeichnis/Branchen_und_Gewerbe/I/Innenausbau/Ladenbau/</t>
  </si>
  <si>
    <t>https://www.wbhandelsagentur.de/</t>
  </si>
  <si>
    <t>http://www.gruber-top.de/index_buero.php?show=referenzen_partner</t>
  </si>
  <si>
    <t>http://www.optimalesbuero.de/lieferanten.html</t>
  </si>
  <si>
    <t>http://www.optimales-buero.de/lieferanten.html</t>
  </si>
  <si>
    <t>https://kb-einrichtungen.de/service/partner/</t>
  </si>
  <si>
    <t>https://www.arcadexxl.de/news/26504</t>
  </si>
  <si>
    <t>https://edle-bauelemente.tentakelfabrik.de/betriebe-im-fokus-bauelemente-fuer-gewerbe-und-gastronomie/</t>
  </si>
  <si>
    <t>http://www.flanjak.de/lieferanten.html</t>
  </si>
  <si>
    <t>http://www.voko-flanjak.de/lieferanten.html</t>
  </si>
  <si>
    <t>https://www.muehlmann-online.de/hersteller</t>
  </si>
  <si>
    <t>http://mail.leineoffice.de/partner.html</t>
  </si>
  <si>
    <t>http://facts-office.de/aktuelles-dialog/aktuelles-dialog-sub/news-meldungen/item/ein-zeichen-der-nachhaltigkeit/1324</t>
  </si>
  <si>
    <t>https://www.wn-deutschland.de/firmen-unternehmen-in-deutschland.html/L%C3%B6hne/SMV+Sitz-+Objektm%C3%B6bel+GmbH/firmenprofil/57167</t>
  </si>
  <si>
    <t>http://www.xn--optimales-bro-6ob.de/lieferanten.html</t>
  </si>
  <si>
    <t>http://www.xn--optimalesbro-mlb.de/lieferanten.html</t>
  </si>
  <si>
    <t>https://referenzen.kurzbach-vechta.de/?portfolio=buero-besucherstuehle</t>
  </si>
  <si>
    <t>http://web.office360.de/bueroeinrichtung/smv-bei-office360-in-hannover</t>
  </si>
  <si>
    <t>https://airjordanflight89.cc/landhaus-couch/</t>
  </si>
  <si>
    <t>box http://www.smv-gmbh.de</t>
  </si>
  <si>
    <t>box zur website</t>
  </si>
  <si>
    <t>smv sitz- und objektm√∂bel gmbh</t>
  </si>
  <si>
    <t>‚Äûblogger‚Äú von der smv sitz- &amp; objektm√∂bel gmbh</t>
  </si>
  <si>
    <t>sitzm√∂bel mit akustischer wirksamkeit</t>
  </si>
  <si>
    <t>komfortabelste brandschutzm√∂bel</t>
  </si>
  <si>
    <t>besuchen sie die webseite</t>
  </si>
  <si>
    <t>couch - smv</t>
  </si>
  <si>
    <t>weitere informationen</t>
  </si>
  <si>
    <t>flexfive</t>
  </si>
  <si>
    <t>open webseite</t>
  </si>
  <si>
    <t>interview mit trendforscherin gabriela kaiser</t>
  </si>
  <si>
    <t>erfahren sie hier mehr √ºber smv</t>
  </si>
  <si>
    <t xml:space="preserve"> mehr erfahren </t>
  </si>
  <si>
    <t>website</t>
  </si>
  <si>
    <t>https://www.smv-gmbh.de/de/produkt/hitch.html</t>
  </si>
  <si>
    <t>sitzen mit ‚Ä¶ versch√∂nerung (smv-gmbh.de)</t>
  </si>
  <si>
    <t>designersofa 90deegree</t>
  </si>
  <si>
    <t>sitzbank 4six</t>
  </si>
  <si>
    <t>sitzen mit visionen - smv-gmbh.de</t>
  </si>
  <si>
    <t>hier geht‚Äôs zu smv</t>
  </si>
  <si>
    <t>zur homepage des herstellers</t>
  </si>
  <si>
    <t>manhattan lounge sofa und sessel f√ºrs b√ºro ¬ª smv sitzm√∂bel</t>
  </si>
  <si>
    <t>kiefel b√ºroeinrichtung design b√ºrowelten kiefel unternehmensgruppe frankenberg rossau</t>
  </si>
  <si>
    <t>https://alma.lu/wp-content/uploads/2020/07/smv.jpg</t>
  </si>
  <si>
    <t>more @ www.smv-gmbh.de</t>
  </si>
  <si>
    <t>aegg lounge sessel futuristischer empfangssessel von smv</t>
  </si>
  <si>
    <t>loungebank juke box von smv sitzbank mit hoher ruckenlehne</t>
  </si>
  <si>
    <t>manhattan highback von smv sofa mit besonders hohem rucken</t>
  </si>
  <si>
    <t>cardonan barhocker bank</t>
  </si>
  <si>
    <t>saphir tellerfuss eckig tischgestell fur buro loungetische</t>
  </si>
  <si>
    <t>ritz no 2 couchtisch smv</t>
  </si>
  <si>
    <t>couchtisch edelstahl gebuerstet rund</t>
  </si>
  <si>
    <t>https://smv-gmbh.de</t>
  </si>
  <si>
    <t>xis ottomane ottoman smv</t>
  </si>
  <si>
    <t>smv-gmbh</t>
  </si>
  <si>
    <t>https://www.muehlmann-online.de/media/pages/hersteller/1814531315-1595340046/smv_neu.jpg</t>
  </si>
  <si>
    <t>glamox luxo beleuchtungssysteme logo</t>
  </si>
  <si>
    <t>dortmund</t>
  </si>
  <si>
    <t>https://www.bauplanungen.de/Bueroplanungen</t>
  </si>
  <si>
    <t>https://finde-offen.de/loehne/smv-sitz-objektmöbel-gmbh-1385319</t>
  </si>
  <si>
    <t>https://d1mi357fofxv7j.cloudfront.net/</t>
  </si>
  <si>
    <t>https://architekturdsgn.blogspot.com/2020/06/sessel-hohe-sitzhohe.html</t>
  </si>
  <si>
    <t>https://esszimmerdsgn.blogspot.com/2020/03/sessel-mit-hoher-lehne.html</t>
  </si>
  <si>
    <t>https://wohndesignes.blogspot.com/2020/03/sessel-mit-hoher-lehne.html</t>
  </si>
  <si>
    <t>https://wohndesignlove.blogspot.com/2020/04/sessel-hohe-ruckenlehne.html</t>
  </si>
  <si>
    <t>https://wohnkulturdesign.blogspot.com/2020/03/sessel-mit-hoher-lehne.html</t>
  </si>
  <si>
    <t>https://wohnungdesignideas.blogspot.com/2020/03/sessel-mit-hoher-lehne.html</t>
  </si>
  <si>
    <t>https://zallacadesign.blogspot.com/2020/03/sessel-mit-hoher-lehne.html</t>
  </si>
  <si>
    <t>Mehr erfahren</t>
  </si>
  <si>
    <t>https://www.worldwidetopsite.com/2020/12/ahrefs-site-28.html</t>
  </si>
  <si>
    <t>http://feeds.feedburner.com/edle-bauelemente</t>
  </si>
  <si>
    <t>http://xn--bro-jung-65a.de/ueber-uns/lieferanten/</t>
  </si>
  <si>
    <t>http://www.bit-technik.de/produkte/moebel.htm</t>
  </si>
  <si>
    <t>http://dingeldongel.de/SMV.html</t>
  </si>
  <si>
    <t>http://der-ergoshop.de/SMV.html</t>
  </si>
  <si>
    <t>http://bewegtesbuero.de/SMV.html</t>
  </si>
  <si>
    <t>http://ergonomische-arbeitswelten.com/SMV.html</t>
  </si>
  <si>
    <t>http://www.tokaro.com/smv.htm</t>
  </si>
  <si>
    <t>http://www.aktiv-sit.eu/SMV.html</t>
  </si>
  <si>
    <t>http://dev.hain-gmbh.de/produkt/bueroeinrichtung/sitzmoebel/</t>
  </si>
  <si>
    <t>http://www.wini-360grad.de/single/article/naechstes-brandschutz-seminar-bei-smv.html</t>
  </si>
  <si>
    <t>Loungebank Juke Box</t>
  </si>
  <si>
    <t>Wie oft?</t>
  </si>
  <si>
    <t>https://www.vtx-deutschland.de/sitzmoebel-objektmoebel-loehne-3831843f00.html</t>
  </si>
  <si>
    <t>https://shop.bd-kruel.de/Bueromoebel/SMV-Sitz-und-Objektmoebel:::8_350.html</t>
  </si>
  <si>
    <t>"Rokker"</t>
  </si>
  <si>
    <t>http://www.yellowphone.de/company/entry/164203</t>
  </si>
  <si>
    <t>38 eigene Domains (Sinn &amp; Zweck?)</t>
  </si>
  <si>
    <t>38 Topp-Links (Magazine, Artikel)</t>
  </si>
  <si>
    <t>Manche  Händler haben altes Logo!</t>
  </si>
  <si>
    <t>Email wegen Löschung geschrieben. 10.09.2021</t>
  </si>
  <si>
    <t>erledigt</t>
  </si>
  <si>
    <t>Hat Julia geändert 14.09.2021</t>
  </si>
  <si>
    <t>Email wegen Löschung geschrieben. 20.09.2021</t>
  </si>
  <si>
    <t>Partner kontaktiert</t>
  </si>
  <si>
    <t>Domain nicht vergeben</t>
  </si>
  <si>
    <t>Was können wir hier machen?</t>
  </si>
  <si>
    <t>ignorieren</t>
  </si>
  <si>
    <t>Um Änderung gebeten (20.09.2021)</t>
  </si>
  <si>
    <t>Email wegen Anpassung geschickt 20.09.2021</t>
  </si>
  <si>
    <t>Weiterleitung für die Seite gemacht</t>
  </si>
  <si>
    <t>Link nicht mehr vorhanden</t>
  </si>
  <si>
    <t>Prüfung 2020-01</t>
  </si>
  <si>
    <t>lassen-erledigt</t>
  </si>
  <si>
    <t>geprüft, erledigt</t>
  </si>
  <si>
    <t>geprüft, gelöscht</t>
  </si>
  <si>
    <t>geprüft, nofollow</t>
  </si>
  <si>
    <t>gelöscht-erledigt</t>
  </si>
  <si>
    <t>01 geprüft, Link fehlerhaft</t>
  </si>
  <si>
    <t>02 geprüft, Link ohne SSL</t>
  </si>
  <si>
    <t>03 geprüft, altes Logo</t>
  </si>
  <si>
    <t>04 geprüft, Disavow</t>
  </si>
  <si>
    <t>https://www.doescher.de/</t>
  </si>
  <si>
    <t>https://www.demografieagentur.de/teilnehmerstimmen/</t>
  </si>
  <si>
    <t>https://www.mare-tischlerei.de/</t>
  </si>
  <si>
    <t>https://www.pinterest.de/smv_wohlsitzen/</t>
  </si>
  <si>
    <t>https://firmeneintrag.creditreform.de/32584/4170117988/SMV_SITZ_OBJEKTMOEBEL_GMBH</t>
  </si>
  <si>
    <t>https://www.menshealth.de/dad/job-care/die-besten-firmen-fuer-vaeter/</t>
  </si>
  <si>
    <t>http://www.hotelier.de/lieferanten/ausstattung-technik/exklusive-sitzmoebel-als-komfortspender-im-hotel</t>
  </si>
  <si>
    <t>https://yably.de/bewertungen/loehne/smv-sitz-objektmoebel-gmbh-gewerbestrasse-18</t>
  </si>
  <si>
    <t>https://www.bauemotion.de/hersteller/smv-sitz-und-objektmoebel/12304275/</t>
  </si>
  <si>
    <t>http://www.lanai-spa.de/ausstattung-einrichtung/</t>
  </si>
  <si>
    <t>https://www.experte-fuer.de/sicherheit/brandschutzmoebel-informatives-zu-normen-und-testverfahren/</t>
  </si>
  <si>
    <t>https://www.perspektive-mittelstand.de/SMV-Sitz-Objektmoebel-GmbH-Sitzmoebel-Loungemoebel-Loehne/CorporateShowroom/Portrait/28582.html</t>
  </si>
  <si>
    <t>https://www.wissensmanagement.net/magazin/archiv/fachbeitraege/ausgabe.html?no_cache=1&amp;tx_voipaidcontent_pi1%5Btest%5D=test&amp;tx_voipaidcontent_pi1%5BshowUid%5D=7115</t>
  </si>
  <si>
    <t>http://www.regionale-branchen-auskunft.de/extern_link/12971f0b00/?url=www.smv-gmbh.de</t>
  </si>
  <si>
    <t>https://www.km-kuechenmeile.de/en-gb/partner</t>
  </si>
  <si>
    <t>http://www.buerodienste-in.de/2021/04/moderne-bueroloesungen-fuer-zufriedene-arbeitnehmer/</t>
  </si>
  <si>
    <t>https://www.sundw.de/de/profil/partner/</t>
  </si>
  <si>
    <t>https://www.thoxan.com/referenzen/smv-sitz-und-objektmoebel/</t>
  </si>
  <si>
    <t>https://blendel-gmbh.de/hersteller/</t>
  </si>
  <si>
    <t>https://www.wn-nrw.de/firmen-unternehmen-in-nordrhein-westfalen.html/L%C3%B6hne/SMV+Sitz-+Objektm%C3%B6bel+GmbH/firmenprofil/57167</t>
  </si>
  <si>
    <t>https://www.bestenlokale.de/north-rhine-westphalia/loehne/smv-sitz-objektmobel-gmbh-946210.html</t>
  </si>
  <si>
    <t>https://www.oh5.de/bueroeinrichtung/sitzmoebel/</t>
  </si>
  <si>
    <t>https://www.lang-bueroeinrichtungen.de/</t>
  </si>
  <si>
    <t>http://www.32.de/branchenbuch/bueromoebelhaendler</t>
  </si>
  <si>
    <t>https://bad-oeynhausen.stadtbranchenbuch.com/M/308.html</t>
  </si>
  <si>
    <t>http://stepone-bo.loehne.de/Infos-f%C3%83%C2%83%C3%85%C2%92r-Besucher/Aussteller-2022/?KatID=3372.13&amp;amp;La=1&amp;amp;ModID=9&amp;amp;NavID=3372.41&amp;amp;TypSel=3372.13&amp;amp;alpha=S&amp;amp;kuo=1&amp;amp;object=tx%2C3372.60.1</t>
  </si>
  <si>
    <t>https://toptohigh.com/reach-your-network-marketing-potential-5-ways-to-generate-100s-of-marketing-leads-817/</t>
  </si>
  <si>
    <t>https://office-tops.office-roxx.de/rokker-von-smv/</t>
  </si>
  <si>
    <t>https://www.vogelsaenger.de/portfolio/case?id=1055</t>
  </si>
  <si>
    <t>https://www.nw-objektausstattung.de/brands</t>
  </si>
  <si>
    <t>https://www.feld-werk.de/</t>
  </si>
  <si>
    <t>https://www.blickpunktdeutschland.de/firmen-unternehmen-in-deutschland.html/L%C3%B6hne/SMV+Sitz-+Objektm%C3%B6bel+GmbH/firmenprofil/57167</t>
  </si>
  <si>
    <t>https://loehne.stadtbranchenbuch.com/4869712.html</t>
  </si>
  <si>
    <t>http://www.forstner-buero.de/</t>
  </si>
  <si>
    <t>https://www.quality-office.org/berater/fortbildungsveranstaltungen/fortbildungskalender/</t>
  </si>
  <si>
    <t>https://www.thebestplaces.de/north-rhine-westphalia/loehne/smv-sitz-objektmobel-gmbh-946210.html</t>
  </si>
  <si>
    <t>https://zeichnungen-leicht.netlify.app/architektur-zeichnung-sitzbank.html</t>
  </si>
  <si>
    <t>https://xn--dmmersee-65a.eu/branchenbuch/335676</t>
  </si>
  <si>
    <t>https://www.wishkarma.com/brand/smv/1</t>
  </si>
  <si>
    <t>http://www.steinwald-edv.de/buero-objekteinrichtungen/unsere-partner/smv-sitz-objektmoebel</t>
  </si>
  <si>
    <t>https://www.schwadke-outlet.de/alle-artikel/592/smv-manhattan-2-sitzer-highback</t>
  </si>
  <si>
    <t>https://www.rinteln24.de/branchenbuch/bueromoebelhaendler</t>
  </si>
  <si>
    <t>https://www.rekonzept.net/%C3%BCber-uns</t>
  </si>
  <si>
    <t>https://www.jobst-webhosting.de/buero-objekteinrichtungen/unsere-partner/smv-sitz-objektmoebel</t>
  </si>
  <si>
    <t>https://www.jobst-webdesign.de/buero-objekteinrichtungen/unsere-partner/smv-sitz-objektmoebel</t>
  </si>
  <si>
    <t>http://www.grasenhiller.net/buero-objekteinrichtungen/unsere-partner/smv-sitz-objektmoebel</t>
  </si>
  <si>
    <t>http://www.grasenhiller.info/buero-objekteinrichtungen/unsere-partner/smv-sitz-objektmoebel</t>
  </si>
  <si>
    <t>http://www.grasenhiller.com/buero-objekteinrichtungen/unsere-partner/smv-sitz-objektmoebel</t>
  </si>
  <si>
    <t>https://www.contractormeta.com/DE/L%C3%B6hne/132947310071635/SMV-Wohlsitzen</t>
  </si>
  <si>
    <t>https://worldranksite.com/branding-an-online-only-business/</t>
  </si>
  <si>
    <t>https://websitedetection.com/web-site-list-6446</t>
  </si>
  <si>
    <t>https://webranksite.com/small-business-marketing-online-things-to-know/</t>
  </si>
  <si>
    <t>https://wayranks.com/reach-your-network-marketing-potential-5-ways-to-generate-100s-of-marketing-leads-817/</t>
  </si>
  <si>
    <t>https://vestarka.com/de/stuhle-und-tische/tische/klappbar-tische690935x-zhm</t>
  </si>
  <si>
    <t>https://tina-kalas880.firebaseapp.com/barhocker-bank.html</t>
  </si>
  <si>
    <t>https://starcourts.com/boom-your-business-with-the-precise-promotional-marketing-material-2/</t>
  </si>
  <si>
    <t>https://sitiomax.net/buntes-sofa.html</t>
  </si>
  <si>
    <t>https://relaunch.kuehn-online.com/de/</t>
  </si>
  <si>
    <t>https://pirdu.com/small-business-marketing-online-things-to-know/</t>
  </si>
  <si>
    <t>https://officestar-living.de/SW10001/B-zed-Outdoor-Sitzsack-mit-Griff-orange</t>
  </si>
  <si>
    <t>https://mybios.me/heavy-table-base/</t>
  </si>
  <si>
    <t>https://minden-online.de/branchenbuch/335676</t>
  </si>
  <si>
    <t>https://meshokpeska.pics/</t>
  </si>
  <si>
    <t>https://mclead-chris-1951.web.app/barhocker-bank.html</t>
  </si>
  <si>
    <t>https://malleda.netlify.app/hochbank-mit-lehne.html</t>
  </si>
  <si>
    <t>https://lura-miyamoto-ld2724.firebaseapp.com/barhocker-bank.html</t>
  </si>
  <si>
    <t>https://luebbecke24.de/branchenbuch/335676</t>
  </si>
  <si>
    <t>http://lrbuero.de/buero-objekteinrichtungen/unsere-partner/smv-sitz-objektmoebel</t>
  </si>
  <si>
    <t>https://kiefel-buerodesign.de/marke/</t>
  </si>
  <si>
    <t>https://heavenarticle.com/sale-page-squeeze-page-or-splash-page-whats-the-difference-4332/</t>
  </si>
  <si>
    <t>http://g-wie-gastro.squarenx.com/abteilungen/arbeitsschutz/brandschutz/brandschutzmoebel-in-der-gastronomie.html</t>
  </si>
  <si>
    <t>https://developmentmi.com/boom-your-business-with-the-precise-promotional-marketing-material/</t>
  </si>
  <si>
    <t>https://denholm-maria-pia.firebaseapp.com/barhocker-bank.html</t>
  </si>
  <si>
    <t>https://daisymckenzie.blogspot.com/2020/03/sessel-mit-hoher-lehne.html</t>
  </si>
  <si>
    <t>http://bueroexperten-augsburg.de/einrichtung/</t>
  </si>
  <si>
    <t>https://brackwede.de/branchenbuch/335676</t>
  </si>
  <si>
    <t>https://bobby-charetteaj3514.firebaseapp.com/barhocker-bank.html</t>
  </si>
  <si>
    <t>https://biboxs.com/?p=indego+++b%C3%BCro+f%C3%BCr+visuelle+strategien+++projekte</t>
  </si>
  <si>
    <t>smv-gmbh.de/de ; oeffnet eine neue registerkarte</t>
  </si>
  <si>
    <t>smv sitz &amp; objektmoebel: planung des wiedereinstiegs vor dem auss</t>
  </si>
  <si>
    <t>objektstuhl snare</t>
  </si>
  <si>
    <t>komfortabelste brandschutzmoebel</t>
  </si>
  <si>
    <t>smv sitz- &amp; objektmoebel gmbh</t>
  </si>
  <si>
    <t>zertifizierte brandschutzmoebel</t>
  </si>
  <si>
    <t>homepage</t>
  </si>
  <si>
    <t>schwoeren bereits auf die sessel, sofas, sitzlandschaften und co.</t>
  </si>
  <si>
    <t>button</t>
  </si>
  <si>
    <t>sofa blogger</t>
  </si>
  <si>
    <t>s+w bueroraumkultur</t>
  </si>
  <si>
    <t>internet: www.smv-gmbh.de</t>
  </si>
  <si>
    <t>firmen homepage</t>
  </si>
  <si>
    <t>unser hersteller</t>
  </si>
  <si>
    <t>modulare sitzbank 4six von smv sitz</t>
  </si>
  <si>
    <t>schnell wieder platzsparend unter den</t>
  </si>
  <si>
    <t>hersteller-webseite</t>
  </si>
  <si>
    <t>acute kav table base smv</t>
  </si>
  <si>
    <t>kir royal bank bank smv</t>
  </si>
  <si>
    <t>buero sitzmoebel &amp; loungemoebel von smv ¬ª sitzen mit visionen</t>
  </si>
  <si>
    <t>NEU</t>
  </si>
  <si>
    <t>Altes Logo verwendet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</si>
</sst>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1" xfId="1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0" fontId="6" fillId="0" borderId="1" xfId="1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 indent="1"/>
    </xf>
    <xf numFmtId="0" fontId="6" fillId="2" borderId="1" xfId="0" applyFont="1" applyFill="1" applyBorder="1" applyAlignment="1">
      <alignment horizontal="right" vertical="center" indent="1"/>
    </xf>
    <xf numFmtId="0" fontId="8" fillId="3" borderId="4" xfId="0" applyFont="1" applyFill="1" applyBorder="1" applyAlignment="1">
      <alignment horizontal="right" vertical="center" indent="1"/>
    </xf>
    <xf numFmtId="0" fontId="8" fillId="3" borderId="5" xfId="0" applyFont="1" applyFill="1" applyBorder="1" applyAlignment="1">
      <alignment horizontal="left" vertical="center" indent="1"/>
    </xf>
    <xf numFmtId="0" fontId="10" fillId="3" borderId="5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right" vertical="center" indent="1"/>
    </xf>
    <xf numFmtId="0" fontId="8" fillId="3" borderId="3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8" fillId="3" borderId="4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center" indent="1"/>
    </xf>
    <xf numFmtId="0" fontId="3" fillId="0" borderId="0" xfId="0" applyFont="1" applyFill="1"/>
    <xf numFmtId="0" fontId="6" fillId="0" borderId="0" xfId="0" applyFont="1" applyFill="1"/>
    <xf numFmtId="0" fontId="6" fillId="4" borderId="1" xfId="1" applyFont="1" applyFill="1" applyBorder="1" applyAlignment="1">
      <alignment horizontal="left" vertical="center" indent="1"/>
    </xf>
  </cellXfs>
  <cellStyles count="2">
    <cellStyle name="Link" xfId="1" builtinId="8"/>
    <cellStyle name="Standard" xfId="0" builtinId="0"/>
  </cellStyles>
  <dxfs count="3">
    <dxf>
      <font>
        <color rgb="FF008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lassen-design.de/de/Partner--Zulieferer.htm" TargetMode="External"/><Relationship Id="rId671" Type="http://schemas.openxmlformats.org/officeDocument/2006/relationships/hyperlink" Target="http://profi-m.eu/" TargetMode="External"/><Relationship Id="rId769" Type="http://schemas.openxmlformats.org/officeDocument/2006/relationships/hyperlink" Target="https://www.perspektive-mittelstand.de/SMV-Sitz-Objektmoebel-GmbH-Sitzmoebel-Loungemoebel-Loehne/CorporateShowroom/Portrait/28582.html" TargetMode="External"/><Relationship Id="rId21" Type="http://schemas.openxmlformats.org/officeDocument/2006/relationships/hyperlink" Target="http://pcon-portal.de/about_office.html" TargetMode="External"/><Relationship Id="rId324" Type="http://schemas.openxmlformats.org/officeDocument/2006/relationships/hyperlink" Target="https://reco-bueromoebel.de/hersteller/smv/" TargetMode="External"/><Relationship Id="rId531" Type="http://schemas.openxmlformats.org/officeDocument/2006/relationships/hyperlink" Target="http://www.online-bueroeinrichtungen.de/de/55/garderobe-umkleide.html" TargetMode="External"/><Relationship Id="rId629" Type="http://schemas.openxmlformats.org/officeDocument/2006/relationships/hyperlink" Target="http://dingeldongel.de/SMV.html" TargetMode="External"/><Relationship Id="rId170" Type="http://schemas.openxmlformats.org/officeDocument/2006/relationships/hyperlink" Target="http://www.feistauer-buerodesign.de/cms/?option=com_content&amp;view=article&amp;id=62&amp;Itemid=68" TargetMode="External"/><Relationship Id="rId268" Type="http://schemas.openxmlformats.org/officeDocument/2006/relationships/hyperlink" Target="http://jeans-sessel.com/" TargetMode="External"/><Relationship Id="rId475" Type="http://schemas.openxmlformats.org/officeDocument/2006/relationships/hyperlink" Target="http://smv-m&#246;bel.de/" TargetMode="External"/><Relationship Id="rId682" Type="http://schemas.openxmlformats.org/officeDocument/2006/relationships/hyperlink" Target="http://soelring-museen.de/kooperationspartner/" TargetMode="External"/><Relationship Id="rId32" Type="http://schemas.openxmlformats.org/officeDocument/2006/relationships/hyperlink" Target="https://www.wohninsider.at/top-news/artikel/smv-auf-der-orgatec-sitzen-mit-visionen.html" TargetMode="External"/><Relationship Id="rId128" Type="http://schemas.openxmlformats.org/officeDocument/2006/relationships/hyperlink" Target="https://dealforaliving.com/floor-mounted-table-base/" TargetMode="External"/><Relationship Id="rId335" Type="http://schemas.openxmlformats.org/officeDocument/2006/relationships/hyperlink" Target="http://www.resin.de/resin/Office-Interior/Sitzmoebel.php" TargetMode="External"/><Relationship Id="rId542" Type="http://schemas.openxmlformats.org/officeDocument/2006/relationships/hyperlink" Target="https://www.papierfischer.de/marken/s/smv.html" TargetMode="External"/><Relationship Id="rId181" Type="http://schemas.openxmlformats.org/officeDocument/2006/relationships/hyperlink" Target="https://www.followsite.net/www.smv-gmbh.de" TargetMode="External"/><Relationship Id="rId402" Type="http://schemas.openxmlformats.org/officeDocument/2006/relationships/hyperlink" Target="http://wohlsitzen.net/" TargetMode="External"/><Relationship Id="rId279" Type="http://schemas.openxmlformats.org/officeDocument/2006/relationships/hyperlink" Target="https://www.johann-wilhelm.de/partner.html" TargetMode="External"/><Relationship Id="rId486" Type="http://schemas.openxmlformats.org/officeDocument/2006/relationships/hyperlink" Target="http://sitzmoebel-vertrieb.de/" TargetMode="External"/><Relationship Id="rId693" Type="http://schemas.openxmlformats.org/officeDocument/2006/relationships/hyperlink" Target="https://www.vtx-deutschland.de/sitzmoebel-objektmoebel-loehne-3831843f00.html" TargetMode="External"/><Relationship Id="rId707" Type="http://schemas.openxmlformats.org/officeDocument/2006/relationships/hyperlink" Target="https://stclement1.org/image/sofa-f%C3%BC%C3%9Fe-edelstahl-eckig.html" TargetMode="External"/><Relationship Id="rId43" Type="http://schemas.openxmlformats.org/officeDocument/2006/relationships/hyperlink" Target="https://www.amandaeliasch.com/akustik-sofa-buro.html" TargetMode="External"/><Relationship Id="rId139" Type="http://schemas.openxmlformats.org/officeDocument/2006/relationships/hyperlink" Target="http://dingel-dongel.de/SMV.html" TargetMode="External"/><Relationship Id="rId346" Type="http://schemas.openxmlformats.org/officeDocument/2006/relationships/hyperlink" Target="https://www.ton-objekt.de/marken/" TargetMode="External"/><Relationship Id="rId553" Type="http://schemas.openxmlformats.org/officeDocument/2006/relationships/hyperlink" Target="http://www.profile-media.de/referenzen/referenz_details.php?idx_bereich=4&amp;ref=0nline" TargetMode="External"/><Relationship Id="rId760" Type="http://schemas.openxmlformats.org/officeDocument/2006/relationships/hyperlink" Target="https://mclead-chris-1951.web.app/barhocker-bank.html" TargetMode="External"/><Relationship Id="rId192" Type="http://schemas.openxmlformats.org/officeDocument/2006/relationships/hyperlink" Target="http://zukunftstechnologietage.de/?page_id=128" TargetMode="External"/><Relationship Id="rId206" Type="http://schemas.openxmlformats.org/officeDocument/2006/relationships/hyperlink" Target="http://www.funktion-design-gmbh.de/organisation/vitrinen/" TargetMode="External"/><Relationship Id="rId413" Type="http://schemas.openxmlformats.org/officeDocument/2006/relationships/hyperlink" Target="http://www.webkatalog-2007.de/M&#65533;bel_166_41.html" TargetMode="External"/><Relationship Id="rId497" Type="http://schemas.openxmlformats.org/officeDocument/2006/relationships/hyperlink" Target="https://www.moderne-buerowelten.de/objekteinrichtung/buero-objekteinrichtung/" TargetMode="External"/><Relationship Id="rId620" Type="http://schemas.openxmlformats.org/officeDocument/2006/relationships/hyperlink" Target="https://www.btgresearch.org/ottomane.html" TargetMode="External"/><Relationship Id="rId718" Type="http://schemas.openxmlformats.org/officeDocument/2006/relationships/hyperlink" Target="https://www.wlw.be/de/firma/smv-sitz-und-objektmoebel-gmbh-577456" TargetMode="External"/><Relationship Id="rId357" Type="http://schemas.openxmlformats.org/officeDocument/2006/relationships/hyperlink" Target="http://www.madlines.info/hoher-rucken-akzentstuhle" TargetMode="External"/><Relationship Id="rId54" Type="http://schemas.openxmlformats.org/officeDocument/2006/relationships/hyperlink" Target="http://www.b-w-d.eu/index.php/pages/content/hersteller" TargetMode="External"/><Relationship Id="rId217" Type="http://schemas.openxmlformats.org/officeDocument/2006/relationships/hyperlink" Target="https://www.gk-buerodesign.de/impressum/" TargetMode="External"/><Relationship Id="rId564" Type="http://schemas.openxmlformats.org/officeDocument/2006/relationships/hyperlink" Target="https://zallacadesign.blogspot.com/2020/03/sessel-mit-hoher-lehne.html" TargetMode="External"/><Relationship Id="rId771" Type="http://schemas.openxmlformats.org/officeDocument/2006/relationships/hyperlink" Target="https://pirdu.com/small-business-marketing-online-things-to-know/" TargetMode="External"/><Relationship Id="rId424" Type="http://schemas.openxmlformats.org/officeDocument/2006/relationships/hyperlink" Target="https://trendkraft.io/wirtschaft-geschaeft/unternehmen-im-sportlichen-schrittzaehler-wettbewerb/" TargetMode="External"/><Relationship Id="rId631" Type="http://schemas.openxmlformats.org/officeDocument/2006/relationships/hyperlink" Target="https://earntrickz.com/image/sofa-f%C3%BC%C3%9Fe-edelstahl-eckig.html" TargetMode="External"/><Relationship Id="rId729" Type="http://schemas.openxmlformats.org/officeDocument/2006/relationships/hyperlink" Target="https://brackwede.de/branchenbuch/335676" TargetMode="External"/><Relationship Id="rId270" Type="http://schemas.openxmlformats.org/officeDocument/2006/relationships/hyperlink" Target="https://www.jeanswelt.de/blog/tag/sessel-aus-jeans/" TargetMode="External"/><Relationship Id="rId65" Type="http://schemas.openxmlformats.org/officeDocument/2006/relationships/hyperlink" Target="http://www.bke-fislage.de/partner/uncategorised/partner" TargetMode="External"/><Relationship Id="rId130" Type="http://schemas.openxmlformats.org/officeDocument/2006/relationships/hyperlink" Target="http://dekor.intsbanglabook.com/barhocker-gestell-schwarz/" TargetMode="External"/><Relationship Id="rId368" Type="http://schemas.openxmlformats.org/officeDocument/2006/relationships/hyperlink" Target="http://www.mkelbassa-buero-objekt.com/unsere-partner-f&#252;r-arbeitsplatz-stauraum-konferenz-empfang-lounge-akustik/" TargetMode="External"/><Relationship Id="rId575" Type="http://schemas.openxmlformats.org/officeDocument/2006/relationships/hyperlink" Target="https://wohndesignlove.blogspot.com/2020/04/sessel-hohe-ruckenlehne.html" TargetMode="External"/><Relationship Id="rId782" Type="http://schemas.openxmlformats.org/officeDocument/2006/relationships/hyperlink" Target="https://www.thoxan.com/referenzen/smv-sitz-und-objektmoebel/" TargetMode="External"/><Relationship Id="rId228" Type="http://schemas.openxmlformats.org/officeDocument/2006/relationships/hyperlink" Target="http://www.h-und-k.de/links.htm" TargetMode="External"/><Relationship Id="rId435" Type="http://schemas.openxmlformats.org/officeDocument/2006/relationships/hyperlink" Target="http://www.threesistersfolkartschool.com/coole-sitzmobel.html" TargetMode="External"/><Relationship Id="rId642" Type="http://schemas.openxmlformats.org/officeDocument/2006/relationships/hyperlink" Target="https://www.german-brand-award.com/preistraeger/galerie/detail/13877-smv-sitz-objektmoebel-gmbh.html" TargetMode="External"/><Relationship Id="rId281" Type="http://schemas.openxmlformats.org/officeDocument/2006/relationships/hyperlink" Target="https://www.jtsent.com/big-sofa-manhattan.html" TargetMode="External"/><Relationship Id="rId502" Type="http://schemas.openxmlformats.org/officeDocument/2006/relationships/hyperlink" Target="http://www.msl-group.de/produkte.html" TargetMode="External"/><Relationship Id="rId76" Type="http://schemas.openxmlformats.org/officeDocument/2006/relationships/hyperlink" Target="https://www.buero-jung.de/unsere-lieferanten/" TargetMode="External"/><Relationship Id="rId141" Type="http://schemas.openxmlformats.org/officeDocument/2006/relationships/hyperlink" Target="https://distopialab.org/tiptoe-design/33166/" TargetMode="External"/><Relationship Id="rId379" Type="http://schemas.openxmlformats.org/officeDocument/2006/relationships/hyperlink" Target="http://www.b&#252;roeinrichtung-leipzig.de/objekteinrichtung.php" TargetMode="External"/><Relationship Id="rId586" Type="http://schemas.openxmlformats.org/officeDocument/2006/relationships/hyperlink" Target="http://www.der-schumacher.de/marken/smv.html" TargetMode="External"/><Relationship Id="rId793" Type="http://schemas.openxmlformats.org/officeDocument/2006/relationships/hyperlink" Target="https://worldranksite.com/branding-an-online-only-business/" TargetMode="External"/><Relationship Id="rId7" Type="http://schemas.openxmlformats.org/officeDocument/2006/relationships/hyperlink" Target="http://adjustabletabledakushinu.blogspot.com/2017/02/coffee-table-adjustable.html" TargetMode="External"/><Relationship Id="rId239" Type="http://schemas.openxmlformats.org/officeDocument/2006/relationships/hyperlink" Target="https://www.hds24shop.de/index8803.html?id=7" TargetMode="External"/><Relationship Id="rId446" Type="http://schemas.openxmlformats.org/officeDocument/2006/relationships/hyperlink" Target="http://suara-muhammadiyah.com/markisenstoff-nicht-brennbar.html" TargetMode="External"/><Relationship Id="rId653" Type="http://schemas.openxmlformats.org/officeDocument/2006/relationships/hyperlink" Target="http://www.kultampult.de/kultampult/news/archiv/default.asp?nws_item=48177&amp;i_item=48177&amp;nws_step=15&amp;nws_start=136&amp;rb=kleinanzeigen&amp;nws_rb=kleinanzeigen&amp;nws_no=01" TargetMode="External"/><Relationship Id="rId292" Type="http://schemas.openxmlformats.org/officeDocument/2006/relationships/hyperlink" Target="https://www.knorz.de/marken-partner/smv" TargetMode="External"/><Relationship Id="rId306" Type="http://schemas.openxmlformats.org/officeDocument/2006/relationships/hyperlink" Target="https://www.kuehn-online.com/de/" TargetMode="External"/><Relationship Id="rId87" Type="http://schemas.openxmlformats.org/officeDocument/2006/relationships/hyperlink" Target="http://www.bueroco.eu/index.php/links.html" TargetMode="External"/><Relationship Id="rId513" Type="http://schemas.openxmlformats.org/officeDocument/2006/relationships/hyperlink" Target="http://obhl.de/de/55/garderobe-umkleide.html" TargetMode="External"/><Relationship Id="rId597" Type="http://schemas.openxmlformats.org/officeDocument/2006/relationships/hyperlink" Target="http://www.quadro-office-nord.de/produkte/buerostuhl/" TargetMode="External"/><Relationship Id="rId720" Type="http://schemas.openxmlformats.org/officeDocument/2006/relationships/hyperlink" Target="https://bad-oeynhausen.stadtbranchenbuch.com/M/308.html" TargetMode="External"/><Relationship Id="rId152" Type="http://schemas.openxmlformats.org/officeDocument/2006/relationships/hyperlink" Target="https://www.ejh-schweicheln.de/de/topic/153.berufsausbildung.html?projectId=68" TargetMode="External"/><Relationship Id="rId457" Type="http://schemas.openxmlformats.org/officeDocument/2006/relationships/hyperlink" Target="https://stb-osna.de/aktuelles-dialog/aktuelles-dialog-sub/news-meldungen" TargetMode="External"/><Relationship Id="rId664" Type="http://schemas.openxmlformats.org/officeDocument/2006/relationships/hyperlink" Target="https://www.moebelhaus-moebel.com/smv-sitz-objektmoebel-gmbh-in-loehne-moebelhaus-moebel/" TargetMode="External"/><Relationship Id="rId14" Type="http://schemas.openxmlformats.org/officeDocument/2006/relationships/hyperlink" Target="http://bents.de/bueromoebel/unsere-lieferanten-partner.html" TargetMode="External"/><Relationship Id="rId317" Type="http://schemas.openxmlformats.org/officeDocument/2006/relationships/hyperlink" Target="http://www.neumaier-buero.de/index.php/hersteller-39.html" TargetMode="External"/><Relationship Id="rId524" Type="http://schemas.openxmlformats.org/officeDocument/2006/relationships/hyperlink" Target="http://www.officeline-gmbh.de/home/unternehmen/partner/" TargetMode="External"/><Relationship Id="rId731" Type="http://schemas.openxmlformats.org/officeDocument/2006/relationships/hyperlink" Target="http://bueroexperten-augsburg.de/einrichtung/" TargetMode="External"/><Relationship Id="rId98" Type="http://schemas.openxmlformats.org/officeDocument/2006/relationships/hyperlink" Target="http://www.bueropartnerteam.com/produkte/" TargetMode="External"/><Relationship Id="rId163" Type="http://schemas.openxmlformats.org/officeDocument/2006/relationships/hyperlink" Target="http://www.facts-office.com/aktuelles-dialog/aktuelles-dialog-sub/aktuelle-ausgabe/item/test-smv-blogger-10-2019/1183?tmpl=component&amp;print=1&amp;page=" TargetMode="External"/><Relationship Id="rId370" Type="http://schemas.openxmlformats.org/officeDocument/2006/relationships/hyperlink" Target="http://www.bewegtes-b&#252;ro.de/SMV.html" TargetMode="External"/><Relationship Id="rId230" Type="http://schemas.openxmlformats.org/officeDocument/2006/relationships/hyperlink" Target="http://www.handwerker-in.de/web/brandschutz/bremerhaven.html" TargetMode="External"/><Relationship Id="rId468" Type="http://schemas.openxmlformats.org/officeDocument/2006/relationships/hyperlink" Target="http://smv-wohlsitzen.de/" TargetMode="External"/><Relationship Id="rId675" Type="http://schemas.openxmlformats.org/officeDocument/2006/relationships/hyperlink" Target="https://www.savvieri.com/leicht-gmbh-co-aktuelles-vom-m%C3%B6belhaus/11308865461395733149" TargetMode="External"/><Relationship Id="rId25" Type="http://schemas.openxmlformats.org/officeDocument/2006/relationships/hyperlink" Target="http://www.sitz-moebel-vertrieb.de/" TargetMode="External"/><Relationship Id="rId328" Type="http://schemas.openxmlformats.org/officeDocument/2006/relationships/hyperlink" Target="https://www.soremba.de/produkte/sitzen/smv/index.html" TargetMode="External"/><Relationship Id="rId535" Type="http://schemas.openxmlformats.org/officeDocument/2006/relationships/hyperlink" Target="http://www.orgatec.de/aussteller-und-produkte/ausstellerverzeichnis/ausstellerverzeichnis-19.php?fw_goto=aussteller/details&amp;amp;&amp;amp;kid=0040107308" TargetMode="External"/><Relationship Id="rId742" Type="http://schemas.openxmlformats.org/officeDocument/2006/relationships/hyperlink" Target="http://g-wie-gastro.squarenx.com/abteilungen/arbeitsschutz/brandschutz/brandschutzmoebel-in-der-gastronomie.html" TargetMode="External"/><Relationship Id="rId174" Type="http://schemas.openxmlformats.org/officeDocument/2006/relationships/hyperlink" Target="https://www.findfurniturestores.com/DE/Dresden/1888263078159950/Kontek-Objekteinrichtungs-GmbH" TargetMode="External"/><Relationship Id="rId381" Type="http://schemas.openxmlformats.org/officeDocument/2006/relationships/hyperlink" Target="http://www.b&#252;roeinrichtungen-seidel.de/partner.htm" TargetMode="External"/><Relationship Id="rId602" Type="http://schemas.openxmlformats.org/officeDocument/2006/relationships/hyperlink" Target="http://www.wini-360grad.de/single/article/naechstes-brandschutz-seminar-bei-smv.html" TargetMode="External"/><Relationship Id="rId241" Type="http://schemas.openxmlformats.org/officeDocument/2006/relationships/hyperlink" Target="https://www.heinrichobjekt.de/html/objektstuhle.html" TargetMode="External"/><Relationship Id="rId479" Type="http://schemas.openxmlformats.org/officeDocument/2006/relationships/hyperlink" Target="http://smv-gmbh.info/" TargetMode="External"/><Relationship Id="rId686" Type="http://schemas.openxmlformats.org/officeDocument/2006/relationships/hyperlink" Target="http://the-coconutoil.blogspot.com/2019/08/bank-polster.html" TargetMode="External"/><Relationship Id="rId36" Type="http://schemas.openxmlformats.org/officeDocument/2006/relationships/hyperlink" Target="http://www.123verzeichnis.com/547-1-innendekoration.php" TargetMode="External"/><Relationship Id="rId339" Type="http://schemas.openxmlformats.org/officeDocument/2006/relationships/hyperlink" Target="http://www.rtk-koeln.com/lieferanten" TargetMode="External"/><Relationship Id="rId546" Type="http://schemas.openxmlformats.org/officeDocument/2006/relationships/hyperlink" Target="http://www.pimp-my-chair.com/SMV.html" TargetMode="External"/><Relationship Id="rId753" Type="http://schemas.openxmlformats.org/officeDocument/2006/relationships/hyperlink" Target="https://www.lang-bueroeinrichtungen.de/" TargetMode="External"/><Relationship Id="rId101" Type="http://schemas.openxmlformats.org/officeDocument/2006/relationships/hyperlink" Target="http://www.buerostuehle.hamburg/" TargetMode="External"/><Relationship Id="rId185" Type="http://schemas.openxmlformats.org/officeDocument/2006/relationships/hyperlink" Target="https://www.improuse.com/DE/L%C3%B6hne/132947310071635/SMV-Wohlsitzen" TargetMode="External"/><Relationship Id="rId406" Type="http://schemas.openxmlformats.org/officeDocument/2006/relationships/hyperlink" Target="http://wohlsitzen.biz/" TargetMode="External"/><Relationship Id="rId392" Type="http://schemas.openxmlformats.org/officeDocument/2006/relationships/hyperlink" Target="http://www.smv-m&#246;bel.de/" TargetMode="External"/><Relationship Id="rId613" Type="http://schemas.openxmlformats.org/officeDocument/2006/relationships/hyperlink" Target="https://arnoldchiarimalformation.org/image/sofa-f%C3%BC%C3%9Fe-edelstahl-eckig.html" TargetMode="External"/><Relationship Id="rId697" Type="http://schemas.openxmlformats.org/officeDocument/2006/relationships/hyperlink" Target="https://www.wlw.at/de/firma/smv-sitz-und-objektmoebel-gmbh-577456" TargetMode="External"/><Relationship Id="rId252" Type="http://schemas.openxmlformats.org/officeDocument/2006/relationships/hyperlink" Target="https://hoch5.com/projekt/smv-sitzmoebel-2015-11-19.html" TargetMode="External"/><Relationship Id="rId47" Type="http://schemas.openxmlformats.org/officeDocument/2006/relationships/hyperlink" Target="https://www.arcguide.de/firmenverzeichnis/smv/" TargetMode="External"/><Relationship Id="rId112" Type="http://schemas.openxmlformats.org/officeDocument/2006/relationships/hyperlink" Target="https://www.cebra.biz/news/unternehmen/22-11-2017-smv-praesentiert-sich-auf-hausmesse/" TargetMode="External"/><Relationship Id="rId557" Type="http://schemas.openxmlformats.org/officeDocument/2006/relationships/hyperlink" Target="https://www.zeilfelder.de/produkte/" TargetMode="External"/><Relationship Id="rId764" Type="http://schemas.openxmlformats.org/officeDocument/2006/relationships/hyperlink" Target="https://mybios.me/heavy-table-base/" TargetMode="External"/><Relationship Id="rId196" Type="http://schemas.openxmlformats.org/officeDocument/2006/relationships/hyperlink" Target="http://www.industrycat.com/68/41034327468.html" TargetMode="External"/><Relationship Id="rId417" Type="http://schemas.openxmlformats.org/officeDocument/2006/relationships/hyperlink" Target="http://www.vullriede-buerosysteme.de/hersteller.html" TargetMode="External"/><Relationship Id="rId624" Type="http://schemas.openxmlformats.org/officeDocument/2006/relationships/hyperlink" Target="https://das-unternehmerhandbuch.de/einrichtung-buero-motivation/" TargetMode="External"/><Relationship Id="rId263" Type="http://schemas.openxmlformats.org/officeDocument/2006/relationships/hyperlink" Target="https://iqfit.info/wohnzimmertisch-cube.html" TargetMode="External"/><Relationship Id="rId470" Type="http://schemas.openxmlformats.org/officeDocument/2006/relationships/hyperlink" Target="http://smv-wohlsitzen.biz/" TargetMode="External"/><Relationship Id="rId58" Type="http://schemas.openxmlformats.org/officeDocument/2006/relationships/hyperlink" Target="http://www.beliebtestewebseite.de/hpdetails.php?webseite=smv-gmbh.de" TargetMode="External"/><Relationship Id="rId123" Type="http://schemas.openxmlformats.org/officeDocument/2006/relationships/hyperlink" Target="https://cosmeddicted.com/steel-frame-coffee-table-base.html" TargetMode="External"/><Relationship Id="rId330" Type="http://schemas.openxmlformats.org/officeDocument/2006/relationships/hyperlink" Target="https://www.rasper-busch.de/aktuelles/" TargetMode="External"/><Relationship Id="rId568" Type="http://schemas.openxmlformats.org/officeDocument/2006/relationships/hyperlink" Target="https://www.edle-bauelemente.de/betriebe-im-fokus-bauelemente-fuer-gewerbe-und-gastronomie/" TargetMode="External"/><Relationship Id="rId775" Type="http://schemas.openxmlformats.org/officeDocument/2006/relationships/hyperlink" Target="https://relaunch.kuehn-online.com/de/" TargetMode="External"/><Relationship Id="rId428" Type="http://schemas.openxmlformats.org/officeDocument/2006/relationships/hyperlink" Target="http://www.treff-punkt-gesundheit.de/SMV.html" TargetMode="External"/><Relationship Id="rId635" Type="http://schemas.openxmlformats.org/officeDocument/2006/relationships/hyperlink" Target="http://facts-office.de/aktuelles-dialog/aktuelles-dialog-sub/news-meldungen/item/ein-zeichen-der-nachhaltigkeit/1324" TargetMode="External"/><Relationship Id="rId274" Type="http://schemas.openxmlformats.org/officeDocument/2006/relationships/hyperlink" Target="https://www.jobs-in-bielefeld.de/999960004005368181.html" TargetMode="External"/><Relationship Id="rId481" Type="http://schemas.openxmlformats.org/officeDocument/2006/relationships/hyperlink" Target="http://www.smv-gmbh.com/" TargetMode="External"/><Relationship Id="rId702" Type="http://schemas.openxmlformats.org/officeDocument/2006/relationships/hyperlink" Target="https://ww2-bank.netlify.app/barhocker-bank.html" TargetMode="External"/><Relationship Id="rId69" Type="http://schemas.openxmlformats.org/officeDocument/2006/relationships/hyperlink" Target="https://www.bsjgmbh.de/hersteller.html" TargetMode="External"/><Relationship Id="rId134" Type="http://schemas.openxmlformats.org/officeDocument/2006/relationships/hyperlink" Target="http://www.derergoshop.de/SMV.html" TargetMode="External"/><Relationship Id="rId579" Type="http://schemas.openxmlformats.org/officeDocument/2006/relationships/hyperlink" Target="https://architekturdsgn.blogspot.com/2020/06/sessel-hohe-sitzhohe.html" TargetMode="External"/><Relationship Id="rId786" Type="http://schemas.openxmlformats.org/officeDocument/2006/relationships/hyperlink" Target="https://www.vogelsaenger.de/portfolio/case?id=1055" TargetMode="External"/><Relationship Id="rId341" Type="http://schemas.openxmlformats.org/officeDocument/2006/relationships/hyperlink" Target="https://www.schlaganfall-kinder.de/2019/schaki-music-all-stars/index.html" TargetMode="External"/><Relationship Id="rId439" Type="http://schemas.openxmlformats.org/officeDocument/2006/relationships/hyperlink" Target="http://www.takeoffice.de/?id=28" TargetMode="External"/><Relationship Id="rId646" Type="http://schemas.openxmlformats.org/officeDocument/2006/relationships/hyperlink" Target="https://holeybrewed.com/11246142454816589688/blogger.html" TargetMode="External"/><Relationship Id="rId201" Type="http://schemas.openxmlformats.org/officeDocument/2006/relationships/hyperlink" Target="http://www.industrystock.ru/html/product-service-ru-113883-0.html" TargetMode="External"/><Relationship Id="rId285" Type="http://schemas.openxmlformats.org/officeDocument/2006/relationships/hyperlink" Target="https://www.kastrup-recycling.de/en/unternehmen/aktuelles-1.html" TargetMode="External"/><Relationship Id="rId506" Type="http://schemas.openxmlformats.org/officeDocument/2006/relationships/hyperlink" Target="http://www.mylius-web.de/" TargetMode="External"/><Relationship Id="rId492" Type="http://schemas.openxmlformats.org/officeDocument/2006/relationships/hyperlink" Target="https://www.sicherheits-berater.de/themen/artikel-ohne-abo/ausgaben-2013/seminar-zu-relevanten-brandschutznormen-fuer-polstermoebel.html" TargetMode="External"/><Relationship Id="rId713" Type="http://schemas.openxmlformats.org/officeDocument/2006/relationships/hyperlink" Target="https://d1mi357fofxv7j.cloudfront.net/" TargetMode="External"/><Relationship Id="rId145" Type="http://schemas.openxmlformats.org/officeDocument/2006/relationships/hyperlink" Target="http://drehst&#252;hl.de/" TargetMode="External"/><Relationship Id="rId352" Type="http://schemas.openxmlformats.org/officeDocument/2006/relationships/hyperlink" Target="https://www.wini.de/360-magazin/artikel/360-aktuelles/news/stern-nr-16-sitzen-die-unterschaetzte-gefahr/" TargetMode="External"/><Relationship Id="rId212" Type="http://schemas.openxmlformats.org/officeDocument/2006/relationships/hyperlink" Target="http://www.gelbeseiten.de/moebel/loehne" TargetMode="External"/><Relationship Id="rId657" Type="http://schemas.openxmlformats.org/officeDocument/2006/relationships/hyperlink" Target="https://levinsonforjustice.com/11246142454816589688/blogger.html" TargetMode="External"/><Relationship Id="rId296" Type="http://schemas.openxmlformats.org/officeDocument/2006/relationships/hyperlink" Target="http://www.kompetenz-konferenzraum.de/objekteinrichtung.php" TargetMode="External"/><Relationship Id="rId517" Type="http://schemas.openxmlformats.org/officeDocument/2006/relationships/hyperlink" Target="https://www.offermannsundpartner.de/hersteller" TargetMode="External"/><Relationship Id="rId724" Type="http://schemas.openxmlformats.org/officeDocument/2006/relationships/hyperlink" Target="https://www.bestenlokale.de/north-rhine-westphalia/loehne/smv-sitz-objektmobel-gmbh-946210.html" TargetMode="External"/><Relationship Id="rId60" Type="http://schemas.openxmlformats.org/officeDocument/2006/relationships/hyperlink" Target="http://www.bfw-wst.de/shop/shop_content.php?coID=13" TargetMode="External"/><Relationship Id="rId156" Type="http://schemas.openxmlformats.org/officeDocument/2006/relationships/hyperlink" Target="https://www.ergo-office-design.de/hersteller/" TargetMode="External"/><Relationship Id="rId363" Type="http://schemas.openxmlformats.org/officeDocument/2006/relationships/hyperlink" Target="http://mdczim.net/lounge-sessel-drehbar.html" TargetMode="External"/><Relationship Id="rId570" Type="http://schemas.openxmlformats.org/officeDocument/2006/relationships/hyperlink" Target="https://www.muehlmann-online.de/hersteller" TargetMode="External"/><Relationship Id="rId223" Type="http://schemas.openxmlformats.org/officeDocument/2006/relationships/hyperlink" Target="http://www.griebel-officedesign.de/hersteller" TargetMode="External"/><Relationship Id="rId430" Type="http://schemas.openxmlformats.org/officeDocument/2006/relationships/hyperlink" Target="http://www.top-office-vision.de/SMV.html" TargetMode="External"/><Relationship Id="rId668" Type="http://schemas.openxmlformats.org/officeDocument/2006/relationships/hyperlink" Target="https://pdu365.de/de/suche/kantineneinrichtungen?page=4&amp;hash=03ee9dc8805d574e3c8a887dafa4fb5f" TargetMode="External"/><Relationship Id="rId18" Type="http://schemas.openxmlformats.org/officeDocument/2006/relationships/hyperlink" Target="http://boesel-buero.de/lieferanten-bueromoebel.php" TargetMode="External"/><Relationship Id="rId528" Type="http://schemas.openxmlformats.org/officeDocument/2006/relationships/hyperlink" Target="http://www.offpa.de/hersteller.php" TargetMode="External"/><Relationship Id="rId735" Type="http://schemas.openxmlformats.org/officeDocument/2006/relationships/hyperlink" Target="https://denholm-maria-pia.firebaseapp.com/barhocker-bank.html" TargetMode="External"/><Relationship Id="rId167" Type="http://schemas.openxmlformats.org/officeDocument/2006/relationships/hyperlink" Target="http://factsoffice.de/aktuelles-dialog/aktuelles-dialog-sub/aktuelle-ausgabe/item/test-smv-blogger-10-2019/1183?tmpl=component&amp;print=1&amp;page=" TargetMode="External"/><Relationship Id="rId374" Type="http://schemas.openxmlformats.org/officeDocument/2006/relationships/hyperlink" Target="http://b&#252;ro-ambiente.de/index.php/partner" TargetMode="External"/><Relationship Id="rId581" Type="http://schemas.openxmlformats.org/officeDocument/2006/relationships/hyperlink" Target="https://www.bauplanungen.de/Bueroplanungen" TargetMode="External"/><Relationship Id="rId71" Type="http://schemas.openxmlformats.org/officeDocument/2006/relationships/hyperlink" Target="http://www.buende.com/sus/referenz.htm" TargetMode="External"/><Relationship Id="rId234" Type="http://schemas.openxmlformats.org/officeDocument/2006/relationships/hyperlink" Target="https://hds-buero.de/index8803.html?id=7" TargetMode="External"/><Relationship Id="rId679" Type="http://schemas.openxmlformats.org/officeDocument/2006/relationships/hyperlink" Target="https://shop.bd-kruel.de/Bueromoebel/SMV-Sitz-und-Objektmoebel:::8_350.html" TargetMode="External"/><Relationship Id="rId2" Type="http://schemas.openxmlformats.org/officeDocument/2006/relationships/hyperlink" Target="http://1aday2fc.com/entree-design.html" TargetMode="External"/><Relationship Id="rId29" Type="http://schemas.openxmlformats.org/officeDocument/2006/relationships/hyperlink" Target="https://www.wlw.de/de/firmen/banksitze" TargetMode="External"/><Relationship Id="rId441" Type="http://schemas.openxmlformats.org/officeDocument/2006/relationships/hyperlink" Target="http://www.sueltrop.net/partnerlinks.html" TargetMode="External"/><Relationship Id="rId539" Type="http://schemas.openxmlformats.org/officeDocument/2006/relationships/hyperlink" Target="http://owlshop24.de/cgi-bin/buende/firmlink.pl%3FJumpTo%3DArbeit" TargetMode="External"/><Relationship Id="rId746" Type="http://schemas.openxmlformats.org/officeDocument/2006/relationships/hyperlink" Target="https://heavenarticle.com/sale-page-squeeze-page-or-splash-page-whats-the-difference-4332/" TargetMode="External"/><Relationship Id="rId178" Type="http://schemas.openxmlformats.org/officeDocument/2006/relationships/hyperlink" Target="http://www.firmenwissen.com/en/az/firmeneintrag/32584/4170117988/SMV_SITZ_OBJEKTMOEBEL_GMBH.html?locale=en" TargetMode="External"/><Relationship Id="rId301" Type="http://schemas.openxmlformats.org/officeDocument/2006/relationships/hyperlink" Target="http://kostenlos-eintragen.com/556-2-moebelwerkstatt.php" TargetMode="External"/><Relationship Id="rId82" Type="http://schemas.openxmlformats.org/officeDocument/2006/relationships/hyperlink" Target="http://buero-wohn-design.de/index.php/pages/content/hersteller" TargetMode="External"/><Relationship Id="rId385" Type="http://schemas.openxmlformats.org/officeDocument/2006/relationships/hyperlink" Target="http://www.hds-b&#252;ro.de/index8803.html?id=7" TargetMode="External"/><Relationship Id="rId592" Type="http://schemas.openxmlformats.org/officeDocument/2006/relationships/hyperlink" Target="https://loginboost.com/s-logins/smv-gmbhde-login.php" TargetMode="External"/><Relationship Id="rId606" Type="http://schemas.openxmlformats.org/officeDocument/2006/relationships/hyperlink" Target="http://www.optimales-b&#252;ro.de/lieferanten.html" TargetMode="External"/><Relationship Id="rId245" Type="http://schemas.openxmlformats.org/officeDocument/2006/relationships/hyperlink" Target="http://herchenhahn.org/" TargetMode="External"/><Relationship Id="rId452" Type="http://schemas.openxmlformats.org/officeDocument/2006/relationships/hyperlink" Target="http://www.stobbe-buero-objekt.de/partner" TargetMode="External"/><Relationship Id="rId105" Type="http://schemas.openxmlformats.org/officeDocument/2006/relationships/hyperlink" Target="https://b&#252;ro-objektm&#246;bel.de/index0d7d.html?id=119" TargetMode="External"/><Relationship Id="rId312" Type="http://schemas.openxmlformats.org/officeDocument/2006/relationships/hyperlink" Target="http://loehne.branchen-info.net/anfahrt-5062007.html" TargetMode="External"/><Relationship Id="rId757" Type="http://schemas.openxmlformats.org/officeDocument/2006/relationships/hyperlink" Target="https://lura-miyamoto-ld2724.firebaseapp.com/barhocker-bank.html" TargetMode="External"/><Relationship Id="rId93" Type="http://schemas.openxmlformats.org/officeDocument/2006/relationships/hyperlink" Target="http://www.bueroland-dresden.de/produkte-geschaeftsfelder.html" TargetMode="External"/><Relationship Id="rId189" Type="http://schemas.openxmlformats.org/officeDocument/2006/relationships/hyperlink" Target="http://www.reintextur.de/" TargetMode="External"/><Relationship Id="rId396" Type="http://schemas.openxmlformats.org/officeDocument/2006/relationships/hyperlink" Target="http://steppe-b&#252;ro.de/index.php/partner" TargetMode="External"/><Relationship Id="rId617" Type="http://schemas.openxmlformats.org/officeDocument/2006/relationships/hyperlink" Target="http://www.breakingon.com/little-coffee-tables/" TargetMode="External"/><Relationship Id="rId256" Type="http://schemas.openxmlformats.org/officeDocument/2006/relationships/hyperlink" Target="http://hsvlimos.com/w_Dima+Nrw/" TargetMode="External"/><Relationship Id="rId463" Type="http://schemas.openxmlformats.org/officeDocument/2006/relationships/hyperlink" Target="http://www.smv.design/" TargetMode="External"/><Relationship Id="rId670" Type="http://schemas.openxmlformats.org/officeDocument/2006/relationships/hyperlink" Target="https://www.poisonoakproductions.com/sitzsack-big-bag.html" TargetMode="External"/><Relationship Id="rId116" Type="http://schemas.openxmlformats.org/officeDocument/2006/relationships/hyperlink" Target="http://www.citedelagloire.org/kinderriegel-gewinnspiel-2018.html" TargetMode="External"/><Relationship Id="rId323" Type="http://schemas.openxmlformats.org/officeDocument/2006/relationships/hyperlink" Target="http://www.officemaxx-ruecker.de/partner.php" TargetMode="External"/><Relationship Id="rId530" Type="http://schemas.openxmlformats.org/officeDocument/2006/relationships/hyperlink" Target="https://www.ok-buerocenter.de/index.php/partner-and-kataloge/" TargetMode="External"/><Relationship Id="rId768" Type="http://schemas.openxmlformats.org/officeDocument/2006/relationships/hyperlink" Target="https://www.oh5.de/bueroeinrichtung/sitzmoebel/" TargetMode="External"/><Relationship Id="rId20" Type="http://schemas.openxmlformats.org/officeDocument/2006/relationships/hyperlink" Target="https://www.transplo.com/DE/L%C3%B6hne/132947310071635/SMV-Wohlsitzen" TargetMode="External"/><Relationship Id="rId628" Type="http://schemas.openxmlformats.org/officeDocument/2006/relationships/hyperlink" Target="http://dev.hain-gmbh.de/produkt/bueroeinrichtung/sitzmoebel/" TargetMode="External"/><Relationship Id="rId267" Type="http://schemas.openxmlformats.org/officeDocument/2006/relationships/hyperlink" Target="https://www.jaeger-buero.de/" TargetMode="External"/><Relationship Id="rId474" Type="http://schemas.openxmlformats.org/officeDocument/2006/relationships/hyperlink" Target="http://www.smv-moebel.de/" TargetMode="External"/><Relationship Id="rId127" Type="http://schemas.openxmlformats.org/officeDocument/2006/relationships/hyperlink" Target="http://de.itsbetter.com/produkte/SMV/SMV.html?id=93647" TargetMode="External"/><Relationship Id="rId681" Type="http://schemas.openxmlformats.org/officeDocument/2006/relationships/hyperlink" Target="http://smv-gmbh.co.uk/" TargetMode="External"/><Relationship Id="rId779" Type="http://schemas.openxmlformats.org/officeDocument/2006/relationships/hyperlink" Target="https://starcourts.com/boom-your-business-with-the-precise-promotional-marketing-material-2/" TargetMode="External"/><Relationship Id="rId31" Type="http://schemas.openxmlformats.org/officeDocument/2006/relationships/hyperlink" Target="https://www.wohninsider.at/top-news/artikel/german-design-award-fuer-flexfive.html" TargetMode="External"/><Relationship Id="rId334" Type="http://schemas.openxmlformats.org/officeDocument/2006/relationships/hyperlink" Target="http://www.reitinger.de/html/links.html" TargetMode="External"/><Relationship Id="rId541" Type="http://schemas.openxmlformats.org/officeDocument/2006/relationships/hyperlink" Target="http://www.pape-rohde.de/hersteller" TargetMode="External"/><Relationship Id="rId639" Type="http://schemas.openxmlformats.org/officeDocument/2006/relationships/hyperlink" Target="https://g-wie-gastro.de/abteilungen/arbeitsschutz/brandschutz/brandschutzmoebel-in-der-gastronomie.html" TargetMode="External"/><Relationship Id="rId180" Type="http://schemas.openxmlformats.org/officeDocument/2006/relationships/hyperlink" Target="http://www.foelschow.de/produkte/objekteinrichtungen/umkleidemobiliar/" TargetMode="External"/><Relationship Id="rId278" Type="http://schemas.openxmlformats.org/officeDocument/2006/relationships/hyperlink" Target="https://www.jobs-minden.de/999960004005368181.html" TargetMode="External"/><Relationship Id="rId401" Type="http://schemas.openxmlformats.org/officeDocument/2006/relationships/hyperlink" Target="http://wohlsitzen.org/" TargetMode="External"/><Relationship Id="rId485" Type="http://schemas.openxmlformats.org/officeDocument/2006/relationships/hyperlink" Target="http://sitzvergn&#252;gen.de/" TargetMode="External"/><Relationship Id="rId692" Type="http://schemas.openxmlformats.org/officeDocument/2006/relationships/hyperlink" Target="https://vegconomist.com/products-and-launches/quality-made-from-cork-vegan-seating-from-german-company-smv/" TargetMode="External"/><Relationship Id="rId706" Type="http://schemas.openxmlformats.org/officeDocument/2006/relationships/hyperlink" Target="https://www.teresaduckfineart.com/image/sofa-f%C3%BC%C3%9Fe-edelstahl-eckig.html" TargetMode="External"/><Relationship Id="rId42" Type="http://schemas.openxmlformats.org/officeDocument/2006/relationships/hyperlink" Target="https://www.amandaeliasch.com/buro-gemutlich-machen.html" TargetMode="External"/><Relationship Id="rId138" Type="http://schemas.openxmlformats.org/officeDocument/2006/relationships/hyperlink" Target="http://dev.bueroco.eu/buero/" TargetMode="External"/><Relationship Id="rId345" Type="http://schemas.openxmlformats.org/officeDocument/2006/relationships/hyperlink" Target="http://www.svenanwarbibi.com/index.php?id=48" TargetMode="External"/><Relationship Id="rId552" Type="http://schemas.openxmlformats.org/officeDocument/2006/relationships/hyperlink" Target="https://www.pro-office.de/einrichtung/partner/" TargetMode="External"/><Relationship Id="rId191" Type="http://schemas.openxmlformats.org/officeDocument/2006/relationships/hyperlink" Target="http://www.zukunft-personal.de/de/zp16/agenda/highlights-events/arbeitsweltenhr-design-by-hcd/" TargetMode="External"/><Relationship Id="rId205" Type="http://schemas.openxmlformats.org/officeDocument/2006/relationships/hyperlink" Target="https://www.freizeit-store-diepers.de/zubehoer/index.php" TargetMode="External"/><Relationship Id="rId412" Type="http://schemas.openxmlformats.org/officeDocument/2006/relationships/hyperlink" Target="http://www.welt-verzeichnis.de/web/Moebel/Barhocker.html" TargetMode="External"/><Relationship Id="rId289" Type="http://schemas.openxmlformats.org/officeDocument/2006/relationships/hyperlink" Target="https://www.kiefel-b&#252;roeinrichtung.de/kiefel-unternehmensgruppe/b&#252;roeinrichtung-und-design/hersteller/" TargetMode="External"/><Relationship Id="rId496" Type="http://schemas.openxmlformats.org/officeDocument/2006/relationships/hyperlink" Target="http://mobilewednesday.info/sofa-bed-forty-two.html" TargetMode="External"/><Relationship Id="rId717" Type="http://schemas.openxmlformats.org/officeDocument/2006/relationships/hyperlink" Target="https://zyklonbproductions.com/image/sofa-f%C3%BC%C3%9Fe-edelstahl-eckig.html" TargetMode="External"/><Relationship Id="rId53" Type="http://schemas.openxmlformats.org/officeDocument/2006/relationships/hyperlink" Target="https://augenhoehe-film.de/sponsoren-augenhoehewege/" TargetMode="External"/><Relationship Id="rId149" Type="http://schemas.openxmlformats.org/officeDocument/2006/relationships/hyperlink" Target="http://eigenart-designstudio.de/g3/" TargetMode="External"/><Relationship Id="rId356" Type="http://schemas.openxmlformats.org/officeDocument/2006/relationships/hyperlink" Target="https://www.madebybright.com/sessel-hersteller-deutschland.html" TargetMode="External"/><Relationship Id="rId563" Type="http://schemas.openxmlformats.org/officeDocument/2006/relationships/hyperlink" Target="http://www.sueltrop.com/partnerlinks.html" TargetMode="External"/><Relationship Id="rId770" Type="http://schemas.openxmlformats.org/officeDocument/2006/relationships/hyperlink" Target="https://www.pinterest.de/smv_wohlsitzen/" TargetMode="External"/><Relationship Id="rId216" Type="http://schemas.openxmlformats.org/officeDocument/2006/relationships/hyperlink" Target="https://giftcertificates4u.com/sitzsack-big-bag.html" TargetMode="External"/><Relationship Id="rId423" Type="http://schemas.openxmlformats.org/officeDocument/2006/relationships/hyperlink" Target="https://www.trendwelten.eu/ticker-termine.html?news_id=9381" TargetMode="External"/><Relationship Id="rId630" Type="http://schemas.openxmlformats.org/officeDocument/2006/relationships/hyperlink" Target="https://duitse-kantoormeubelen.nl/fabrikanten/smv/" TargetMode="External"/><Relationship Id="rId728" Type="http://schemas.openxmlformats.org/officeDocument/2006/relationships/hyperlink" Target="https://bobby-charetteaj3514.firebaseapp.com/barhocker-bank.html" TargetMode="External"/><Relationship Id="rId22" Type="http://schemas.openxmlformats.org/officeDocument/2006/relationships/hyperlink" Target="http://planobjekt.net/" TargetMode="External"/><Relationship Id="rId64" Type="http://schemas.openxmlformats.org/officeDocument/2006/relationships/hyperlink" Target="http://www.breu-buerotechnik.de/cms/front_content.php?idcat=24" TargetMode="External"/><Relationship Id="rId118" Type="http://schemas.openxmlformats.org/officeDocument/2006/relationships/hyperlink" Target="http://classen.dscdev.de/de/Partner--Zulieferer.htm" TargetMode="External"/><Relationship Id="rId325" Type="http://schemas.openxmlformats.org/officeDocument/2006/relationships/hyperlink" Target="http://www.rebelfreestyle.de/tag/uebergabe" TargetMode="External"/><Relationship Id="rId367" Type="http://schemas.openxmlformats.org/officeDocument/2006/relationships/hyperlink" Target="https://www.mittelstand-ostwestfalen.de/branchenbuch/" TargetMode="External"/><Relationship Id="rId532" Type="http://schemas.openxmlformats.org/officeDocument/2006/relationships/hyperlink" Target="http://www.onlineobchody.com/fff.php?q=praktiker%20zittau" TargetMode="External"/><Relationship Id="rId574" Type="http://schemas.openxmlformats.org/officeDocument/2006/relationships/hyperlink" Target="https://wohndesignes.blogspot.com/2020/03/sessel-mit-hoher-lehne.html" TargetMode="External"/><Relationship Id="rId171" Type="http://schemas.openxmlformats.org/officeDocument/2006/relationships/hyperlink" Target="http://femb.org/national-companies/" TargetMode="External"/><Relationship Id="rId227" Type="http://schemas.openxmlformats.org/officeDocument/2006/relationships/hyperlink" Target="https://www.h-2-office.de/partner/" TargetMode="External"/><Relationship Id="rId781" Type="http://schemas.openxmlformats.org/officeDocument/2006/relationships/hyperlink" Target="http://stepone-bo.loehne.de/Infos-f%C3%83%C2%83%C3%85%C2%92r-Besucher/Aussteller-2022/?KatID=3372.13&amp;amp;La=1&amp;amp;ModID=9&amp;amp;NavID=3372.41&amp;amp;TypSel=3372.13&amp;amp;alpha=S&amp;amp;kuo=1&amp;amp;object=tx%2C3372.60.1" TargetMode="External"/><Relationship Id="rId269" Type="http://schemas.openxmlformats.org/officeDocument/2006/relationships/hyperlink" Target="http://jeanssessel.com/" TargetMode="External"/><Relationship Id="rId434" Type="http://schemas.openxmlformats.org/officeDocument/2006/relationships/hyperlink" Target="http://tivnea.gq/aktuelles-dialog/aktuelles-dialog-sub/aktuelle-ausgabe/item/test-loungesitzmoebel-10-2017/643?tmpl=component&amp;print=1&amp;page=" TargetMode="External"/><Relationship Id="rId476" Type="http://schemas.openxmlformats.org/officeDocument/2006/relationships/hyperlink" Target="http://smv-m&#246;bel-vertrieb.de/" TargetMode="External"/><Relationship Id="rId641" Type="http://schemas.openxmlformats.org/officeDocument/2006/relationships/hyperlink" Target="https://www.gerberapartmentproperties.com/image/sofa-f%C3%BC%C3%9Fe-edelstahl-eckig.html" TargetMode="External"/><Relationship Id="rId683" Type="http://schemas.openxmlformats.org/officeDocument/2006/relationships/hyperlink" Target="https://www.sparechangeinc.com/coole-lounge-sessel/" TargetMode="External"/><Relationship Id="rId739" Type="http://schemas.openxmlformats.org/officeDocument/2006/relationships/hyperlink" Target="https://www.feld-werk.de/" TargetMode="External"/><Relationship Id="rId33" Type="http://schemas.openxmlformats.org/officeDocument/2006/relationships/hyperlink" Target="https://www.woodenhome101.com/lounge-sofa-outdoor-holz.html" TargetMode="External"/><Relationship Id="rId129" Type="http://schemas.openxmlformats.org/officeDocument/2006/relationships/hyperlink" Target="http://dein-jeans-sessel.com/" TargetMode="External"/><Relationship Id="rId280" Type="http://schemas.openxmlformats.org/officeDocument/2006/relationships/hyperlink" Target="http://jrbuero.de/hersteller-und-partner/" TargetMode="External"/><Relationship Id="rId336" Type="http://schemas.openxmlformats.org/officeDocument/2006/relationships/hyperlink" Target="https://www.rm-buero.de/hersteller-und-partner" TargetMode="External"/><Relationship Id="rId501" Type="http://schemas.openxmlformats.org/officeDocument/2006/relationships/hyperlink" Target="https://www.more-wolf.de/bueromoebelhersteller/" TargetMode="External"/><Relationship Id="rId543" Type="http://schemas.openxmlformats.org/officeDocument/2006/relationships/hyperlink" Target="https://www.pbs-business.de/themen/bueromoebel/05-12-2013-trends-fuer-office-und-mittelzone/" TargetMode="External"/><Relationship Id="rId75" Type="http://schemas.openxmlformats.org/officeDocument/2006/relationships/hyperlink" Target="https://www.buero-garisch.de/es/links" TargetMode="External"/><Relationship Id="rId140" Type="http://schemas.openxmlformats.org/officeDocument/2006/relationships/hyperlink" Target="https://direkt.sicherheits-berater.de/2013/ausgabe-11/ausgabe-112013-beitrag-55.html" TargetMode="External"/><Relationship Id="rId182" Type="http://schemas.openxmlformats.org/officeDocument/2006/relationships/hyperlink" Target="http://www.foto-treff-bielefeld.de/die-menschen-gesichter-der-stadt-stadtgesichter/" TargetMode="External"/><Relationship Id="rId378" Type="http://schemas.openxmlformats.org/officeDocument/2006/relationships/hyperlink" Target="http://b&#252;ro-steppe.de/index.php/partner" TargetMode="External"/><Relationship Id="rId403" Type="http://schemas.openxmlformats.org/officeDocument/2006/relationships/hyperlink" Target="http://wohlsitzen.info/" TargetMode="External"/><Relationship Id="rId585" Type="http://schemas.openxmlformats.org/officeDocument/2006/relationships/hyperlink" Target="http://de.buildup.group/category/bfc41b7e-fa6f-44c2-9adf-73ebf9ef1d79/view" TargetMode="External"/><Relationship Id="rId750" Type="http://schemas.openxmlformats.org/officeDocument/2006/relationships/hyperlink" Target="https://kiefel-buerodesign.de/marke/" TargetMode="External"/><Relationship Id="rId792" Type="http://schemas.openxmlformats.org/officeDocument/2006/relationships/hyperlink" Target="https://www.wn-nrw.de/firmen-unternehmen-in-nordrhein-westfalen.html/L%C3%B6hne/SMV+Sitz-+Objektm%C3%B6bel+GmbH/firmenprofil/57167" TargetMode="External"/><Relationship Id="rId6" Type="http://schemas.openxmlformats.org/officeDocument/2006/relationships/hyperlink" Target="http://activsit.com/SMV.html" TargetMode="External"/><Relationship Id="rId238" Type="http://schemas.openxmlformats.org/officeDocument/2006/relationships/hyperlink" Target="https://www.hds1883.de/index8803.html?id=7" TargetMode="External"/><Relationship Id="rId445" Type="http://schemas.openxmlformats.org/officeDocument/2006/relationships/hyperlink" Target="http://www.suche-branchen.de/branchensuche.php/branchen.php%3FBranche%3DAuto/branchen.php?Branche=Handwerk/Gewerbe&amp;Link=&amp;suche=&amp;seite=30" TargetMode="External"/><Relationship Id="rId487" Type="http://schemas.openxmlformats.org/officeDocument/2006/relationships/hyperlink" Target="http://sitzen-mit-vergn&#252;gen.de/" TargetMode="External"/><Relationship Id="rId610" Type="http://schemas.openxmlformats.org/officeDocument/2006/relationships/hyperlink" Target="http://www.arbeitsratgeber.com/betriebliches-gesundheitsmanagement-tipps-fur-die-psychosoziale-gesundheit/" TargetMode="External"/><Relationship Id="rId652" Type="http://schemas.openxmlformats.org/officeDocument/2006/relationships/hyperlink" Target="https://kb-einrichtungen.de/service/partner/" TargetMode="External"/><Relationship Id="rId694" Type="http://schemas.openxmlformats.org/officeDocument/2006/relationships/hyperlink" Target="https://www.wbhandelsagentur.de/" TargetMode="External"/><Relationship Id="rId708" Type="http://schemas.openxmlformats.org/officeDocument/2006/relationships/hyperlink" Target="https://www.soundsmeister.com/image/sofa-f%C3%BC%C3%9Fe-edelstahl-eckig.html" TargetMode="External"/><Relationship Id="rId291" Type="http://schemas.openxmlformats.org/officeDocument/2006/relationships/hyperlink" Target="http://www.knauer-bueroeinrichtungen.de/partner/" TargetMode="External"/><Relationship Id="rId305" Type="http://schemas.openxmlformats.org/officeDocument/2006/relationships/hyperlink" Target="https://www.kuechenmeile.de/de/partner" TargetMode="External"/><Relationship Id="rId347" Type="http://schemas.openxmlformats.org/officeDocument/2006/relationships/hyperlink" Target="http://ubsysteme.de/index.php/visualisierung/index.php/bueromoebel/partner-produkte/160-smv" TargetMode="External"/><Relationship Id="rId512" Type="http://schemas.openxmlformats.org/officeDocument/2006/relationships/hyperlink" Target="http://neuheiten.koelnmesse.net/271/2012/de/exhibitors/view/3181" TargetMode="External"/><Relationship Id="rId44" Type="http://schemas.openxmlformats.org/officeDocument/2006/relationships/hyperlink" Target="https://aostafurniture.com/buro-gemutlich-machen.html" TargetMode="External"/><Relationship Id="rId86" Type="http://schemas.openxmlformats.org/officeDocument/2006/relationships/hyperlink" Target="http://www.buerocenter-ruecker.de/partner.php" TargetMode="External"/><Relationship Id="rId151" Type="http://schemas.openxmlformats.org/officeDocument/2006/relationships/hyperlink" Target="https://www.einkaufsquellen.de/profil/grosshaendler-smv-sitz-und-objektmoebel-gmbh-loehne-gohfeld-47920" TargetMode="External"/><Relationship Id="rId389" Type="http://schemas.openxmlformats.org/officeDocument/2006/relationships/hyperlink" Target="http://www.orthop&#228;discheb&#252;rost&#252;hle.com/SMV.html" TargetMode="External"/><Relationship Id="rId554" Type="http://schemas.openxmlformats.org/officeDocument/2006/relationships/hyperlink" Target="http://www.pruefer-herting.de/bueroeinrichtungen/partner/mid_38018.html" TargetMode="External"/><Relationship Id="rId596" Type="http://schemas.openxmlformats.org/officeDocument/2006/relationships/hyperlink" Target="https://planer.iba.online/inspirationen/brandschutz-in-jeder-schicht" TargetMode="External"/><Relationship Id="rId761" Type="http://schemas.openxmlformats.org/officeDocument/2006/relationships/hyperlink" Target="https://www.menshealth.de/dad/job-care/die-besten-firmen-fuer-vaeter/" TargetMode="External"/><Relationship Id="rId193" Type="http://schemas.openxmlformats.org/officeDocument/2006/relationships/hyperlink" Target="http://www.yildiz-design.de/portfolio.html" TargetMode="External"/><Relationship Id="rId207" Type="http://schemas.openxmlformats.org/officeDocument/2006/relationships/hyperlink" Target="http://funktioneller-sitz-comfort.de/SMV.html" TargetMode="External"/><Relationship Id="rId249" Type="http://schemas.openxmlformats.org/officeDocument/2006/relationships/hyperlink" Target="https://www.hevis-berlin.de/hersteller/smv" TargetMode="External"/><Relationship Id="rId414" Type="http://schemas.openxmlformats.org/officeDocument/2006/relationships/hyperlink" Target="https://www.webinhalt.de/Webverzeichnis/Branchen_und_Gewerbe/I/Innenausbau/Ladenbau/index.php" TargetMode="External"/><Relationship Id="rId456" Type="http://schemas.openxmlformats.org/officeDocument/2006/relationships/hyperlink" Target="https://www.steelcase-werkverkauf.de/empfang-lounge/592/smv-manhattan-2-sitzer-highback" TargetMode="External"/><Relationship Id="rId498" Type="http://schemas.openxmlformats.org/officeDocument/2006/relationships/hyperlink" Target="http://www.moebel-forum.com/showthread.php?tid=50" TargetMode="External"/><Relationship Id="rId621" Type="http://schemas.openxmlformats.org/officeDocument/2006/relationships/hyperlink" Target="https://buch-vonbolton.netlify.app/polstermaterial-fuer-sofa.html" TargetMode="External"/><Relationship Id="rId663" Type="http://schemas.openxmlformats.org/officeDocument/2006/relationships/hyperlink" Target="https://meraswasthyameriaawaz.org/image/sofa-f%C3%BC%C3%9Fe-edelstahl-eckig.html" TargetMode="External"/><Relationship Id="rId13" Type="http://schemas.openxmlformats.org/officeDocument/2006/relationships/hyperlink" Target="http://b2b-katalog.de/o/objekteinrichtungen/" TargetMode="External"/><Relationship Id="rId109" Type="http://schemas.openxmlformats.org/officeDocument/2006/relationships/hyperlink" Target="http://carstensen.double-youmedia.de/?cat=109" TargetMode="External"/><Relationship Id="rId260" Type="http://schemas.openxmlformats.org/officeDocument/2006/relationships/hyperlink" Target="https://www.inbonova.de/partner.html" TargetMode="External"/><Relationship Id="rId316" Type="http://schemas.openxmlformats.org/officeDocument/2006/relationships/hyperlink" Target="http://www.mandt-buero.de/bueromoebel/" TargetMode="External"/><Relationship Id="rId523" Type="http://schemas.openxmlformats.org/officeDocument/2006/relationships/hyperlink" Target="http://officekonzepte.de/produkte/" TargetMode="External"/><Relationship Id="rId719" Type="http://schemas.openxmlformats.org/officeDocument/2006/relationships/hyperlink" Target="http://www.32.de/branchenbuch/bueromoebelhaendler" TargetMode="External"/><Relationship Id="rId55" Type="http://schemas.openxmlformats.org/officeDocument/2006/relationships/hyperlink" Target="http://www.b2b-katalog.de/a/arbeitsstuhle/" TargetMode="External"/><Relationship Id="rId97" Type="http://schemas.openxmlformats.org/officeDocument/2006/relationships/hyperlink" Target="http://www.bueromoebelhamburg.com/kontakt/" TargetMode="External"/><Relationship Id="rId120" Type="http://schemas.openxmlformats.org/officeDocument/2006/relationships/hyperlink" Target="https://www.concept-office.nl/unternehmen/referenzen" TargetMode="External"/><Relationship Id="rId358" Type="http://schemas.openxmlformats.org/officeDocument/2006/relationships/hyperlink" Target="https://www.madvix.com/DE/L%C3%B6hne/196356019667/Windus-Fotodesign" TargetMode="External"/><Relationship Id="rId565" Type="http://schemas.openxmlformats.org/officeDocument/2006/relationships/hyperlink" Target="http://archiv.innozent-owl.de/aktuelles/16112016-social-media-loehne/" TargetMode="External"/><Relationship Id="rId730" Type="http://schemas.openxmlformats.org/officeDocument/2006/relationships/hyperlink" Target="http://www.buerodienste-in.de/2021/04/moderne-bueroloesungen-fuer-zufriedene-arbeitnehmer/" TargetMode="External"/><Relationship Id="rId772" Type="http://schemas.openxmlformats.org/officeDocument/2006/relationships/hyperlink" Target="https://www.quality-office.org/berater/fortbildungsveranstaltungen/fortbildungskalender/" TargetMode="External"/><Relationship Id="rId162" Type="http://schemas.openxmlformats.org/officeDocument/2006/relationships/hyperlink" Target="http://www.existenzgruendungstag.de/joomla1013/?option=com_iwkhmitglieder&amp;Itemid=3" TargetMode="External"/><Relationship Id="rId218" Type="http://schemas.openxmlformats.org/officeDocument/2006/relationships/hyperlink" Target="http://www.glagla.de/inhalt-kreativitaet" TargetMode="External"/><Relationship Id="rId425" Type="http://schemas.openxmlformats.org/officeDocument/2006/relationships/hyperlink" Target="https://trendkraft.io/user/smvwohlsitzen/" TargetMode="External"/><Relationship Id="rId467" Type="http://schemas.openxmlformats.org/officeDocument/2006/relationships/hyperlink" Target="http://smv-wohlsitzen.eu/" TargetMode="External"/><Relationship Id="rId632" Type="http://schemas.openxmlformats.org/officeDocument/2006/relationships/hyperlink" Target="https://edle-bauelemente.tentakelfabrik.de/betriebe-im-fokus-bauelemente-fuer-gewerbe-und-gastronomie/" TargetMode="External"/><Relationship Id="rId271" Type="http://schemas.openxmlformats.org/officeDocument/2006/relationships/hyperlink" Target="http://jer.kocinas.com/buro-gemutlich-machen.html" TargetMode="External"/><Relationship Id="rId674" Type="http://schemas.openxmlformats.org/officeDocument/2006/relationships/hyperlink" Target="http://www.saveladywellpool.com/akustik-sessel-buro/" TargetMode="External"/><Relationship Id="rId24" Type="http://schemas.openxmlformats.org/officeDocument/2006/relationships/hyperlink" Target="http://www.sitzenmitvergnuegen.de/" TargetMode="External"/><Relationship Id="rId66" Type="http://schemas.openxmlformats.org/officeDocument/2006/relationships/hyperlink" Target="http://www.bossticker.de/news/default.asp?nws_item=46598" TargetMode="External"/><Relationship Id="rId131" Type="http://schemas.openxmlformats.org/officeDocument/2006/relationships/hyperlink" Target="http://www.dekra-award.de/fileadmin/scripts/award/?view=7&amp;category=2" TargetMode="External"/><Relationship Id="rId327" Type="http://schemas.openxmlformats.org/officeDocument/2006/relationships/hyperlink" Target="https://shi-systemhaus.de/ueber-shi/partner-hersteller/" TargetMode="External"/><Relationship Id="rId369" Type="http://schemas.openxmlformats.org/officeDocument/2006/relationships/hyperlink" Target="http://www.bewegtes-b&#252;ro.com/SMV.html" TargetMode="External"/><Relationship Id="rId534" Type="http://schemas.openxmlformats.org/officeDocument/2006/relationships/hyperlink" Target="http://www.orgaplan-cottbus.de/index.php/moebel-hersteller.html" TargetMode="External"/><Relationship Id="rId576" Type="http://schemas.openxmlformats.org/officeDocument/2006/relationships/hyperlink" Target="https://wohnkulturdesign.blogspot.com/2020/03/sessel-mit-hoher-lehne.html" TargetMode="External"/><Relationship Id="rId741" Type="http://schemas.openxmlformats.org/officeDocument/2006/relationships/hyperlink" Target="http://www.forstner-buero.de/" TargetMode="External"/><Relationship Id="rId783" Type="http://schemas.openxmlformats.org/officeDocument/2006/relationships/hyperlink" Target="https://tina-kalas880.firebaseapp.com/barhocker-bank.html" TargetMode="External"/><Relationship Id="rId173" Type="http://schemas.openxmlformats.org/officeDocument/2006/relationships/hyperlink" Target="http://www.fhdw.de/fhdw-studien--und-karrieretag-in-bielefeld.aspx" TargetMode="External"/><Relationship Id="rId229" Type="http://schemas.openxmlformats.org/officeDocument/2006/relationships/hyperlink" Target="https://h3.sug-webservice.de/aktuelles-dialog/aktuelles-dialog-sub/news-meldungen" TargetMode="External"/><Relationship Id="rId380" Type="http://schemas.openxmlformats.org/officeDocument/2006/relationships/hyperlink" Target="http://b&#252;roeinrichtungen-objektm&#246;bel-dresden.de/source/hersteller.php" TargetMode="External"/><Relationship Id="rId436" Type="http://schemas.openxmlformats.org/officeDocument/2006/relationships/hyperlink" Target="https://www.tektorum.de/innenarchitektur-design/10312-nichtbrennbare-moebel-foyer-notwendiges-treppenhaus.html" TargetMode="External"/><Relationship Id="rId601" Type="http://schemas.openxmlformats.org/officeDocument/2006/relationships/hyperlink" Target="http://www.voko-flanjak.de/lieferanten.html" TargetMode="External"/><Relationship Id="rId643" Type="http://schemas.openxmlformats.org/officeDocument/2006/relationships/hyperlink" Target="http://www.gruber-top.de/index_buero.php?show=referenzen_partner" TargetMode="External"/><Relationship Id="rId240" Type="http://schemas.openxmlformats.org/officeDocument/2006/relationships/hyperlink" Target="https://www.hdsbuero.de/index8803.html?id=7" TargetMode="External"/><Relationship Id="rId478" Type="http://schemas.openxmlformats.org/officeDocument/2006/relationships/hyperlink" Target="http://smv-gmbh.net/" TargetMode="External"/><Relationship Id="rId685" Type="http://schemas.openxmlformats.org/officeDocument/2006/relationships/hyperlink" Target="https://www.tarantovecchia.org/image/sofa-f%C3%BC%C3%9Fe-edelstahl-eckig.html" TargetMode="External"/><Relationship Id="rId35" Type="http://schemas.openxmlformats.org/officeDocument/2006/relationships/hyperlink" Target="http://broders-knigge.de/arbeitswelten/" TargetMode="External"/><Relationship Id="rId77" Type="http://schemas.openxmlformats.org/officeDocument/2006/relationships/hyperlink" Target="http://www.buero-marb.de/" TargetMode="External"/><Relationship Id="rId100" Type="http://schemas.openxmlformats.org/officeDocument/2006/relationships/hyperlink" Target="http://bueroprofil.spring-7.de/unser-lieferantenverzeichnis" TargetMode="External"/><Relationship Id="rId282" Type="http://schemas.openxmlformats.org/officeDocument/2006/relationships/hyperlink" Target="http://www.julienjaffres.com/bank-polster/" TargetMode="External"/><Relationship Id="rId338" Type="http://schemas.openxmlformats.org/officeDocument/2006/relationships/hyperlink" Target="https://www.roha-gmbh.de/hersteller/smv/" TargetMode="External"/><Relationship Id="rId503" Type="http://schemas.openxmlformats.org/officeDocument/2006/relationships/hyperlink" Target="http://www.msl-office.de/" TargetMode="External"/><Relationship Id="rId545" Type="http://schemas.openxmlformats.org/officeDocument/2006/relationships/hyperlink" Target="https://personensuche.dastelefonbuch.de/Nachnamen/Br&#252;nger/Bad%20Salzuflen" TargetMode="External"/><Relationship Id="rId587" Type="http://schemas.openxmlformats.org/officeDocument/2006/relationships/hyperlink" Target="https://fischer-bueromoebel.de/partner/" TargetMode="External"/><Relationship Id="rId710" Type="http://schemas.openxmlformats.org/officeDocument/2006/relationships/hyperlink" Target="https://www.loudounballet.org/image/sofa-f%C3%BC%C3%9Fe-edelstahl-eckig.html" TargetMode="External"/><Relationship Id="rId752" Type="http://schemas.openxmlformats.org/officeDocument/2006/relationships/hyperlink" Target="http://www.lanai-spa.de/ausstattung-einrichtung/" TargetMode="External"/><Relationship Id="rId8" Type="http://schemas.openxmlformats.org/officeDocument/2006/relationships/hyperlink" Target="http://aktiv-sit.com/SMV.html" TargetMode="External"/><Relationship Id="rId142" Type="http://schemas.openxmlformats.org/officeDocument/2006/relationships/hyperlink" Target="https://www.dk-buerowohndesign.de/index.php/hersteller" TargetMode="External"/><Relationship Id="rId184" Type="http://schemas.openxmlformats.org/officeDocument/2006/relationships/hyperlink" Target="https://www.goppert-buero.de/unsere-partner/" TargetMode="External"/><Relationship Id="rId391" Type="http://schemas.openxmlformats.org/officeDocument/2006/relationships/hyperlink" Target="http://www.smv-drehst&#252;hle.de/" TargetMode="External"/><Relationship Id="rId405" Type="http://schemas.openxmlformats.org/officeDocument/2006/relationships/hyperlink" Target="http://wohlsitzen.com/" TargetMode="External"/><Relationship Id="rId447" Type="http://schemas.openxmlformats.org/officeDocument/2006/relationships/hyperlink" Target="https://www.sturm-eningen.de/index.php?id=unsere_partner" TargetMode="External"/><Relationship Id="rId612" Type="http://schemas.openxmlformats.org/officeDocument/2006/relationships/hyperlink" Target="https://www.archiproducts.com/de/news/smv-im-co-working-space-der-hotelfachschule-hamburg_80185" TargetMode="External"/><Relationship Id="rId794" Type="http://schemas.openxmlformats.org/officeDocument/2006/relationships/hyperlink" Target="https://xn--dmmersee-65a.eu/branchenbuch/335676" TargetMode="External"/><Relationship Id="rId251" Type="http://schemas.openxmlformats.org/officeDocument/2006/relationships/hyperlink" Target="http://www.hjwbankundbuero.de/20861.html" TargetMode="External"/><Relationship Id="rId489" Type="http://schemas.openxmlformats.org/officeDocument/2006/relationships/hyperlink" Target="https://www.siteprice.org/similar-websites/plagiarismfinder.de" TargetMode="External"/><Relationship Id="rId654" Type="http://schemas.openxmlformats.org/officeDocument/2006/relationships/hyperlink" Target="https://www.kurzbach-vechta.de/portfolio/buero-besucherstuehle/" TargetMode="External"/><Relationship Id="rId696" Type="http://schemas.openxmlformats.org/officeDocument/2006/relationships/hyperlink" Target="https://wks2.srv2.msbu.de/bueroeinrichtung.php" TargetMode="External"/><Relationship Id="rId46" Type="http://schemas.openxmlformats.org/officeDocument/2006/relationships/hyperlink" Target="http://www.aquamagica.de/int-literaturfest-poetische-quellen/foerderer-partner/" TargetMode="External"/><Relationship Id="rId293" Type="http://schemas.openxmlformats.org/officeDocument/2006/relationships/hyperlink" Target="https://www.koch-walldorf.de/" TargetMode="External"/><Relationship Id="rId307" Type="http://schemas.openxmlformats.org/officeDocument/2006/relationships/hyperlink" Target="http://kundenverbl&#252;ffung.de/de/kommunikations-trainings/referenzen/details/?itemid=253" TargetMode="External"/><Relationship Id="rId349" Type="http://schemas.openxmlformats.org/officeDocument/2006/relationships/hyperlink" Target="https://www.ulrikeschwarz.com/project/starke-frauen-lass-dein-ziel-nicht-aus-den-augen/" TargetMode="External"/><Relationship Id="rId514" Type="http://schemas.openxmlformats.org/officeDocument/2006/relationships/hyperlink" Target="http://www.objektiv-gmbh.de/hersteller.php" TargetMode="External"/><Relationship Id="rId556" Type="http://schemas.openxmlformats.org/officeDocument/2006/relationships/hyperlink" Target="https://www.zoellner-office.de/unsere-partner/" TargetMode="External"/><Relationship Id="rId721" Type="http://schemas.openxmlformats.org/officeDocument/2006/relationships/hyperlink" Target="https://www.bauemotion.de/hersteller/smv-sitz-und-objektmoebel/12304275/" TargetMode="External"/><Relationship Id="rId763" Type="http://schemas.openxmlformats.org/officeDocument/2006/relationships/hyperlink" Target="https://minden-online.de/branchenbuch/335676" TargetMode="External"/><Relationship Id="rId88" Type="http://schemas.openxmlformats.org/officeDocument/2006/relationships/hyperlink" Target="http://buerodesign-frankfurt-berlin.de/1.html" TargetMode="External"/><Relationship Id="rId111" Type="http://schemas.openxmlformats.org/officeDocument/2006/relationships/hyperlink" Target="http://ccmkr.net/sitzsack-zum-aufh%C3%A4ngen.html" TargetMode="External"/><Relationship Id="rId153" Type="http://schemas.openxmlformats.org/officeDocument/2006/relationships/hyperlink" Target="https://www.elbracht-beckum.de/" TargetMode="External"/><Relationship Id="rId195" Type="http://schemas.openxmlformats.org/officeDocument/2006/relationships/hyperlink" Target="http://www.hs-buero.de/0000012385___________0000000003.htm" TargetMode="External"/><Relationship Id="rId209" Type="http://schemas.openxmlformats.org/officeDocument/2006/relationships/hyperlink" Target="http://gartenmobel.fioreriabarbiero.com/bartisch-eckig-holz.html" TargetMode="External"/><Relationship Id="rId360" Type="http://schemas.openxmlformats.org/officeDocument/2006/relationships/hyperlink" Target="https://www.markaelrod.net/steel-frame-coffee-table-base.html" TargetMode="External"/><Relationship Id="rId416" Type="http://schemas.openxmlformats.org/officeDocument/2006/relationships/hyperlink" Target="http://webcolourdata.com/profile/46231" TargetMode="External"/><Relationship Id="rId598" Type="http://schemas.openxmlformats.org/officeDocument/2006/relationships/hyperlink" Target="https://staging.nzp.ch/referenzen_cpt/smv-sitz-objektmobel-gmbh/" TargetMode="External"/><Relationship Id="rId220" Type="http://schemas.openxmlformats.org/officeDocument/2006/relationships/hyperlink" Target="https://www.grasenhiller.de/buero-objekteinrichtungen/unsere-partner/smv-sitz-objektmoebel" TargetMode="External"/><Relationship Id="rId458" Type="http://schemas.openxmlformats.org/officeDocument/2006/relationships/hyperlink" Target="https://www.starke-objekte.de/firma/Unsere-Partner/Lieferanten.html" TargetMode="External"/><Relationship Id="rId623" Type="http://schemas.openxmlformats.org/officeDocument/2006/relationships/hyperlink" Target="http://co.mengger.com/ritz-er-cookies/" TargetMode="External"/><Relationship Id="rId665" Type="http://schemas.openxmlformats.org/officeDocument/2006/relationships/hyperlink" Target="https://officedesign24.de/" TargetMode="External"/><Relationship Id="rId15" Type="http://schemas.openxmlformats.org/officeDocument/2006/relationships/hyperlink" Target="http://berikstore.com/couchtisch.html" TargetMode="External"/><Relationship Id="rId57" Type="http://schemas.openxmlformats.org/officeDocument/2006/relationships/hyperlink" Target="http://www.bc.ag/html/partner.html" TargetMode="External"/><Relationship Id="rId262" Type="http://schemas.openxmlformats.org/officeDocument/2006/relationships/hyperlink" Target="https://www.interiorfashion.de/news/2018/12/smv_neuheiten_orgatec.php" TargetMode="External"/><Relationship Id="rId318" Type="http://schemas.openxmlformats.org/officeDocument/2006/relationships/hyperlink" Target="http://www.new-ways-buero.de/referenzen/" TargetMode="External"/><Relationship Id="rId525" Type="http://schemas.openxmlformats.org/officeDocument/2006/relationships/hyperlink" Target="https://www.officepartner-whv.de/partner" TargetMode="External"/><Relationship Id="rId567" Type="http://schemas.openxmlformats.org/officeDocument/2006/relationships/hyperlink" Target="https://www.designmadeingermany.de/weblog/sitzmoebel/" TargetMode="External"/><Relationship Id="rId732" Type="http://schemas.openxmlformats.org/officeDocument/2006/relationships/hyperlink" Target="https://www.contractormeta.com/DE/L%C3%B6hne/132947310071635/SMV-Wohlsitzen" TargetMode="External"/><Relationship Id="rId99" Type="http://schemas.openxmlformats.org/officeDocument/2006/relationships/hyperlink" Target="https://www.bueroprofil.de/unser-lieferantenverzeichnis" TargetMode="External"/><Relationship Id="rId122" Type="http://schemas.openxmlformats.org/officeDocument/2006/relationships/hyperlink" Target="https://www.connectiv.de/referenzen/details/smv-sitz-objektmoebel-gmbh.html" TargetMode="External"/><Relationship Id="rId164" Type="http://schemas.openxmlformats.org/officeDocument/2006/relationships/hyperlink" Target="http://www.facts-online.de/aktuelles-dialog/aktuelles-dialog-sub/news-meldungen/item/smv-jetzt-zum-trend-workshop-anmelden/1001?tmpl=component&amp;print=1&amp;page=" TargetMode="External"/><Relationship Id="rId371" Type="http://schemas.openxmlformats.org/officeDocument/2006/relationships/hyperlink" Target="http://www.bewegtesb&#252;ro.com/SMV.html" TargetMode="External"/><Relationship Id="rId774" Type="http://schemas.openxmlformats.org/officeDocument/2006/relationships/hyperlink" Target="https://www.rekonzept.net/%C3%BCber-uns" TargetMode="External"/><Relationship Id="rId427" Type="http://schemas.openxmlformats.org/officeDocument/2006/relationships/hyperlink" Target="http://trendagentur.de/ein-interview-der-smv-sitz-objektmoebel-gmbh-loehne/" TargetMode="External"/><Relationship Id="rId469" Type="http://schemas.openxmlformats.org/officeDocument/2006/relationships/hyperlink" Target="http://www.smv-wohlsitzen.com/" TargetMode="External"/><Relationship Id="rId634" Type="http://schemas.openxmlformats.org/officeDocument/2006/relationships/hyperlink" Target="http://ergonomische-arbeitswelten.com/SMV.html" TargetMode="External"/><Relationship Id="rId676" Type="http://schemas.openxmlformats.org/officeDocument/2006/relationships/hyperlink" Target="https://www.schwadke-shop.de/alle-artikel/594/smv-manhattan-2-sitzer-highback-abholpreis" TargetMode="External"/><Relationship Id="rId26" Type="http://schemas.openxmlformats.org/officeDocument/2006/relationships/hyperlink" Target="http://www.wohlsitzen.de/" TargetMode="External"/><Relationship Id="rId231" Type="http://schemas.openxmlformats.org/officeDocument/2006/relationships/hyperlink" Target="http://www.handwerkherford.de/cgi/rate.cgi?ID=336" TargetMode="External"/><Relationship Id="rId273" Type="http://schemas.openxmlformats.org/officeDocument/2006/relationships/hyperlink" Target="https://www.jobs-detmold.de/999960004005368181.html" TargetMode="External"/><Relationship Id="rId329" Type="http://schemas.openxmlformats.org/officeDocument/2006/relationships/hyperlink" Target="http://radaris.de/p/Christine/Bautze/" TargetMode="External"/><Relationship Id="rId480" Type="http://schemas.openxmlformats.org/officeDocument/2006/relationships/hyperlink" Target="http://www.smv-gmbh.de/de/" TargetMode="External"/><Relationship Id="rId536" Type="http://schemas.openxmlformats.org/officeDocument/2006/relationships/hyperlink" Target="http://www.orte-online.de/Mo&#157;bach-56459-Autohaus.html" TargetMode="External"/><Relationship Id="rId701" Type="http://schemas.openxmlformats.org/officeDocument/2006/relationships/hyperlink" Target="https://www.worldwidetopsite.com/2020/12/ahrefs-site-28.html" TargetMode="External"/><Relationship Id="rId68" Type="http://schemas.openxmlformats.org/officeDocument/2006/relationships/hyperlink" Target="http://www.bridge2b.com/snippet_click.php?l=%01%17%1C%07_F%5C%04%19%1EM%1B%19%01L%14%1E%0D%04B%01%16M&amp;from_lang=2&amp;fid=800000&amp;addparam=st_24312000" TargetMode="External"/><Relationship Id="rId133" Type="http://schemas.openxmlformats.org/officeDocument/2006/relationships/hyperlink" Target="https://demadridhastaelcielo.com/lounge-sofa-3-sitzer-outdoor.html" TargetMode="External"/><Relationship Id="rId175" Type="http://schemas.openxmlformats.org/officeDocument/2006/relationships/hyperlink" Target="http://www.fireball.de/mobileBildersuche.php?searchText=schirmstaender&amp;land=Bildersuche&amp;page=&amp;submit=1" TargetMode="External"/><Relationship Id="rId340" Type="http://schemas.openxmlformats.org/officeDocument/2006/relationships/hyperlink" Target="http://sandra-wilms.de/2016/09/21/rueckblick-augenhoehe-film-und-dialog-bei-smv-wohlsitzen/" TargetMode="External"/><Relationship Id="rId578" Type="http://schemas.openxmlformats.org/officeDocument/2006/relationships/hyperlink" Target="https://airjordanflight89.cc/landhaus-couch/" TargetMode="External"/><Relationship Id="rId743" Type="http://schemas.openxmlformats.org/officeDocument/2006/relationships/hyperlink" Target="http://www.grasenhiller.com/buero-objekteinrichtungen/unsere-partner/smv-sitz-objektmoebel" TargetMode="External"/><Relationship Id="rId785" Type="http://schemas.openxmlformats.org/officeDocument/2006/relationships/hyperlink" Target="https://vestarka.com/de/stuhle-und-tische/tische/klappbar-tische690935x-zhm" TargetMode="External"/><Relationship Id="rId200" Type="http://schemas.openxmlformats.org/officeDocument/2006/relationships/hyperlink" Target="http://www.industrystock.jp/html/product-service-jp-71779-0.html" TargetMode="External"/><Relationship Id="rId382" Type="http://schemas.openxmlformats.org/officeDocument/2006/relationships/hyperlink" Target="http://www.b&#252;roergonomie.com/SMV.html" TargetMode="External"/><Relationship Id="rId438" Type="http://schemas.openxmlformats.org/officeDocument/2006/relationships/hyperlink" Target="http://www.tbs-bueroservice.de/unternehmen.html" TargetMode="External"/><Relationship Id="rId603" Type="http://schemas.openxmlformats.org/officeDocument/2006/relationships/hyperlink" Target="https://www.wks-buerotechnik.de/bueroeinrichtung.php" TargetMode="External"/><Relationship Id="rId645" Type="http://schemas.openxmlformats.org/officeDocument/2006/relationships/hyperlink" Target="https://heimatfuermacher.de/produkte-dienstleistungen/smv-sitz-objektmoebel-gmbh-inge-bruenger-mylius/" TargetMode="External"/><Relationship Id="rId687" Type="http://schemas.openxmlformats.org/officeDocument/2006/relationships/hyperlink" Target="https://www.theblowingrockgrille.com/11246142454816589688/blogger.html" TargetMode="External"/><Relationship Id="rId242" Type="http://schemas.openxmlformats.org/officeDocument/2006/relationships/hyperlink" Target="https://www.heinze.de/firma/smv-sitz-und-objektmoebel/12304275/" TargetMode="External"/><Relationship Id="rId284" Type="http://schemas.openxmlformats.org/officeDocument/2006/relationships/hyperlink" Target="http://www.karolskitchen.com/akustik-sofa-buro.html" TargetMode="External"/><Relationship Id="rId491" Type="http://schemas.openxmlformats.org/officeDocument/2006/relationships/hyperlink" Target="http://www.sicherheitsbeauftragter.de/termine/termine/?aid=4097" TargetMode="External"/><Relationship Id="rId505" Type="http://schemas.openxmlformats.org/officeDocument/2006/relationships/hyperlink" Target="http://www.mwbueroplanung.de/partner-produkte" TargetMode="External"/><Relationship Id="rId712" Type="http://schemas.openxmlformats.org/officeDocument/2006/relationships/hyperlink" Target="https://generation-wonder.com/image/sofa-f%C3%BC%C3%9Fe-edelstahl-eckig.html" TargetMode="External"/><Relationship Id="rId37" Type="http://schemas.openxmlformats.org/officeDocument/2006/relationships/hyperlink" Target="https://www.aban-buerosysteme.com/office-welten/officeplus/hersteller/" TargetMode="External"/><Relationship Id="rId79" Type="http://schemas.openxmlformats.org/officeDocument/2006/relationships/hyperlink" Target="http://www.buero-profil.de/unser-lieferantenverzeichnis" TargetMode="External"/><Relationship Id="rId102" Type="http://schemas.openxmlformats.org/officeDocument/2006/relationships/hyperlink" Target="https://buerosysteme-fassbach.de/sortiment" TargetMode="External"/><Relationship Id="rId144" Type="http://schemas.openxmlformats.org/officeDocument/2006/relationships/hyperlink" Target="http://www.dp-peine.de/index.php/wartezonen.html" TargetMode="External"/><Relationship Id="rId547" Type="http://schemas.openxmlformats.org/officeDocument/2006/relationships/hyperlink" Target="http://www.pimp-my-chair.de/SMV.html" TargetMode="External"/><Relationship Id="rId589" Type="http://schemas.openxmlformats.org/officeDocument/2006/relationships/hyperlink" Target="http://www.flanjak.eu/lieferanten.html" TargetMode="External"/><Relationship Id="rId754" Type="http://schemas.openxmlformats.org/officeDocument/2006/relationships/hyperlink" Target="https://loehne.stadtbranchenbuch.com/4869712.html" TargetMode="External"/><Relationship Id="rId796" Type="http://schemas.openxmlformats.org/officeDocument/2006/relationships/hyperlink" Target="https://zeichnungen-leicht.netlify.app/architektur-zeichnung-sitzbank.html" TargetMode="External"/><Relationship Id="rId90" Type="http://schemas.openxmlformats.org/officeDocument/2006/relationships/hyperlink" Target="https://www.bueroeinrichtungen-seidel.de/partner" TargetMode="External"/><Relationship Id="rId186" Type="http://schemas.openxmlformats.org/officeDocument/2006/relationships/hyperlink" Target="http://jeanssessel.de/" TargetMode="External"/><Relationship Id="rId351" Type="http://schemas.openxmlformats.org/officeDocument/2006/relationships/hyperlink" Target="https://www.wegscheider-os.de/unternehmen/referenzen" TargetMode="External"/><Relationship Id="rId393" Type="http://schemas.openxmlformats.org/officeDocument/2006/relationships/hyperlink" Target="http://www.smv-m&#246;bel-vertrieb.de/" TargetMode="External"/><Relationship Id="rId407" Type="http://schemas.openxmlformats.org/officeDocument/2006/relationships/hyperlink" Target="http://www.wipper-shop.de/kissen-klein-zubehoer-fuer-sitzlandschaft-speakers-corner" TargetMode="External"/><Relationship Id="rId449" Type="http://schemas.openxmlformats.org/officeDocument/2006/relationships/hyperlink" Target="http://streit-einrichtungswelten.de/partner/" TargetMode="External"/><Relationship Id="rId614" Type="http://schemas.openxmlformats.org/officeDocument/2006/relationships/hyperlink" Target="http://bauenwohnen.org/NW/lohne/smv-sitz--objektmobel-gmbh/" TargetMode="External"/><Relationship Id="rId656" Type="http://schemas.openxmlformats.org/officeDocument/2006/relationships/hyperlink" Target="https://landingpageconstructor.com/image/sofa-f%C3%BC%C3%9Fe-edelstahl-eckig.html" TargetMode="External"/><Relationship Id="rId211" Type="http://schemas.openxmlformats.org/officeDocument/2006/relationships/hyperlink" Target="http://www.gelbeseiten.de/Branchen/Juwelier/Braunschweig" TargetMode="External"/><Relationship Id="rId253" Type="http://schemas.openxmlformats.org/officeDocument/2006/relationships/hyperlink" Target="http://www.home-and-more.de/geschaeftskunden/aktuelles.html" TargetMode="External"/><Relationship Id="rId295" Type="http://schemas.openxmlformats.org/officeDocument/2006/relationships/hyperlink" Target="https://koln.paperblog.fr/irre-sache-deine-alten-jeans-als-sessel-150095/" TargetMode="External"/><Relationship Id="rId309" Type="http://schemas.openxmlformats.org/officeDocument/2006/relationships/hyperlink" Target="http://legler-ok.de/unternehmen/partner/" TargetMode="External"/><Relationship Id="rId460" Type="http://schemas.openxmlformats.org/officeDocument/2006/relationships/hyperlink" Target="https://sofa24.net/italienische-designer-sofas/" TargetMode="External"/><Relationship Id="rId516" Type="http://schemas.openxmlformats.org/officeDocument/2006/relationships/hyperlink" Target="http://www.oeffentlichebeschaffung.kompass-nachhaltigkeit.de/en/municipality-compass/baden-wuerttemberg/holz-holzprodukte/baenke/" TargetMode="External"/><Relationship Id="rId698" Type="http://schemas.openxmlformats.org/officeDocument/2006/relationships/hyperlink" Target="https://www.wn-deutschland.de/firmen-unternehmen-in-deutschland.html/L%C3%B6hne/SMV+Sitz-+Objektm%C3%B6bel+GmbH/firmenprofil/57167" TargetMode="External"/><Relationship Id="rId48" Type="http://schemas.openxmlformats.org/officeDocument/2006/relationships/hyperlink" Target="https://www.architektenkammer-mv.de/de/aktuelles-veranstaltungen/veranstaltungskalender/fb201109-smv-bs/" TargetMode="External"/><Relationship Id="rId113" Type="http://schemas.openxmlformats.org/officeDocument/2006/relationships/hyperlink" Target="http://cf.jiraygroup.com/coffee-table-red/" TargetMode="External"/><Relationship Id="rId320" Type="http://schemas.openxmlformats.org/officeDocument/2006/relationships/hyperlink" Target="http://nzp.bag.ch/de/kommunikations-trainings/referenzen/details/?itemid=838" TargetMode="External"/><Relationship Id="rId558" Type="http://schemas.openxmlformats.org/officeDocument/2006/relationships/hyperlink" Target="https://wambach-gmbh.de/" TargetMode="External"/><Relationship Id="rId723" Type="http://schemas.openxmlformats.org/officeDocument/2006/relationships/hyperlink" Target="https://www.thebestplaces.de/north-rhine-westphalia/loehne/smv-sitz-objektmobel-gmbh-946210.html" TargetMode="External"/><Relationship Id="rId765" Type="http://schemas.openxmlformats.org/officeDocument/2006/relationships/hyperlink" Target="https://www.nw-objektausstattung.de/brands" TargetMode="External"/><Relationship Id="rId155" Type="http://schemas.openxmlformats.org/officeDocument/2006/relationships/hyperlink" Target="https://www.erdmannulrike.de/project/starke-frauen-lass-dein-ziel-nicht-aus-den-augen/" TargetMode="External"/><Relationship Id="rId197" Type="http://schemas.openxmlformats.org/officeDocument/2006/relationships/hyperlink" Target="http://www.industrystock.ae/html/product-service-ar-113883-0.html" TargetMode="External"/><Relationship Id="rId362" Type="http://schemas.openxmlformats.org/officeDocument/2006/relationships/hyperlink" Target="https://www.md-mag.com/projekte/bueros-objektbauten/arbeitsraeume/" TargetMode="External"/><Relationship Id="rId418" Type="http://schemas.openxmlformats.org/officeDocument/2006/relationships/hyperlink" Target="https://vegconomist.de/messen-und-events/orgatec-2018-smv-praesentiert-vegane-sitzmoebel/" TargetMode="External"/><Relationship Id="rId625" Type="http://schemas.openxmlformats.org/officeDocument/2006/relationships/hyperlink" Target="http://der-ergoshop.de/SMV.html" TargetMode="External"/><Relationship Id="rId222" Type="http://schemas.openxmlformats.org/officeDocument/2006/relationships/hyperlink" Target="http://www.griebel-gmbh.de/hersteller" TargetMode="External"/><Relationship Id="rId264" Type="http://schemas.openxmlformats.org/officeDocument/2006/relationships/hyperlink" Target="http://iwkh.de/portfolio-item/smv/" TargetMode="External"/><Relationship Id="rId471" Type="http://schemas.openxmlformats.org/officeDocument/2006/relationships/hyperlink" Target="http://smv-sitzmoebel.de/" TargetMode="External"/><Relationship Id="rId667" Type="http://schemas.openxmlformats.org/officeDocument/2006/relationships/hyperlink" Target="https://pat.rest/barhocker-nur-sitz.html" TargetMode="External"/><Relationship Id="rId17" Type="http://schemas.openxmlformats.org/officeDocument/2006/relationships/hyperlink" Target="http://bfw-wst.com/index.php/ueber-uns/lieferanten/" TargetMode="External"/><Relationship Id="rId59" Type="http://schemas.openxmlformats.org/officeDocument/2006/relationships/hyperlink" Target="https://www.bergmann-buero.de/hersteller/smv/" TargetMode="External"/><Relationship Id="rId124" Type="http://schemas.openxmlformats.org/officeDocument/2006/relationships/hyperlink" Target="http://www.cvjm-roedinghausen-sport.de/foerderer/" TargetMode="External"/><Relationship Id="rId527" Type="http://schemas.openxmlformats.org/officeDocument/2006/relationships/hyperlink" Target="http://offpa.com/licht.html" TargetMode="External"/><Relationship Id="rId569" Type="http://schemas.openxmlformats.org/officeDocument/2006/relationships/hyperlink" Target="https://esszimmerdsgn.blogspot.com/2020/03/sessel-mit-hoher-lehne.html" TargetMode="External"/><Relationship Id="rId734" Type="http://schemas.openxmlformats.org/officeDocument/2006/relationships/hyperlink" Target="https://www.demografieagentur.de/teilnehmerstimmen/" TargetMode="External"/><Relationship Id="rId776" Type="http://schemas.openxmlformats.org/officeDocument/2006/relationships/hyperlink" Target="https://www.rinteln24.de/branchenbuch/bueromoebelhaendler" TargetMode="External"/><Relationship Id="rId70" Type="http://schemas.openxmlformats.org/officeDocument/2006/relationships/hyperlink" Target="https://www.bsl-zwenkau.de/objekteinrichtung.php" TargetMode="External"/><Relationship Id="rId166" Type="http://schemas.openxmlformats.org/officeDocument/2006/relationships/hyperlink" Target="http://factsoffice.com/aktuelles-dialog/aktuelles-dialog-sub/news-meldungen/item/smv-eigenes-compliance-system/965" TargetMode="External"/><Relationship Id="rId331" Type="http://schemas.openxmlformats.org/officeDocument/2006/relationships/hyperlink" Target="http://www.rangau-mall-office-studio.de/partner/" TargetMode="External"/><Relationship Id="rId373" Type="http://schemas.openxmlformats.org/officeDocument/2006/relationships/hyperlink" Target="http://b&#252;ro-ambiente.com/index.php/partner" TargetMode="External"/><Relationship Id="rId429" Type="http://schemas.openxmlformats.org/officeDocument/2006/relationships/hyperlink" Target="http://www.tov.de/SMV.html" TargetMode="External"/><Relationship Id="rId580" Type="http://schemas.openxmlformats.org/officeDocument/2006/relationships/hyperlink" Target="https://www.arcadexxl.de/news/26504" TargetMode="External"/><Relationship Id="rId636" Type="http://schemas.openxmlformats.org/officeDocument/2006/relationships/hyperlink" Target="http://www.fazerartesanato.com/coole-mobel/" TargetMode="External"/><Relationship Id="rId1" Type="http://schemas.openxmlformats.org/officeDocument/2006/relationships/hyperlink" Target="http://1.maerker-wilsdruff.de/hauptlieferanten-buero/" TargetMode="External"/><Relationship Id="rId233" Type="http://schemas.openxmlformats.org/officeDocument/2006/relationships/hyperlink" Target="http://haus.wfdesigngroup.com/wangentisch.html" TargetMode="External"/><Relationship Id="rId440" Type="http://schemas.openxmlformats.org/officeDocument/2006/relationships/hyperlink" Target="http://www.tageszeitung-24.de/firmenverzeichnis/einzelhandel-3/moebel-361/B&#252;nde/smv-sitzmoebel-vertriebsgesellschaft-mbh-8973903.html" TargetMode="External"/><Relationship Id="rId678" Type="http://schemas.openxmlformats.org/officeDocument/2006/relationships/hyperlink" Target="https://seotech2.com/2021/05/25/free-backlinks-provider-site-list-135001-to-140000/" TargetMode="External"/><Relationship Id="rId28" Type="http://schemas.openxmlformats.org/officeDocument/2006/relationships/hyperlink" Target="https://www.wirtschaft-regional.net/unternehmen-maerkte/smv-hausmesse-17/" TargetMode="External"/><Relationship Id="rId275" Type="http://schemas.openxmlformats.org/officeDocument/2006/relationships/hyperlink" Target="https://www.jobs-in-hannover.com/999960004005368181.html" TargetMode="External"/><Relationship Id="rId300" Type="http://schemas.openxmlformats.org/officeDocument/2006/relationships/hyperlink" Target="https://koro.me/valencia-lounge-sofa.html/" TargetMode="External"/><Relationship Id="rId482" Type="http://schemas.openxmlformats.org/officeDocument/2006/relationships/hyperlink" Target="http://smv-gmbh.biz/" TargetMode="External"/><Relationship Id="rId538" Type="http://schemas.openxmlformats.org/officeDocument/2006/relationships/hyperlink" Target="https://www.owler.com/company/smv-gmbh" TargetMode="External"/><Relationship Id="rId703" Type="http://schemas.openxmlformats.org/officeDocument/2006/relationships/hyperlink" Target="https://www.kiefel-b&#252;roeinrichtung.de/kiefel-unternehmensgruppe/b%C3%BCroeinrichtung-und-design/hersteller/" TargetMode="External"/><Relationship Id="rId745" Type="http://schemas.openxmlformats.org/officeDocument/2006/relationships/hyperlink" Target="http://www.grasenhiller.net/buero-objekteinrichtungen/unsere-partner/smv-sitz-objektmoebel" TargetMode="External"/><Relationship Id="rId81" Type="http://schemas.openxmlformats.org/officeDocument/2006/relationships/hyperlink" Target="http://www.buero-und-betrieb.com/adressen/smv__308.php" TargetMode="External"/><Relationship Id="rId135" Type="http://schemas.openxmlformats.org/officeDocument/2006/relationships/hyperlink" Target="http://www.derksen-kleve.de/?seite=bueroeinrichtung&amp;lang=deu&amp;item=item&amp;id1=3&amp;id2=3&amp;id3=0" TargetMode="External"/><Relationship Id="rId177" Type="http://schemas.openxmlformats.org/officeDocument/2006/relationships/hyperlink" Target="http://firmenschau.com/firmenverzeichnis/nordrhein-westfalen/loehne/seite12/" TargetMode="External"/><Relationship Id="rId342" Type="http://schemas.openxmlformats.org/officeDocument/2006/relationships/hyperlink" Target="http://www.schleef-officeline.de/joomla/?view=weblink&amp;catid=5%3Afachhandelspartner&amp;id=16%3Asmv-gmbh&amp;option=com_weblinks&amp;Itemid=12" TargetMode="External"/><Relationship Id="rId384" Type="http://schemas.openxmlformats.org/officeDocument/2006/relationships/hyperlink" Target="http://www.gesundesb&#252;ro.de/produkte.html" TargetMode="External"/><Relationship Id="rId591" Type="http://schemas.openxmlformats.org/officeDocument/2006/relationships/hyperlink" Target="http://instantiate.co/barhocker-sedeo" TargetMode="External"/><Relationship Id="rId605" Type="http://schemas.openxmlformats.org/officeDocument/2006/relationships/hyperlink" Target="http://b&#252;ro-jung.de/ueber-uns/lieferanten/" TargetMode="External"/><Relationship Id="rId787" Type="http://schemas.openxmlformats.org/officeDocument/2006/relationships/hyperlink" Target="https://wayranks.com/reach-your-network-marketing-potential-5-ways-to-generate-100s-of-marketing-leads-817/" TargetMode="External"/><Relationship Id="rId202" Type="http://schemas.openxmlformats.org/officeDocument/2006/relationships/hyperlink" Target="https://infoasik.com/next-ritz-coffee-table.html" TargetMode="External"/><Relationship Id="rId244" Type="http://schemas.openxmlformats.org/officeDocument/2006/relationships/hyperlink" Target="http://herchenhahn.info/" TargetMode="External"/><Relationship Id="rId647" Type="http://schemas.openxmlformats.org/officeDocument/2006/relationships/hyperlink" Target="https://www.idcrawl.com/gabriela-kaiser" TargetMode="External"/><Relationship Id="rId689" Type="http://schemas.openxmlformats.org/officeDocument/2006/relationships/hyperlink" Target="http://www.tokaro.com/smv.htm" TargetMode="External"/><Relationship Id="rId39" Type="http://schemas.openxmlformats.org/officeDocument/2006/relationships/hyperlink" Target="http://www.ais-online.de/firma/smv-sitz-und-objektmoebel/12304275/" TargetMode="External"/><Relationship Id="rId286" Type="http://schemas.openxmlformats.org/officeDocument/2006/relationships/hyperlink" Target="https://www.kathan-ergonomie.de/partner-2/" TargetMode="External"/><Relationship Id="rId451" Type="http://schemas.openxmlformats.org/officeDocument/2006/relationships/hyperlink" Target="http://www.store-locator.com/en/a-80287/SMV_Sitz_Objektmoebel_Loehne_Germany/" TargetMode="External"/><Relationship Id="rId493" Type="http://schemas.openxmlformats.org/officeDocument/2006/relationships/hyperlink" Target="https://sessel2018.blogspot.com/2017/06/drehbarer-sessel.html" TargetMode="External"/><Relationship Id="rId507" Type="http://schemas.openxmlformats.org/officeDocument/2006/relationships/hyperlink" Target="http://www.namenfinden.de/s/heinrich+voth" TargetMode="External"/><Relationship Id="rId549" Type="http://schemas.openxmlformats.org/officeDocument/2006/relationships/hyperlink" Target="http://potztausend-medien.de/index.html%3Fp=859.html" TargetMode="External"/><Relationship Id="rId714" Type="http://schemas.openxmlformats.org/officeDocument/2006/relationships/hyperlink" Target="https://irockanytimeanywhere.com/image/sofa-f%C3%BC%C3%9Fe-edelstahl-eckig.html" TargetMode="External"/><Relationship Id="rId756" Type="http://schemas.openxmlformats.org/officeDocument/2006/relationships/hyperlink" Target="https://luebbecke24.de/branchenbuch/335676" TargetMode="External"/><Relationship Id="rId50" Type="http://schemas.openxmlformats.org/officeDocument/2006/relationships/hyperlink" Target="https://www.architonic.com/en/microsite/smv-sitz-objektmobel/3105228" TargetMode="External"/><Relationship Id="rId104" Type="http://schemas.openxmlformats.org/officeDocument/2006/relationships/hyperlink" Target="http://www.bueser-buerotechnik.de/bueromoebel.html" TargetMode="External"/><Relationship Id="rId146" Type="http://schemas.openxmlformats.org/officeDocument/2006/relationships/hyperlink" Target="http://www.droege-einrichtungen.de/das-unternehmen/partner.html" TargetMode="External"/><Relationship Id="rId188" Type="http://schemas.openxmlformats.org/officeDocument/2006/relationships/hyperlink" Target="http://office-roxx.de/top-adressen-fuer-die-bueroausstattung/" TargetMode="External"/><Relationship Id="rId311" Type="http://schemas.openxmlformats.org/officeDocument/2006/relationships/hyperlink" Target="https://www.loeffler-creativeinrichtungen.de/unternehmen/partner" TargetMode="External"/><Relationship Id="rId353" Type="http://schemas.openxmlformats.org/officeDocument/2006/relationships/hyperlink" Target="https://witte-dresden.de/de/bueromoebel/partner.html" TargetMode="External"/><Relationship Id="rId395" Type="http://schemas.openxmlformats.org/officeDocument/2006/relationships/hyperlink" Target="http://steppe-b&#252;ro.com/index.php/partner" TargetMode="External"/><Relationship Id="rId409" Type="http://schemas.openxmlformats.org/officeDocument/2006/relationships/hyperlink" Target="https://www.wermke-buero.de/leistungen.html" TargetMode="External"/><Relationship Id="rId560" Type="http://schemas.openxmlformats.org/officeDocument/2006/relationships/hyperlink" Target="https://wohnungdesignideas.blogspot.com/2020/03/sessel-mit-hoher-lehne.html" TargetMode="External"/><Relationship Id="rId92" Type="http://schemas.openxmlformats.org/officeDocument/2006/relationships/hyperlink" Target="http://www.bueroinnovativ.de/" TargetMode="External"/><Relationship Id="rId213" Type="http://schemas.openxmlformats.org/officeDocument/2006/relationships/hyperlink" Target="https://www.german-design-award.com/en/the-winners/gallery/detail/5390-fourtytwo.html" TargetMode="External"/><Relationship Id="rId420" Type="http://schemas.openxmlformats.org/officeDocument/2006/relationships/hyperlink" Target="http://www.unitel-buerosysteme.de/index.php/bueromoebel/partner-produkte/160-smv-partner-fuer-besonderes" TargetMode="External"/><Relationship Id="rId616" Type="http://schemas.openxmlformats.org/officeDocument/2006/relationships/hyperlink" Target="http://www.biocassavaplus.org/akustik-sessel-buro/" TargetMode="External"/><Relationship Id="rId658" Type="http://schemas.openxmlformats.org/officeDocument/2006/relationships/hyperlink" Target="https://lohne-nw.deutscheshoponline.com/smv-sitz-objektmobel-gmbh/" TargetMode="External"/><Relationship Id="rId255" Type="http://schemas.openxmlformats.org/officeDocument/2006/relationships/hyperlink" Target="http://www.hrm-expo.com/de/zp17/agenda/highlights-events/arbeitsweltenhr-design-by-hcd/" TargetMode="External"/><Relationship Id="rId297" Type="http://schemas.openxmlformats.org/officeDocument/2006/relationships/hyperlink" Target="http://www.kontek-buero.de/de/106575-Marken" TargetMode="External"/><Relationship Id="rId462" Type="http://schemas.openxmlformats.org/officeDocument/2006/relationships/hyperlink" Target="http://www.smvgmbh.de/" TargetMode="External"/><Relationship Id="rId518" Type="http://schemas.openxmlformats.org/officeDocument/2006/relationships/hyperlink" Target="http://www.office-elements.nl/de/merken/" TargetMode="External"/><Relationship Id="rId725" Type="http://schemas.openxmlformats.org/officeDocument/2006/relationships/hyperlink" Target="https://biboxs.com/?p=indego+++b%C3%BCro+f%C3%BCr+visuelle+strategien+++projekte" TargetMode="External"/><Relationship Id="rId115" Type="http://schemas.openxmlformats.org/officeDocument/2006/relationships/hyperlink" Target="http://www.ci-konzepte.de/" TargetMode="External"/><Relationship Id="rId157" Type="http://schemas.openxmlformats.org/officeDocument/2006/relationships/hyperlink" Target="http://www.ergonomischearbeitswelten.de/SMV.html" TargetMode="External"/><Relationship Id="rId322" Type="http://schemas.openxmlformats.org/officeDocument/2006/relationships/hyperlink" Target="http://offenbacher-wirtschaft.de/zeitlose-sitzgelegenheit/" TargetMode="External"/><Relationship Id="rId364" Type="http://schemas.openxmlformats.org/officeDocument/2006/relationships/hyperlink" Target="http://www.medienpower.de/unterstuetzen/spendersponsoren/" TargetMode="External"/><Relationship Id="rId767" Type="http://schemas.openxmlformats.org/officeDocument/2006/relationships/hyperlink" Target="https://officestar-living.de/SW10001/B-zed-Outdoor-Sitzsack-mit-Griff-orange" TargetMode="External"/><Relationship Id="rId61" Type="http://schemas.openxmlformats.org/officeDocument/2006/relationships/hyperlink" Target="http://www.bit-technik-ohg.de/produkte/moebel.htm" TargetMode="External"/><Relationship Id="rId199" Type="http://schemas.openxmlformats.org/officeDocument/2006/relationships/hyperlink" Target="http://www.industrystock.hu/html/Doh&#225;nyz&#243;asztalok/product-result-hu-76093-0.html" TargetMode="External"/><Relationship Id="rId571" Type="http://schemas.openxmlformats.org/officeDocument/2006/relationships/hyperlink" Target="http://office-dealzz.office-roxx.de/hotelfachschule-hamburg-beherbergt-coworking-space/" TargetMode="External"/><Relationship Id="rId627" Type="http://schemas.openxmlformats.org/officeDocument/2006/relationships/hyperlink" Target="http://www.designyouroffice.de/de/smv-hitch-stehtisch-hochtisch" TargetMode="External"/><Relationship Id="rId669" Type="http://schemas.openxmlformats.org/officeDocument/2006/relationships/hyperlink" Target="https://www.pluradent.de/de/produkte/praxis/fundgrube-praxis/couchtisch-royal/" TargetMode="External"/><Relationship Id="rId19" Type="http://schemas.openxmlformats.org/officeDocument/2006/relationships/hyperlink" Target="http://brand-feuer.de/?title=Schwer_entflammbare_Sitz-_und_Objektm%C3%B6bel" TargetMode="External"/><Relationship Id="rId224" Type="http://schemas.openxmlformats.org/officeDocument/2006/relationships/hyperlink" Target="https://www.gruenemay-abt.de/hersteller.php" TargetMode="External"/><Relationship Id="rId266" Type="http://schemas.openxmlformats.org/officeDocument/2006/relationships/hyperlink" Target="http://www.jadeweser-versand.de/partner.php" TargetMode="External"/><Relationship Id="rId431" Type="http://schemas.openxmlformats.org/officeDocument/2006/relationships/hyperlink" Target="http://www.top-office-vision.com/SMV.html" TargetMode="External"/><Relationship Id="rId473" Type="http://schemas.openxmlformats.org/officeDocument/2006/relationships/hyperlink" Target="http://smv-sitz-moebel.de/" TargetMode="External"/><Relationship Id="rId529" Type="http://schemas.openxmlformats.org/officeDocument/2006/relationships/hyperlink" Target="https://www.ohning.de/ohning-firmengruppe-ohning-dresden/leistungen/bueromoebelhandel" TargetMode="External"/><Relationship Id="rId680" Type="http://schemas.openxmlformats.org/officeDocument/2006/relationships/hyperlink" Target="http://smv-gmbh.ch/" TargetMode="External"/><Relationship Id="rId736" Type="http://schemas.openxmlformats.org/officeDocument/2006/relationships/hyperlink" Target="https://developmentmi.com/boom-your-business-with-the-precise-promotional-marketing-material/" TargetMode="External"/><Relationship Id="rId30" Type="http://schemas.openxmlformats.org/officeDocument/2006/relationships/hyperlink" Target="https://www.wohnen-einrichten.de/index.php/wohnen/arbeiten/224-zwei-iconic-awards-fuer-smv" TargetMode="External"/><Relationship Id="rId126" Type="http://schemas.openxmlformats.org/officeDocument/2006/relationships/hyperlink" Target="http://de.askpins.com/7303-was-macht-man-so-in-der-smv/" TargetMode="External"/><Relationship Id="rId168" Type="http://schemas.openxmlformats.org/officeDocument/2006/relationships/hyperlink" Target="http://factsverlag.de/aktuelles-dialog/aktuelles-dialog-sub/news-meldungen/item/smv-jetzt-zum-trend-workshop-anmelden/1001?tmpl=component&amp;print=1&amp;page=" TargetMode="External"/><Relationship Id="rId333" Type="http://schemas.openxmlformats.org/officeDocument/2006/relationships/hyperlink" Target="https://raumstore.de/portfolio/lounge/" TargetMode="External"/><Relationship Id="rId540" Type="http://schemas.openxmlformats.org/officeDocument/2006/relationships/hyperlink" Target="http://www.pahl-buero.de/" TargetMode="External"/><Relationship Id="rId778" Type="http://schemas.openxmlformats.org/officeDocument/2006/relationships/hyperlink" Target="https://sitiomax.net/buntes-sofa.html" TargetMode="External"/><Relationship Id="rId72" Type="http://schemas.openxmlformats.org/officeDocument/2006/relationships/hyperlink" Target="http://buender.info/cgi-bin/buende/firmlink.pl%3FJumpTo%3DComputer" TargetMode="External"/><Relationship Id="rId375" Type="http://schemas.openxmlformats.org/officeDocument/2006/relationships/hyperlink" Target="http://b&#252;ro-ergonomie.com/SMV.html" TargetMode="External"/><Relationship Id="rId582" Type="http://schemas.openxmlformats.org/officeDocument/2006/relationships/hyperlink" Target="http://www.bit-technik.de/produkte/moebel.htm" TargetMode="External"/><Relationship Id="rId638" Type="http://schemas.openxmlformats.org/officeDocument/2006/relationships/hyperlink" Target="https://www.firmenwissen.de/az/firmeneintrag/32584/4170117988/SMV_SITZ_OBJEKTMOEBEL_GMBH.html" TargetMode="External"/><Relationship Id="rId3" Type="http://schemas.openxmlformats.org/officeDocument/2006/relationships/hyperlink" Target="http://3d-product-configuration.com/en/about-us/references.html" TargetMode="External"/><Relationship Id="rId235" Type="http://schemas.openxmlformats.org/officeDocument/2006/relationships/hyperlink" Target="http://hds-bueromoebel.de/index8803.html?id=7" TargetMode="External"/><Relationship Id="rId277" Type="http://schemas.openxmlformats.org/officeDocument/2006/relationships/hyperlink" Target="https://www.jobs-neumuenster.de/999960004005368181.html" TargetMode="External"/><Relationship Id="rId400" Type="http://schemas.openxmlformats.org/officeDocument/2006/relationships/hyperlink" Target="http://www.wortwolke.de/b/bueromoebelsysteme.html" TargetMode="External"/><Relationship Id="rId442" Type="http://schemas.openxmlformats.org/officeDocument/2006/relationships/hyperlink" Target="http://sueltrop-bueromoebel.de/partnerlinks.html" TargetMode="External"/><Relationship Id="rId484" Type="http://schemas.openxmlformats.org/officeDocument/2006/relationships/hyperlink" Target="http://smv-b&#252;rost&#252;hle.de/" TargetMode="External"/><Relationship Id="rId705" Type="http://schemas.openxmlformats.org/officeDocument/2006/relationships/hyperlink" Target="https://www.arcade-xxl.de/news/25781" TargetMode="External"/><Relationship Id="rId137" Type="http://schemas.openxmlformats.org/officeDocument/2006/relationships/hyperlink" Target="http://www.deublerschulze.de/links.php" TargetMode="External"/><Relationship Id="rId302" Type="http://schemas.openxmlformats.org/officeDocument/2006/relationships/hyperlink" Target="http://www.kreativ-buero-gmbh.de/hersteller/objektmoebel/" TargetMode="External"/><Relationship Id="rId344" Type="http://schemas.openxmlformats.org/officeDocument/2006/relationships/hyperlink" Target="https://www.schoener-wohnen.de/moebel/34446-bstr-schicke-sitzbaenke/173280-img-sitzbank-4six-von-smv" TargetMode="External"/><Relationship Id="rId691" Type="http://schemas.openxmlformats.org/officeDocument/2006/relationships/hyperlink" Target="https://usedevelopments.com/weblog/sitzmoebel/" TargetMode="External"/><Relationship Id="rId747" Type="http://schemas.openxmlformats.org/officeDocument/2006/relationships/hyperlink" Target="http://www.hotelier.de/lieferanten/ausstattung-technik/exklusive-sitzmoebel-als-komfortspender-im-hotel" TargetMode="External"/><Relationship Id="rId789" Type="http://schemas.openxmlformats.org/officeDocument/2006/relationships/hyperlink" Target="https://websitedetection.com/web-site-list-6446" TargetMode="External"/><Relationship Id="rId41" Type="http://schemas.openxmlformats.org/officeDocument/2006/relationships/hyperlink" Target="http://www.am9501007fm.com/beistelltisch-couch-laptop.html" TargetMode="External"/><Relationship Id="rId83" Type="http://schemas.openxmlformats.org/officeDocument/2006/relationships/hyperlink" Target="http://www.buero2000-eckes.de/wpnew/vertragspartner/" TargetMode="External"/><Relationship Id="rId179" Type="http://schemas.openxmlformats.org/officeDocument/2006/relationships/hyperlink" Target="http://firmex.biz/SMV_Wohlsitzen_Loehne_detail_122592.html" TargetMode="External"/><Relationship Id="rId386" Type="http://schemas.openxmlformats.org/officeDocument/2006/relationships/hyperlink" Target="http://www.hs-b&#252;ro.de/0000012385___________0000000003.htm" TargetMode="External"/><Relationship Id="rId551" Type="http://schemas.openxmlformats.org/officeDocument/2006/relationships/hyperlink" Target="http://www.pro-office-buero.de/unternehmen/partner.html" TargetMode="External"/><Relationship Id="rId593" Type="http://schemas.openxmlformats.org/officeDocument/2006/relationships/hyperlink" Target="http://www.optimales-buero.de/lieferanten.html" TargetMode="External"/><Relationship Id="rId607" Type="http://schemas.openxmlformats.org/officeDocument/2006/relationships/hyperlink" Target="http://www.optimalesb&#252;ro.de/lieferanten.html" TargetMode="External"/><Relationship Id="rId649" Type="http://schemas.openxmlformats.org/officeDocument/2006/relationships/hyperlink" Target="http://www.injustice-today.com/tischgestell-edelstahl-geburstet/" TargetMode="External"/><Relationship Id="rId190" Type="http://schemas.openxmlformats.org/officeDocument/2006/relationships/hyperlink" Target="http://www.wortundidee.de/2015/02/netz-sein-der-auftakt-ist-gelungen/" TargetMode="External"/><Relationship Id="rId204" Type="http://schemas.openxmlformats.org/officeDocument/2006/relationships/hyperlink" Target="https://www.innozent-owl.de/referenzpartner/referenzpartner/" TargetMode="External"/><Relationship Id="rId246" Type="http://schemas.openxmlformats.org/officeDocument/2006/relationships/hyperlink" Target="https://www.herold-buerosysteme.de/startseite.html" TargetMode="External"/><Relationship Id="rId288" Type="http://schemas.openxmlformats.org/officeDocument/2006/relationships/hyperlink" Target="http://www.kiefel-bd.biz/de/hersteller/a-z/" TargetMode="External"/><Relationship Id="rId411" Type="http://schemas.openxmlformats.org/officeDocument/2006/relationships/hyperlink" Target="https://wema-buero.de/partner/" TargetMode="External"/><Relationship Id="rId453" Type="http://schemas.openxmlformats.org/officeDocument/2006/relationships/hyperlink" Target="http://www.steppe-ambiente.de/index.php/partner" TargetMode="External"/><Relationship Id="rId509" Type="http://schemas.openxmlformats.org/officeDocument/2006/relationships/hyperlink" Target="https://www.nette30.de/ihr/" TargetMode="External"/><Relationship Id="rId660" Type="http://schemas.openxmlformats.org/officeDocument/2006/relationships/hyperlink" Target="http://mail.leineoffice.de/partner.html" TargetMode="External"/><Relationship Id="rId106" Type="http://schemas.openxmlformats.org/officeDocument/2006/relationships/hyperlink" Target="https://www.bw-officeworld.de/partner/" TargetMode="External"/><Relationship Id="rId313" Type="http://schemas.openxmlformats.org/officeDocument/2006/relationships/hyperlink" Target="http://loehne.staedte-info.net/gewerbestr_394000.php" TargetMode="External"/><Relationship Id="rId495" Type="http://schemas.openxmlformats.org/officeDocument/2006/relationships/hyperlink" Target="http://www.schuessler.works/index.php/produkte.html" TargetMode="External"/><Relationship Id="rId716" Type="http://schemas.openxmlformats.org/officeDocument/2006/relationships/hyperlink" Target="https://repenglish.com/image/sofa-f%C3%BC%C3%9Fe-edelstahl-eckig.html" TargetMode="External"/><Relationship Id="rId758" Type="http://schemas.openxmlformats.org/officeDocument/2006/relationships/hyperlink" Target="https://malleda.netlify.app/hochbank-mit-lehne.html" TargetMode="External"/><Relationship Id="rId10" Type="http://schemas.openxmlformats.org/officeDocument/2006/relationships/hyperlink" Target="http://auf-deutschland.net/132947310071635/" TargetMode="External"/><Relationship Id="rId52" Type="http://schemas.openxmlformats.org/officeDocument/2006/relationships/hyperlink" Target="https://audecibel.com/podcast-episode/FR/Endlich-Montag-Jobsuche-Bewerbung/68864/6994674/10" TargetMode="External"/><Relationship Id="rId94" Type="http://schemas.openxmlformats.org/officeDocument/2006/relationships/hyperlink" Target="https://www.bueromoebel-hannover.de/buerostuhl-hersteller.html" TargetMode="External"/><Relationship Id="rId148" Type="http://schemas.openxmlformats.org/officeDocument/2006/relationships/hyperlink" Target="http://www.ebe-elmshorn.de/bueroeinrichtung.html" TargetMode="External"/><Relationship Id="rId355" Type="http://schemas.openxmlformats.org/officeDocument/2006/relationships/hyperlink" Target="http://m.buero-und-betrieb.com/adressen/smv__308.htm" TargetMode="External"/><Relationship Id="rId397" Type="http://schemas.openxmlformats.org/officeDocument/2006/relationships/hyperlink" Target="http://tbs-b&#252;roservice.de/unternehmen.html" TargetMode="External"/><Relationship Id="rId520" Type="http://schemas.openxmlformats.org/officeDocument/2006/relationships/hyperlink" Target="http://www.office-work.net/hersteller/" TargetMode="External"/><Relationship Id="rId562" Type="http://schemas.openxmlformats.org/officeDocument/2006/relationships/hyperlink" Target="https://greenya.de/gute-nachrichten/querdenker-mit-gruenem-herz-objektmoebelhersteller-smv-vereint-design-und-nachhaltigkeit-fuer-ein-reines-gewissen-und-optimalen-sitzkomfort" TargetMode="External"/><Relationship Id="rId618" Type="http://schemas.openxmlformats.org/officeDocument/2006/relationships/hyperlink" Target="https://britespotsanpedro.com/image/sofa-f%C3%BC%C3%9Fe-edelstahl-eckig.html" TargetMode="External"/><Relationship Id="rId215" Type="http://schemas.openxmlformats.org/officeDocument/2006/relationships/hyperlink" Target="http://www.gewerbeauskunft.com/firmenverzeichnis/Einzelhandel-3/Moebel-361/B%C3%BCnde/SMV-Sitzmoebel-Vertriebsgesellschaft-mbH-8973903.html" TargetMode="External"/><Relationship Id="rId257" Type="http://schemas.openxmlformats.org/officeDocument/2006/relationships/hyperlink" Target="https://iba.online/ueber-uns/hersteller-marken/page7?alphabetical=&amp;product_type=&amp;product_usage=" TargetMode="External"/><Relationship Id="rId422" Type="http://schemas.openxmlformats.org/officeDocument/2006/relationships/hyperlink" Target="https://tsukijis.com/seats-and-sofas-hannover-telefon.html" TargetMode="External"/><Relationship Id="rId464" Type="http://schemas.openxmlformats.org/officeDocument/2006/relationships/hyperlink" Target="http://smv-wohlsitzen.org/" TargetMode="External"/><Relationship Id="rId299" Type="http://schemas.openxmlformats.org/officeDocument/2006/relationships/hyperlink" Target="https://www.konzepta-siegen.de/marken/" TargetMode="External"/><Relationship Id="rId727" Type="http://schemas.openxmlformats.org/officeDocument/2006/relationships/hyperlink" Target="https://www.blickpunktdeutschland.de/firmen-unternehmen-in-deutschland.html/L%C3%B6hne/SMV+Sitz-+Objektm%C3%B6bel+GmbH/firmenprofil/57167" TargetMode="External"/><Relationship Id="rId63" Type="http://schemas.openxmlformats.org/officeDocument/2006/relationships/hyperlink" Target="https://bit.ly/2DMU2Qc" TargetMode="External"/><Relationship Id="rId159" Type="http://schemas.openxmlformats.org/officeDocument/2006/relationships/hyperlink" Target="https://www.eudir21.com/de/company-detail/890615-smv-sitz--und-objektmobel-gmbh" TargetMode="External"/><Relationship Id="rId366" Type="http://schemas.openxmlformats.org/officeDocument/2006/relationships/hyperlink" Target="https://www.meridianunplugged.com/ubbthreads/ubbthreads.php?ubb=showflat&amp;Number=125613" TargetMode="External"/><Relationship Id="rId573" Type="http://schemas.openxmlformats.org/officeDocument/2006/relationships/hyperlink" Target="https://www.unikatoo.com/blog/flexfive-smv-modulare-sitzlandschaft/" TargetMode="External"/><Relationship Id="rId780" Type="http://schemas.openxmlformats.org/officeDocument/2006/relationships/hyperlink" Target="http://www.steinwald-edv.de/buero-objekteinrichtungen/unsere-partner/smv-sitz-objektmoebel" TargetMode="External"/><Relationship Id="rId226" Type="http://schemas.openxmlformats.org/officeDocument/2006/relationships/hyperlink" Target="http://gute-bueromoebel.com/5.html" TargetMode="External"/><Relationship Id="rId433" Type="http://schemas.openxmlformats.org/officeDocument/2006/relationships/hyperlink" Target="http://www.tokaro.de/smv.htm" TargetMode="External"/><Relationship Id="rId640" Type="http://schemas.openxmlformats.org/officeDocument/2006/relationships/hyperlink" Target="http://www.gastroecho.de/sitzbank-4six-objektmoebel-in-hotel-und-gastgewerbe/" TargetMode="External"/><Relationship Id="rId738" Type="http://schemas.openxmlformats.org/officeDocument/2006/relationships/hyperlink" Target="https://www.experte-fuer.de/sicherheit/brandschutzmoebel-informatives-zu-normen-und-testverfahren/" TargetMode="External"/><Relationship Id="rId74" Type="http://schemas.openxmlformats.org/officeDocument/2006/relationships/hyperlink" Target="http://www.buero-forum.de/de/bso/mitglieder/limit/50/" TargetMode="External"/><Relationship Id="rId377" Type="http://schemas.openxmlformats.org/officeDocument/2006/relationships/hyperlink" Target="http://b&#252;ro-steppe.com/index.php/partner" TargetMode="External"/><Relationship Id="rId500" Type="http://schemas.openxmlformats.org/officeDocument/2006/relationships/hyperlink" Target="http://www.moebelkultur.de/news/smv-engagement-im-bereich-social-media/14667.html" TargetMode="External"/><Relationship Id="rId584" Type="http://schemas.openxmlformats.org/officeDocument/2006/relationships/hyperlink" Target="https://bublitz-einrichtungen.de/marken/smv/" TargetMode="External"/><Relationship Id="rId5" Type="http://schemas.openxmlformats.org/officeDocument/2006/relationships/hyperlink" Target="http://3doffice.de/index.php/de/hilfe-support/hover-hilfe-news/8-news-vertrieb/57-3d-office-54-sp8-jetzt-verfuegbar" TargetMode="External"/><Relationship Id="rId237" Type="http://schemas.openxmlformats.org/officeDocument/2006/relationships/hyperlink" Target="https://www.hds-b&#252;ro.de/index0d7d.html?id=119" TargetMode="External"/><Relationship Id="rId791" Type="http://schemas.openxmlformats.org/officeDocument/2006/relationships/hyperlink" Target="https://www.wissensmanagement.net/magazin/archiv/fachbeitraege/ausgabe.html?no_cache=1&amp;tx_voipaidcontent_pi1%5Btest%5D=test&amp;tx_voipaidcontent_pi1%5BshowUid%5D=7115" TargetMode="External"/><Relationship Id="rId444" Type="http://schemas.openxmlformats.org/officeDocument/2006/relationships/hyperlink" Target="http://suche.t-online.de/fast-cgi/tsc?mandant=toi&amp;context=internet-tab&amp;dia=pto&amp;ptl=std&amp;q=C.+Baene+De&amp;adpage=8&amp;www_start=70" TargetMode="External"/><Relationship Id="rId651" Type="http://schemas.openxmlformats.org/officeDocument/2006/relationships/hyperlink" Target="https://www.kaechelen.de/bueroeinrichtung-hersteller-marken/" TargetMode="External"/><Relationship Id="rId749" Type="http://schemas.openxmlformats.org/officeDocument/2006/relationships/hyperlink" Target="https://www.jobst-webhosting.de/buero-objekteinrichtungen/unsere-partner/smv-sitz-objektmoebel" TargetMode="External"/><Relationship Id="rId290" Type="http://schemas.openxmlformats.org/officeDocument/2006/relationships/hyperlink" Target="http://www.kindersessel-999.de/loungesessel-sitz/" TargetMode="External"/><Relationship Id="rId304" Type="http://schemas.openxmlformats.org/officeDocument/2006/relationships/hyperlink" Target="https://ktpexpo.org/sofa-mit-hoher-lehne.html" TargetMode="External"/><Relationship Id="rId388" Type="http://schemas.openxmlformats.org/officeDocument/2006/relationships/hyperlink" Target="http://www.neumaier-b&#252;ro.de/hersteller-39.html" TargetMode="External"/><Relationship Id="rId511" Type="http://schemas.openxmlformats.org/officeDocument/2006/relationships/hyperlink" Target="https://www.neueraeume.eu/en/product-consultancy" TargetMode="External"/><Relationship Id="rId609" Type="http://schemas.openxmlformats.org/officeDocument/2006/relationships/hyperlink" Target="https://alma.lu/de/partner/" TargetMode="External"/><Relationship Id="rId85" Type="http://schemas.openxmlformats.org/officeDocument/2006/relationships/hyperlink" Target="http://buerobedarf-kleve.de/?seite=bueroeinrichtung&amp;lang=deu&amp;item=item&amp;id1=3&amp;id2=3&amp;id3=0" TargetMode="External"/><Relationship Id="rId150" Type="http://schemas.openxmlformats.org/officeDocument/2006/relationships/hyperlink" Target="http://einkaufen-in-der-toscana.com/SMV.html" TargetMode="External"/><Relationship Id="rId595" Type="http://schemas.openxmlformats.org/officeDocument/2006/relationships/hyperlink" Target="https://www.sanctuaryvf.org/coole-lounge-sessel/" TargetMode="External"/><Relationship Id="rId248" Type="http://schemas.openxmlformats.org/officeDocument/2006/relationships/hyperlink" Target="http://www.hevis-berlin.de/info/hersteller/21/SMV%20Sitz-%20&amp;amp;%20Objektm%C3%B6bel%20GmbH.html" TargetMode="External"/><Relationship Id="rId455" Type="http://schemas.openxmlformats.org/officeDocument/2006/relationships/hyperlink" Target="https://www.stellenanzeigen-in-celle.de/999960004005368181.html" TargetMode="External"/><Relationship Id="rId662" Type="http://schemas.openxmlformats.org/officeDocument/2006/relationships/hyperlink" Target="https://melanieharrold.com/1026513365614042342/tischdesign24-brisbane-couchtisch-mit-einer-12mm-starken-klarglas.html" TargetMode="External"/><Relationship Id="rId12" Type="http://schemas.openxmlformats.org/officeDocument/2006/relationships/hyperlink" Target="http://ausstellerdaten.de/express/0271/2012/de/S.html" TargetMode="External"/><Relationship Id="rId108" Type="http://schemas.openxmlformats.org/officeDocument/2006/relationships/hyperlink" Target="http://www.c-ompany.de/Buero-2000-K.A.H.-GmbH" TargetMode="External"/><Relationship Id="rId315" Type="http://schemas.openxmlformats.org/officeDocument/2006/relationships/hyperlink" Target="https://www.lycle.net/results?l=de&amp;q=Besucherstuhl+Stapelbar" TargetMode="External"/><Relationship Id="rId522" Type="http://schemas.openxmlformats.org/officeDocument/2006/relationships/hyperlink" Target="http://officeabc.de/das-buro/top-adressen/" TargetMode="External"/><Relationship Id="rId96" Type="http://schemas.openxmlformats.org/officeDocument/2006/relationships/hyperlink" Target="https://www.bueromoebel-sachsen-manig-palme.de/sortiment-bueromoebel/" TargetMode="External"/><Relationship Id="rId161" Type="http://schemas.openxmlformats.org/officeDocument/2006/relationships/hyperlink" Target="https://www.existenzgruenderinnen.de/SharedDocs/Personen/DE/Vorbildunternehmerinnen/Inge-Bruenger-Mylius.html" TargetMode="External"/><Relationship Id="rId399" Type="http://schemas.openxmlformats.org/officeDocument/2006/relationships/hyperlink" Target="http://ww30.antitheists.co.uk/oval-glass-and-metal-coffee-table.html" TargetMode="External"/><Relationship Id="rId259" Type="http://schemas.openxmlformats.org/officeDocument/2006/relationships/hyperlink" Target="http://www.il-ca-po.de/SMV.html" TargetMode="External"/><Relationship Id="rId466" Type="http://schemas.openxmlformats.org/officeDocument/2006/relationships/hyperlink" Target="http://smv-wohlsitzen.info/" TargetMode="External"/><Relationship Id="rId673" Type="http://schemas.openxmlformats.org/officeDocument/2006/relationships/hyperlink" Target="http://www.royschulz.de/bueromoebel_blaetterkataloge/" TargetMode="External"/><Relationship Id="rId23" Type="http://schemas.openxmlformats.org/officeDocument/2006/relationships/hyperlink" Target="http://www.chairshop.de/" TargetMode="External"/><Relationship Id="rId119" Type="http://schemas.openxmlformats.org/officeDocument/2006/relationships/hyperlink" Target="https://implisense.com/en/companies/smv-sitz-objektmobel-gmbh-lohne-DEDYBPC2BI77" TargetMode="External"/><Relationship Id="rId326" Type="http://schemas.openxmlformats.org/officeDocument/2006/relationships/hyperlink" Target="https://www.schoolandcollegelistings.com/DE/L%C3%B6hne/889506684463264/Carzubi" TargetMode="External"/><Relationship Id="rId533" Type="http://schemas.openxmlformats.org/officeDocument/2006/relationships/hyperlink" Target="http://www.openpr.de/news/353998/Hausmesse-zeigt-Kuechendesign-an-Tisch-und-Tresen.html" TargetMode="External"/><Relationship Id="rId740" Type="http://schemas.openxmlformats.org/officeDocument/2006/relationships/hyperlink" Target="https://firmeneintrag.creditreform.de/32584/4170117988/SMV_SITZ_OBJEKTMOEBEL_GMBH" TargetMode="External"/><Relationship Id="rId172" Type="http://schemas.openxmlformats.org/officeDocument/2006/relationships/hyperlink" Target="https://www.feuertrutz.de/brandschutz-im-griff-relevante-normen-fuer-polstermoebel-kennen-verstehen-und-anwenden/345/7574/16382/" TargetMode="External"/><Relationship Id="rId477" Type="http://schemas.openxmlformats.org/officeDocument/2006/relationships/hyperlink" Target="http://smv-gmbh.org/" TargetMode="External"/><Relationship Id="rId600" Type="http://schemas.openxmlformats.org/officeDocument/2006/relationships/hyperlink" Target="http://www.tg-contor.de/hersteller.html" TargetMode="External"/><Relationship Id="rId684" Type="http://schemas.openxmlformats.org/officeDocument/2006/relationships/hyperlink" Target="http://www.surrey-office-furniture.co.uk/sofa-cover-with-peninsula-genius-swing-left-white.html" TargetMode="External"/><Relationship Id="rId337" Type="http://schemas.openxmlformats.org/officeDocument/2006/relationships/hyperlink" Target="https://www.robert-schoerck.de/hersteller.asp?id=3&amp;sub=10" TargetMode="External"/><Relationship Id="rId34" Type="http://schemas.openxmlformats.org/officeDocument/2006/relationships/hyperlink" Target="https://www.workandrelax.de/bueroeinrichtungen-marken/" TargetMode="External"/><Relationship Id="rId544" Type="http://schemas.openxmlformats.org/officeDocument/2006/relationships/hyperlink" Target="http://perceptualstudio.com/akustik-sofa-buro.html" TargetMode="External"/><Relationship Id="rId751" Type="http://schemas.openxmlformats.org/officeDocument/2006/relationships/hyperlink" Target="https://www.km-kuechenmeile.de/en-gb/partner" TargetMode="External"/><Relationship Id="rId183" Type="http://schemas.openxmlformats.org/officeDocument/2006/relationships/hyperlink" Target="https://www.frauenbranchenbuch-owl.de/smv-sitz-objektmoebel-gmbh-sitzen-mit-visionen-ueber-25-jahren/" TargetMode="External"/><Relationship Id="rId390" Type="http://schemas.openxmlformats.org/officeDocument/2006/relationships/hyperlink" Target="http://www.sitz-m&#246;bel-vertrieb.de/" TargetMode="External"/><Relationship Id="rId404" Type="http://schemas.openxmlformats.org/officeDocument/2006/relationships/hyperlink" Target="http://wohlsitzen.eu/" TargetMode="External"/><Relationship Id="rId611" Type="http://schemas.openxmlformats.org/officeDocument/2006/relationships/hyperlink" Target="https://www.arbeitstipps.de/gemuetliche-sitzecke-buero-einrichten-vorteile-einrichtungsideen.html" TargetMode="External"/><Relationship Id="rId250" Type="http://schemas.openxmlformats.org/officeDocument/2006/relationships/hyperlink" Target="http://www.hjw-online.de/20861.html" TargetMode="External"/><Relationship Id="rId488" Type="http://schemas.openxmlformats.org/officeDocument/2006/relationships/hyperlink" Target="http://sitz-m&#246;bel-vertrieb.de/" TargetMode="External"/><Relationship Id="rId695" Type="http://schemas.openxmlformats.org/officeDocument/2006/relationships/hyperlink" Target="http://web.office360.de/bueroeinrichtung/smv-bei-office360-in-hannover" TargetMode="External"/><Relationship Id="rId709" Type="http://schemas.openxmlformats.org/officeDocument/2006/relationships/hyperlink" Target="https://pigeonforgeweddingsvenues.com/image/sofa-f%C3%BC%C3%9Fe-edelstahl-eckig.html" TargetMode="External"/><Relationship Id="rId45" Type="http://schemas.openxmlformats.org/officeDocument/2006/relationships/hyperlink" Target="http://www.apropo-iserlohn.de/?id=33" TargetMode="External"/><Relationship Id="rId110" Type="http://schemas.openxmlformats.org/officeDocument/2006/relationships/hyperlink" Target="https://www.caseconrad.com/stoss-mobel-prospekt/" TargetMode="External"/><Relationship Id="rId348" Type="http://schemas.openxmlformats.org/officeDocument/2006/relationships/hyperlink" Target="https://www.udo-staehling.de/produkte/bueroeinrichtung/allgemein-hersteller/" TargetMode="External"/><Relationship Id="rId555" Type="http://schemas.openxmlformats.org/officeDocument/2006/relationships/hyperlink" Target="https://www.xing.com/company/smv" TargetMode="External"/><Relationship Id="rId762" Type="http://schemas.openxmlformats.org/officeDocument/2006/relationships/hyperlink" Target="https://meshokpeska.pics/" TargetMode="External"/><Relationship Id="rId194" Type="http://schemas.openxmlformats.org/officeDocument/2006/relationships/hyperlink" Target="http://www.yellowmap.de/Details/egrLZhvgbW3o0y_Rg1Ng_w==.aspx" TargetMode="External"/><Relationship Id="rId208" Type="http://schemas.openxmlformats.org/officeDocument/2006/relationships/hyperlink" Target="https://gallery.designpreis.de/gdagallery/show/Project/fourtytwo.html?referrer=app&amp;cHash=408e3479b505d8b4315e09c7c59e06ec" TargetMode="External"/><Relationship Id="rId415" Type="http://schemas.openxmlformats.org/officeDocument/2006/relationships/hyperlink" Target="http://www.weber-os.ch/ofml.html" TargetMode="External"/><Relationship Id="rId622" Type="http://schemas.openxmlformats.org/officeDocument/2006/relationships/hyperlink" Target="https://chotoka.net/kajak-sitz-hohe-lehne.html" TargetMode="External"/><Relationship Id="rId261" Type="http://schemas.openxmlformats.org/officeDocument/2006/relationships/hyperlink" Target="http://www.inside-dd.com/source/hersteller.php" TargetMode="External"/><Relationship Id="rId499" Type="http://schemas.openxmlformats.org/officeDocument/2006/relationships/hyperlink" Target="https://moebel-gollrad.de/service/leistungen" TargetMode="External"/><Relationship Id="rId56" Type="http://schemas.openxmlformats.org/officeDocument/2006/relationships/hyperlink" Target="http://www.bewegtesbuero.com/SMV.html" TargetMode="External"/><Relationship Id="rId359" Type="http://schemas.openxmlformats.org/officeDocument/2006/relationships/hyperlink" Target="https://mail.factsoffice.de/aktuelles-dialog/aktuelles-dialog-sub/news-meldungen" TargetMode="External"/><Relationship Id="rId566" Type="http://schemas.openxmlformats.org/officeDocument/2006/relationships/hyperlink" Target="https://buerokult.de/" TargetMode="External"/><Relationship Id="rId773" Type="http://schemas.openxmlformats.org/officeDocument/2006/relationships/hyperlink" Target="http://www.regionale-branchen-auskunft.de/extern_link/12971f0b00/?url=www.smv-gmbh.de" TargetMode="External"/><Relationship Id="rId121" Type="http://schemas.openxmlformats.org/officeDocument/2006/relationships/hyperlink" Target="https://configedit.wordpress.com/2014/09/01/five-funf-links-urls-url-is-male/" TargetMode="External"/><Relationship Id="rId219" Type="http://schemas.openxmlformats.org/officeDocument/2006/relationships/hyperlink" Target="https://www.glequip.com/DE/Dresden/1888263078159950/Kontek-Objekteinrichtungs-GmbH" TargetMode="External"/><Relationship Id="rId426" Type="http://schemas.openxmlformats.org/officeDocument/2006/relationships/hyperlink" Target="http://www.trendkraft.de/user/smvwohlsitzen/" TargetMode="External"/><Relationship Id="rId633" Type="http://schemas.openxmlformats.org/officeDocument/2006/relationships/hyperlink" Target="https://engine.presearch.org/search?q=Manhattan&amp;page=4" TargetMode="External"/><Relationship Id="rId67" Type="http://schemas.openxmlformats.org/officeDocument/2006/relationships/hyperlink" Target="https://www.brdesign.de/partner/" TargetMode="External"/><Relationship Id="rId272" Type="http://schemas.openxmlformats.org/officeDocument/2006/relationships/hyperlink" Target="http://www.jobkicks.de/stellenangebote/l&#246;hne/ausbildung" TargetMode="External"/><Relationship Id="rId577" Type="http://schemas.openxmlformats.org/officeDocument/2006/relationships/hyperlink" Target="https://abe-inneneinrichtungen.de/marken/" TargetMode="External"/><Relationship Id="rId700" Type="http://schemas.openxmlformats.org/officeDocument/2006/relationships/hyperlink" Target="https://wohnkultur.netlify.app/hochbank-mit-lehne.html" TargetMode="External"/><Relationship Id="rId132" Type="http://schemas.openxmlformats.org/officeDocument/2006/relationships/hyperlink" Target="http://www.delfs-buerosys.de/" TargetMode="External"/><Relationship Id="rId784" Type="http://schemas.openxmlformats.org/officeDocument/2006/relationships/hyperlink" Target="https://toptohigh.com/reach-your-network-marketing-potential-5-ways-to-generate-100s-of-marketing-leads-817/" TargetMode="External"/><Relationship Id="rId437" Type="http://schemas.openxmlformats.org/officeDocument/2006/relationships/hyperlink" Target="https://www.teamotion.de/referenzen.html" TargetMode="External"/><Relationship Id="rId644" Type="http://schemas.openxmlformats.org/officeDocument/2006/relationships/hyperlink" Target="https://www.hausbau.net/hausbau/ausbau/2/94/588/560/raumakustik-im-eigenheim-5-tipps.html" TargetMode="External"/><Relationship Id="rId283" Type="http://schemas.openxmlformats.org/officeDocument/2006/relationships/hyperlink" Target="https://www.kanzlei-weberstrasse.de/aktuelles-dialog/aktuelles-dialog-sub/news-meldungen" TargetMode="External"/><Relationship Id="rId490" Type="http://schemas.openxmlformats.org/officeDocument/2006/relationships/hyperlink" Target="https://site-stats.org/smv.de/" TargetMode="External"/><Relationship Id="rId504" Type="http://schemas.openxmlformats.org/officeDocument/2006/relationships/hyperlink" Target="http://www.muehlmann-online.com/index.php/hersteller" TargetMode="External"/><Relationship Id="rId711" Type="http://schemas.openxmlformats.org/officeDocument/2006/relationships/hyperlink" Target="https://www.lonestarknifeexpo.com/image/sofa-f%C3%BC%C3%9Fe-edelstahl-eckig.html" TargetMode="External"/><Relationship Id="rId78" Type="http://schemas.openxmlformats.org/officeDocument/2006/relationships/hyperlink" Target="https://www.buero-objektmoebel.de/index8803.html?id=7" TargetMode="External"/><Relationship Id="rId143" Type="http://schemas.openxmlformats.org/officeDocument/2006/relationships/hyperlink" Target="http://www.domig.cc/partner.php" TargetMode="External"/><Relationship Id="rId350" Type="http://schemas.openxmlformats.org/officeDocument/2006/relationships/hyperlink" Target="http://www.uni-muenster.de/ZBMed/aktuelles/4731" TargetMode="External"/><Relationship Id="rId588" Type="http://schemas.openxmlformats.org/officeDocument/2006/relationships/hyperlink" Target="http://www.flanjak.de/lieferanten.html" TargetMode="External"/><Relationship Id="rId795" Type="http://schemas.openxmlformats.org/officeDocument/2006/relationships/hyperlink" Target="https://yably.de/bewertungen/loehne/smv-sitz-objektmoebel-gmbh-gewerbestrasse-18" TargetMode="External"/><Relationship Id="rId9" Type="http://schemas.openxmlformats.org/officeDocument/2006/relationships/hyperlink" Target="http://aquamagica.de/veranstaltungen/poetischequellen/" TargetMode="External"/><Relationship Id="rId210" Type="http://schemas.openxmlformats.org/officeDocument/2006/relationships/hyperlink" Target="http://gbo-hp.wixsite.com/gbo2017/inhalt-kreativitaet" TargetMode="External"/><Relationship Id="rId448" Type="http://schemas.openxmlformats.org/officeDocument/2006/relationships/hyperlink" Target="http://stuhl.fanbloomingtastic.com/sitzhohe-sofa/" TargetMode="External"/><Relationship Id="rId655" Type="http://schemas.openxmlformats.org/officeDocument/2006/relationships/hyperlink" Target="https://www.landewednackhouse.com/akustik-sessel-buro/" TargetMode="External"/><Relationship Id="rId294" Type="http://schemas.openxmlformats.org/officeDocument/2006/relationships/hyperlink" Target="http://kohlsmann.de/bueromoebel/" TargetMode="External"/><Relationship Id="rId308" Type="http://schemas.openxmlformats.org/officeDocument/2006/relationships/hyperlink" Target="http://www.lavorenz.de/bueromoebel" TargetMode="External"/><Relationship Id="rId515" Type="http://schemas.openxmlformats.org/officeDocument/2006/relationships/hyperlink" Target="http://www.odp-office-furniture.com/" TargetMode="External"/><Relationship Id="rId722" Type="http://schemas.openxmlformats.org/officeDocument/2006/relationships/hyperlink" Target="https://www.sundw.de/de/profil/partner/" TargetMode="External"/><Relationship Id="rId89" Type="http://schemas.openxmlformats.org/officeDocument/2006/relationships/hyperlink" Target="https://www.bueroeinrichtung-hamburg.de/category/marken/" TargetMode="External"/><Relationship Id="rId154" Type="http://schemas.openxmlformats.org/officeDocument/2006/relationships/hyperlink" Target="https://en.seokicks.de/backlinks/www.makeyourhome.de" TargetMode="External"/><Relationship Id="rId361" Type="http://schemas.openxmlformats.org/officeDocument/2006/relationships/hyperlink" Target="http://www.mb-mw.de/smv.html" TargetMode="External"/><Relationship Id="rId599" Type="http://schemas.openxmlformats.org/officeDocument/2006/relationships/hyperlink" Target="https://www.sundermann-buerokonzepte.de/" TargetMode="External"/><Relationship Id="rId459" Type="http://schemas.openxmlformats.org/officeDocument/2006/relationships/hyperlink" Target="https://srbconsulting.de/hersteller/" TargetMode="External"/><Relationship Id="rId666" Type="http://schemas.openxmlformats.org/officeDocument/2006/relationships/hyperlink" Target="http://www.orgatec.com/exhibitors-and-products/exhibitor-index/exhibitor-index-16.php?fw_goto=aussteller/details&amp;amp;&amp;amp;kid=0040107308" TargetMode="External"/><Relationship Id="rId16" Type="http://schemas.openxmlformats.org/officeDocument/2006/relationships/hyperlink" Target="http://bewegtes-buero.com/SMV.html" TargetMode="External"/><Relationship Id="rId221" Type="http://schemas.openxmlformats.org/officeDocument/2006/relationships/hyperlink" Target="https://greabauer.de/impressum/" TargetMode="External"/><Relationship Id="rId319" Type="http://schemas.openxmlformats.org/officeDocument/2006/relationships/hyperlink" Target="http://www.nzp.ch/de/kommunikations-trainings/referenzen/details/?itemid=838" TargetMode="External"/><Relationship Id="rId526" Type="http://schemas.openxmlformats.org/officeDocument/2006/relationships/hyperlink" Target="https://officerepublic.news/en/manufacturer-overview/smv-sitzmobel/" TargetMode="External"/><Relationship Id="rId733" Type="http://schemas.openxmlformats.org/officeDocument/2006/relationships/hyperlink" Target="https://daisymckenzie.blogspot.com/2020/03/sessel-mit-hoher-lehne.html" TargetMode="External"/><Relationship Id="rId165" Type="http://schemas.openxmlformats.org/officeDocument/2006/relationships/hyperlink" Target="http://www.facts-verlag.de/aktuelles-dialog/aktuelles-dialog-sub/aktuelle-ausgabe/item/test-smv-blogger-10-2019/1183?tmpl=component&amp;print=1&amp;page=" TargetMode="External"/><Relationship Id="rId372" Type="http://schemas.openxmlformats.org/officeDocument/2006/relationships/hyperlink" Target="http://www.bewegtesb&#252;ro.de/SMV.html" TargetMode="External"/><Relationship Id="rId677" Type="http://schemas.openxmlformats.org/officeDocument/2006/relationships/hyperlink" Target="https://seositecheckup.com/seo-audit/smv-gmbh.de" TargetMode="External"/><Relationship Id="rId232" Type="http://schemas.openxmlformats.org/officeDocument/2006/relationships/hyperlink" Target="http://www.hanger18chicago.com/buro-gemutlich-machen.html" TargetMode="External"/><Relationship Id="rId27" Type="http://schemas.openxmlformats.org/officeDocument/2006/relationships/hyperlink" Target="https://www.wipperbuerodesign.de/marken.html" TargetMode="External"/><Relationship Id="rId537" Type="http://schemas.openxmlformats.org/officeDocument/2006/relationships/hyperlink" Target="http://www.ostwestfalen-lippe.de/staedte-und-kreise/kreis-herford/smv-sitz-a-objektmoebel-gmbh.html" TargetMode="External"/><Relationship Id="rId744" Type="http://schemas.openxmlformats.org/officeDocument/2006/relationships/hyperlink" Target="http://www.grasenhiller.info/buero-objekteinrichtungen/unsere-partner/smv-sitz-objektmoebel" TargetMode="External"/><Relationship Id="rId80" Type="http://schemas.openxmlformats.org/officeDocument/2006/relationships/hyperlink" Target="https://www.buero-stiegler.de/" TargetMode="External"/><Relationship Id="rId176" Type="http://schemas.openxmlformats.org/officeDocument/2006/relationships/hyperlink" Target="http://firmenregister.de/register.php?cmd=mysearch&amp;fr=Ojo6Ojo6Ojo6OjMyMjU3Ojo6Ojo6Ojo6Ojo6Ojo=&amp;auswahl=alle&amp;ap=26" TargetMode="External"/><Relationship Id="rId383" Type="http://schemas.openxmlformats.org/officeDocument/2006/relationships/hyperlink" Target="http://www.drehst&#252;hl.de/" TargetMode="External"/><Relationship Id="rId590" Type="http://schemas.openxmlformats.org/officeDocument/2006/relationships/hyperlink" Target="http://www.inqa-audit.de/praxis/teilnehmerarchiv/smv-sitz-objektmoebel-gmbh-mit-einstiegsurkunde-des-audits-zukunftsfaehige-unternehmenskultur-ausgezeichnet" TargetMode="External"/><Relationship Id="rId604" Type="http://schemas.openxmlformats.org/officeDocument/2006/relationships/hyperlink" Target="https://www.wlw.ch/de/firma/smv-sitz-und-objektmoebel-gmbh-577456" TargetMode="External"/><Relationship Id="rId243" Type="http://schemas.openxmlformats.org/officeDocument/2006/relationships/hyperlink" Target="http://www.herchenhahn.com/" TargetMode="External"/><Relationship Id="rId450" Type="http://schemas.openxmlformats.org/officeDocument/2006/relationships/hyperlink" Target="https://www.stratford-models.co.uk/images/images/jiaju53.php?/de/product/smv-sitz-objektmoebel-peep/1561939" TargetMode="External"/><Relationship Id="rId688" Type="http://schemas.openxmlformats.org/officeDocument/2006/relationships/hyperlink" Target="https://tina-kalas880.web.app/barhocker-bank.html" TargetMode="External"/><Relationship Id="rId38" Type="http://schemas.openxmlformats.org/officeDocument/2006/relationships/hyperlink" Target="https://www.agentur78.de/" TargetMode="External"/><Relationship Id="rId103" Type="http://schemas.openxmlformats.org/officeDocument/2006/relationships/hyperlink" Target="http://www.bueroversandhamburg.de/index.php/objektmoebel" TargetMode="External"/><Relationship Id="rId310" Type="http://schemas.openxmlformats.org/officeDocument/2006/relationships/hyperlink" Target="https://www.leineoffice.de/partner.html" TargetMode="External"/><Relationship Id="rId548" Type="http://schemas.openxmlformats.org/officeDocument/2006/relationships/hyperlink" Target="http://www.pimpmychair.de/SMV.html" TargetMode="External"/><Relationship Id="rId755" Type="http://schemas.openxmlformats.org/officeDocument/2006/relationships/hyperlink" Target="http://lrbuero.de/buero-objekteinrichtungen/unsere-partner/smv-sitz-objektmoebel" TargetMode="External"/><Relationship Id="rId91" Type="http://schemas.openxmlformats.org/officeDocument/2006/relationships/hyperlink" Target="https://www.buerohaus-feuerstein.de/partner/" TargetMode="External"/><Relationship Id="rId187" Type="http://schemas.openxmlformats.org/officeDocument/2006/relationships/hyperlink" Target="https://www.kompass-nachhaltigkeit.de/kommunaler-kompass/hamburg/holz-holzprodukte/stuehle/?L=0" TargetMode="External"/><Relationship Id="rId394" Type="http://schemas.openxmlformats.org/officeDocument/2006/relationships/hyperlink" Target="http://www.smv-sitzm&#246;bel.de/" TargetMode="External"/><Relationship Id="rId408" Type="http://schemas.openxmlformats.org/officeDocument/2006/relationships/hyperlink" Target="https://wfg-hf.de/Startseite" TargetMode="External"/><Relationship Id="rId615" Type="http://schemas.openxmlformats.org/officeDocument/2006/relationships/hyperlink" Target="http://bewegtesbuero.de/SMV.html" TargetMode="External"/><Relationship Id="rId254" Type="http://schemas.openxmlformats.org/officeDocument/2006/relationships/hyperlink" Target="http://hompage-wert.de/smv-gmbh.de.html" TargetMode="External"/><Relationship Id="rId699" Type="http://schemas.openxmlformats.org/officeDocument/2006/relationships/hyperlink" Target="https://wohndesign.ultradelarue.com/hochbank-mit-lehne.html" TargetMode="External"/><Relationship Id="rId49" Type="http://schemas.openxmlformats.org/officeDocument/2006/relationships/hyperlink" Target="https://architizer.com/brands/smv-sitz-objektmoebel/" TargetMode="External"/><Relationship Id="rId114" Type="http://schemas.openxmlformats.org/officeDocument/2006/relationships/hyperlink" Target="http://cf.jiraygroup.com/hitch-coffee-table/" TargetMode="External"/><Relationship Id="rId461" Type="http://schemas.openxmlformats.org/officeDocument/2006/relationships/hyperlink" Target="http://sobotta-objekt.de/partnerunternehmen/" TargetMode="External"/><Relationship Id="rId559" Type="http://schemas.openxmlformats.org/officeDocument/2006/relationships/hyperlink" Target="https://iba-forum.expo-ip.com/stand/smv" TargetMode="External"/><Relationship Id="rId766" Type="http://schemas.openxmlformats.org/officeDocument/2006/relationships/hyperlink" Target="https://office-tops.office-roxx.de/rokker-von-smv/" TargetMode="External"/><Relationship Id="rId198" Type="http://schemas.openxmlformats.org/officeDocument/2006/relationships/hyperlink" Target="http://www.industrystock.de/html/Barhocker/product-result-de-113883-0.html" TargetMode="External"/><Relationship Id="rId321" Type="http://schemas.openxmlformats.org/officeDocument/2006/relationships/hyperlink" Target="https://www.objektbuero.de/index.html" TargetMode="External"/><Relationship Id="rId419" Type="http://schemas.openxmlformats.org/officeDocument/2006/relationships/hyperlink" Target="http://updowntoday.com/en/sites/smv-gmbh.de" TargetMode="External"/><Relationship Id="rId626" Type="http://schemas.openxmlformats.org/officeDocument/2006/relationships/hyperlink" Target="https://www.derenet.de/bueroeinrichtungen/bueromoebel" TargetMode="External"/><Relationship Id="rId265" Type="http://schemas.openxmlformats.org/officeDocument/2006/relationships/hyperlink" Target="http://www.jabe-dresden.de/Produkte.7.0.html" TargetMode="External"/><Relationship Id="rId472" Type="http://schemas.openxmlformats.org/officeDocument/2006/relationships/hyperlink" Target="http://www.smv-sitzm&#246;bel.de/" TargetMode="External"/><Relationship Id="rId125" Type="http://schemas.openxmlformats.org/officeDocument/2006/relationships/hyperlink" Target="http://www.cylex-branchenbuch-braunschweig.de/firma-home-braunschweig/smv-gmbh-12393814.html" TargetMode="External"/><Relationship Id="rId332" Type="http://schemas.openxmlformats.org/officeDocument/2006/relationships/hyperlink" Target="http://www.raum-anzug.de/wordpress/index.php/hersteller/" TargetMode="External"/><Relationship Id="rId777" Type="http://schemas.openxmlformats.org/officeDocument/2006/relationships/hyperlink" Target="https://www.schwadke-outlet.de/alle-artikel/592/smv-manhattan-2-sitzer-highback" TargetMode="External"/><Relationship Id="rId637" Type="http://schemas.openxmlformats.org/officeDocument/2006/relationships/hyperlink" Target="https://finde-offen.de/loehne/smv-sitz-objektm&#246;bel-gmbh-1385319" TargetMode="External"/><Relationship Id="rId276" Type="http://schemas.openxmlformats.org/officeDocument/2006/relationships/hyperlink" Target="https://www.jobs-in-wilhelmshaven.de/999960004005368181.html" TargetMode="External"/><Relationship Id="rId483" Type="http://schemas.openxmlformats.org/officeDocument/2006/relationships/hyperlink" Target="http://smv-drehst&#252;hle.de/" TargetMode="External"/><Relationship Id="rId690" Type="http://schemas.openxmlformats.org/officeDocument/2006/relationships/hyperlink" Target="https://tuwendy.blogspot.com/2020/02/italian-plastic-outdoor-chairs.html" TargetMode="External"/><Relationship Id="rId704" Type="http://schemas.openxmlformats.org/officeDocument/2006/relationships/hyperlink" Target="http://www.yellowphone.de/company/entry/164203" TargetMode="External"/><Relationship Id="rId40" Type="http://schemas.openxmlformats.org/officeDocument/2006/relationships/hyperlink" Target="https://www.akustikschmiede.org/index.php/partner-and-kataloge/" TargetMode="External"/><Relationship Id="rId136" Type="http://schemas.openxmlformats.org/officeDocument/2006/relationships/hyperlink" Target="http://www.detail.de/artikel/multifunktional-10389/" TargetMode="External"/><Relationship Id="rId343" Type="http://schemas.openxmlformats.org/officeDocument/2006/relationships/hyperlink" Target="http://www.schoener-wohnen.de/tipps-trends/tipp-des-tages/39669-rtkl-kurz-oder-lang-modulare-sitzbank-4six-von-smv" TargetMode="External"/><Relationship Id="rId550" Type="http://schemas.openxmlformats.org/officeDocument/2006/relationships/hyperlink" Target="http://www.prisma.ag/lieferanten/lieferanten-finden/?optPLZ=&amp;amp;optSuchbegriff=&amp;amp;optSeite=97" TargetMode="External"/><Relationship Id="rId788" Type="http://schemas.openxmlformats.org/officeDocument/2006/relationships/hyperlink" Target="https://webranksite.com/small-business-marketing-online-things-to-know/" TargetMode="External"/><Relationship Id="rId203" Type="http://schemas.openxmlformats.org/officeDocument/2006/relationships/hyperlink" Target="https://innozent-owl.de/aktuelles/16112016-social-media-loehne/" TargetMode="External"/><Relationship Id="rId648" Type="http://schemas.openxmlformats.org/officeDocument/2006/relationships/hyperlink" Target="https://inhghs.com/weblog/sitzmoebel/" TargetMode="External"/><Relationship Id="rId287" Type="http://schemas.openxmlformats.org/officeDocument/2006/relationships/hyperlink" Target="https://www.kempf-bueroeinrichtungen.de/hersteller/" TargetMode="External"/><Relationship Id="rId410" Type="http://schemas.openxmlformats.org/officeDocument/2006/relationships/hyperlink" Target="https://wema-raumkonzepte.de/partner-lieferanten/" TargetMode="External"/><Relationship Id="rId494" Type="http://schemas.openxmlformats.org/officeDocument/2006/relationships/hyperlink" Target="https://seekty.com/lohne/local-business/smv-sitz-objektmobel-gmbh/" TargetMode="External"/><Relationship Id="rId508" Type="http://schemas.openxmlformats.org/officeDocument/2006/relationships/hyperlink" Target="https://nattermann-buero.de/" TargetMode="External"/><Relationship Id="rId715" Type="http://schemas.openxmlformats.org/officeDocument/2006/relationships/hyperlink" Target="https://projektlublin.com/image/sofa-f%C3%BC%C3%9Fe-edelstahl-eckig.html" TargetMode="External"/><Relationship Id="rId147" Type="http://schemas.openxmlformats.org/officeDocument/2006/relationships/hyperlink" Target="http://www.easterngraphics.com/pcon/ru/pcon-update-ofml/" TargetMode="External"/><Relationship Id="rId354" Type="http://schemas.openxmlformats.org/officeDocument/2006/relationships/hyperlink" Target="https://www.m-z.de/partner" TargetMode="External"/><Relationship Id="rId51" Type="http://schemas.openxmlformats.org/officeDocument/2006/relationships/hyperlink" Target="https://assurepackers.com/tiptoe-design/30460/" TargetMode="External"/><Relationship Id="rId561" Type="http://schemas.openxmlformats.org/officeDocument/2006/relationships/hyperlink" Target="http://greenya.de/eintrag/218689-lhne-bueromoebel-smv-sitz-objektmbel-gmbh" TargetMode="External"/><Relationship Id="rId659" Type="http://schemas.openxmlformats.org/officeDocument/2006/relationships/hyperlink" Target="https://www.lokalwissen.de/smv-sitz--und-objektm%C3%B6bel-gmbh-l%C3%B6hne-29745.html" TargetMode="External"/><Relationship Id="rId214" Type="http://schemas.openxmlformats.org/officeDocument/2006/relationships/hyperlink" Target="https://www.getcompanyinfo.com/company/smv-wohlsitzen/" TargetMode="External"/><Relationship Id="rId298" Type="http://schemas.openxmlformats.org/officeDocument/2006/relationships/hyperlink" Target="http://www.kontor-einrichtungen.de/kollektionen/kollektion_smv.html" TargetMode="External"/><Relationship Id="rId421" Type="http://schemas.openxmlformats.org/officeDocument/2006/relationships/hyperlink" Target="http://www.ttg-gmbh.de/?id=65" TargetMode="External"/><Relationship Id="rId519" Type="http://schemas.openxmlformats.org/officeDocument/2006/relationships/hyperlink" Target="http://www.office-village.de/" TargetMode="External"/><Relationship Id="rId158" Type="http://schemas.openxmlformats.org/officeDocument/2006/relationships/hyperlink" Target="http://www.ergowebshop.eu/Ergonomische-Sitzmoebel/Hersteller-ergonomischer-Sitzmoebel" TargetMode="External"/><Relationship Id="rId726" Type="http://schemas.openxmlformats.org/officeDocument/2006/relationships/hyperlink" Target="https://blendel-gmbh.de/hersteller/" TargetMode="External"/><Relationship Id="rId62" Type="http://schemas.openxmlformats.org/officeDocument/2006/relationships/hyperlink" Target="http://www.bit-technik.com/produkte/moebel.htm" TargetMode="External"/><Relationship Id="rId365" Type="http://schemas.openxmlformats.org/officeDocument/2006/relationships/hyperlink" Target="http://menschundbuero.de/hersteller" TargetMode="External"/><Relationship Id="rId572" Type="http://schemas.openxmlformats.org/officeDocument/2006/relationships/hyperlink" Target="https://quadro-office.de/partner/" TargetMode="External"/><Relationship Id="rId225" Type="http://schemas.openxmlformats.org/officeDocument/2006/relationships/hyperlink" Target="https://www.gutabe.de/gute-arbeitgeber/smv-sitz-objektmoebel-gmbh-loehne/" TargetMode="External"/><Relationship Id="rId432" Type="http://schemas.openxmlformats.org/officeDocument/2006/relationships/hyperlink" Target="http://www.top-office-vertrieb.de/SMV.html" TargetMode="External"/><Relationship Id="rId737" Type="http://schemas.openxmlformats.org/officeDocument/2006/relationships/hyperlink" Target="https://www.doescher.de/" TargetMode="External"/><Relationship Id="rId73" Type="http://schemas.openxmlformats.org/officeDocument/2006/relationships/hyperlink" Target="http://www.buero-boerse.com/Leistungen/Ausstattung.html" TargetMode="External"/><Relationship Id="rId169" Type="http://schemas.openxmlformats.org/officeDocument/2006/relationships/hyperlink" Target="http://www.faktwerk.de/allgemein/schrittzaehler-wettbewerb-owl-2015/" TargetMode="External"/><Relationship Id="rId376" Type="http://schemas.openxmlformats.org/officeDocument/2006/relationships/hyperlink" Target="http://www.b&#252;ro-ergonomie.de/SMV.html" TargetMode="External"/><Relationship Id="rId583" Type="http://schemas.openxmlformats.org/officeDocument/2006/relationships/hyperlink" Target="http://bridgeportbenedumfestival.com/barhocker-sedeo.html" TargetMode="External"/><Relationship Id="rId790" Type="http://schemas.openxmlformats.org/officeDocument/2006/relationships/hyperlink" Target="https://www.wishkarma.com/brand/smv/1" TargetMode="External"/><Relationship Id="rId4" Type="http://schemas.openxmlformats.org/officeDocument/2006/relationships/hyperlink" Target="http://3d-team.de/partner.php" TargetMode="External"/><Relationship Id="rId236" Type="http://schemas.openxmlformats.org/officeDocument/2006/relationships/hyperlink" Target="https://www.hds-design.de/index8803.html?id=7" TargetMode="External"/><Relationship Id="rId443" Type="http://schemas.openxmlformats.org/officeDocument/2006/relationships/hyperlink" Target="http://www.suchnase.de/Handel/Mode/Jeans/more2.html" TargetMode="External"/><Relationship Id="rId650" Type="http://schemas.openxmlformats.org/officeDocument/2006/relationships/hyperlink" Target="https://www.judgejimjordan.com/3-sitzer-lounge-sofa/" TargetMode="External"/><Relationship Id="rId303" Type="http://schemas.openxmlformats.org/officeDocument/2006/relationships/hyperlink" Target="http://www.kruegereinrichtungen.de/de/102078-Kollektionen" TargetMode="External"/><Relationship Id="rId748" Type="http://schemas.openxmlformats.org/officeDocument/2006/relationships/hyperlink" Target="https://www.jobst-webdesign.de/buero-objekteinrichtungen/unsere-partner/smv-sitz-objektmoebel" TargetMode="External"/><Relationship Id="rId84" Type="http://schemas.openxmlformats.org/officeDocument/2006/relationships/hyperlink" Target="https://buerobedarf-brueggemann.de/brueggemann-objekteinrichtungen.htm" TargetMode="External"/><Relationship Id="rId387" Type="http://schemas.openxmlformats.org/officeDocument/2006/relationships/hyperlink" Target="http://www.kundenverbl&#252;ffung.de/de/kommunikations-trainings/referenzen/details/?itemid=838" TargetMode="External"/><Relationship Id="rId510" Type="http://schemas.openxmlformats.org/officeDocument/2006/relationships/hyperlink" Target="https://neuebuerowelten.de/produkt-liste/" TargetMode="External"/><Relationship Id="rId594" Type="http://schemas.openxmlformats.org/officeDocument/2006/relationships/hyperlink" Target="http://www.optimalesbuero.de/lieferanten.html" TargetMode="External"/><Relationship Id="rId608" Type="http://schemas.openxmlformats.org/officeDocument/2006/relationships/hyperlink" Target="http://www.aktiv-sit.eu/SMV.html" TargetMode="External"/><Relationship Id="rId247" Type="http://schemas.openxmlformats.org/officeDocument/2006/relationships/hyperlink" Target="https://www.herzer-design.info/" TargetMode="External"/><Relationship Id="rId107" Type="http://schemas.openxmlformats.org/officeDocument/2006/relationships/hyperlink" Target="https://www.bz-dw.de/buero-_und_objektaustattung.php" TargetMode="External"/><Relationship Id="rId454" Type="http://schemas.openxmlformats.org/officeDocument/2006/relationships/hyperlink" Target="http://steppe-ambiente.com/index.php/partner" TargetMode="External"/><Relationship Id="rId661" Type="http://schemas.openxmlformats.org/officeDocument/2006/relationships/hyperlink" Target="https://mail.webinhalt.de/Webverzeichnis/Branchen_und_Gewerbe/I/Innenausbau/Ladenbau/" TargetMode="External"/><Relationship Id="rId759" Type="http://schemas.openxmlformats.org/officeDocument/2006/relationships/hyperlink" Target="https://www.mare-tischlerei.de/" TargetMode="External"/><Relationship Id="rId11" Type="http://schemas.openxmlformats.org/officeDocument/2006/relationships/hyperlink" Target="http://augenhoehe-wege.de/unterstuetzer/unternehmen/" TargetMode="External"/><Relationship Id="rId314" Type="http://schemas.openxmlformats.org/officeDocument/2006/relationships/hyperlink" Target="https://www.luxor-badezimmer.de/loungem%C3%B6bel-mit-stauraum.html" TargetMode="External"/><Relationship Id="rId398" Type="http://schemas.openxmlformats.org/officeDocument/2006/relationships/hyperlink" Target="http://www.xing.com/events/brandschutz-griff-relevante-normen-polstermobel-kennen-verstehen-anwenden-1329992" TargetMode="External"/><Relationship Id="rId521" Type="http://schemas.openxmlformats.org/officeDocument/2006/relationships/hyperlink" Target="https://www.office360.de/bueroeinrichtung/" TargetMode="External"/><Relationship Id="rId619" Type="http://schemas.openxmlformats.org/officeDocument/2006/relationships/hyperlink" Target="https://bs03-hamburg.de/co-working-space-in-der-hotelfachschule/" TargetMode="External"/><Relationship Id="rId95" Type="http://schemas.openxmlformats.org/officeDocument/2006/relationships/hyperlink" Target="https://www.bueromoebel-lieferant.de/" TargetMode="External"/><Relationship Id="rId160" Type="http://schemas.openxmlformats.org/officeDocument/2006/relationships/hyperlink" Target="https://www.evensi.de/page/smv-wohlsitzen/10004924281/" TargetMode="External"/><Relationship Id="rId258" Type="http://schemas.openxmlformats.org/officeDocument/2006/relationships/hyperlink" Target="https://www.ikz.de/nc/detail/news/detail/smv-sitz-und-objektmoebel-mobil-kommunizieren/" TargetMode="External"/><Relationship Id="rId465" Type="http://schemas.openxmlformats.org/officeDocument/2006/relationships/hyperlink" Target="http://smv-wohlsitzen.net/" TargetMode="External"/><Relationship Id="rId672" Type="http://schemas.openxmlformats.org/officeDocument/2006/relationships/hyperlink" Target="https://referenzen.kurzbach-vechta.de/?portfolio=buero-besucherstueh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L801"/>
  <sheetViews>
    <sheetView tabSelected="1" zoomScale="120" zoomScaleNormal="120" workbookViewId="0">
      <pane ySplit="1" topLeftCell="A2" activePane="bottomLeft" state="frozen"/>
      <selection pane="bottomLeft" activeCell="E10" sqref="E10"/>
    </sheetView>
  </sheetViews>
  <sheetFormatPr baseColWidth="10" defaultColWidth="10.83203125" defaultRowHeight="13" x14ac:dyDescent="0.15"/>
  <cols>
    <col min="1" max="1" width="11" style="5" customWidth="1"/>
    <col min="2" max="2" width="47.33203125" style="11" customWidth="1"/>
    <col min="3" max="3" width="31.33203125" style="11" customWidth="1"/>
    <col min="4" max="5" width="11.6640625" style="11" customWidth="1"/>
    <col min="6" max="6" width="18.83203125" style="5" bestFit="1" customWidth="1"/>
    <col min="7" max="7" width="16.1640625" style="33" customWidth="1"/>
    <col min="8" max="8" width="39.83203125" style="34" bestFit="1" customWidth="1"/>
    <col min="9" max="9" width="25.6640625" style="12" customWidth="1"/>
    <col min="10" max="10" width="5.33203125" style="3" customWidth="1"/>
    <col min="11" max="11" width="10.83203125" style="3"/>
    <col min="12" max="12" width="20.83203125" style="3" customWidth="1"/>
    <col min="13" max="13" width="20.1640625" style="3" customWidth="1"/>
    <col min="14" max="16384" width="10.83203125" style="3"/>
  </cols>
  <sheetData>
    <row r="1" spans="1:12" s="1" customFormat="1" ht="23" customHeight="1" x14ac:dyDescent="0.2">
      <c r="A1" s="9" t="s">
        <v>8</v>
      </c>
      <c r="B1" s="9" t="s">
        <v>9</v>
      </c>
      <c r="C1" s="9" t="s">
        <v>734</v>
      </c>
      <c r="D1" s="9" t="s">
        <v>956</v>
      </c>
      <c r="E1" s="9" t="s">
        <v>2</v>
      </c>
      <c r="F1" s="7" t="s">
        <v>3</v>
      </c>
      <c r="G1" s="9" t="s">
        <v>0</v>
      </c>
      <c r="H1" s="7" t="s">
        <v>1</v>
      </c>
      <c r="I1" s="9" t="s">
        <v>976</v>
      </c>
      <c r="K1" s="1" t="s">
        <v>750</v>
      </c>
    </row>
    <row r="2" spans="1:12" s="2" customFormat="1" ht="23" customHeight="1" x14ac:dyDescent="0.2">
      <c r="A2" s="4" t="s">
        <v>28</v>
      </c>
      <c r="B2" s="6" t="s">
        <v>170</v>
      </c>
      <c r="C2" s="13" t="str">
        <f>SUBSTITUTE(REPLACE(REPLACE(B2,1,IFERROR(FIND("//",B2,1)+1,0),"")&amp;"/",FIND("/",REPLACE(B2,1,IFERROR(FIND("//",B2,1)+1,0),"")&amp;"/",1),LEN(B2),""),"www.","",1)</f>
        <v>1.maerker-wilsdruff.de</v>
      </c>
      <c r="D2" s="13">
        <f>COUNTIF($C$2:$C$801,C2)</f>
        <v>1</v>
      </c>
      <c r="E2" s="30" t="s">
        <v>241</v>
      </c>
      <c r="F2" s="4" t="s">
        <v>729</v>
      </c>
      <c r="G2" s="31" t="s">
        <v>5</v>
      </c>
      <c r="H2" s="31" t="s">
        <v>965</v>
      </c>
      <c r="I2" s="10" t="s">
        <v>981</v>
      </c>
    </row>
    <row r="3" spans="1:12" s="2" customFormat="1" ht="23" customHeight="1" x14ac:dyDescent="0.2">
      <c r="A3" s="4" t="s">
        <v>28</v>
      </c>
      <c r="B3" s="6" t="s">
        <v>164</v>
      </c>
      <c r="C3" s="13" t="str">
        <f>SUBSTITUTE(REPLACE(REPLACE(B3,1,IFERROR(FIND("//",B3,1)+1,0),"")&amp;"/",FIND("/",REPLACE(B3,1,IFERROR(FIND("//",B3,1)+1,0),"")&amp;"/",1),LEN(B3),""),"www.","",1)</f>
        <v>123verzeichnis.com</v>
      </c>
      <c r="D3" s="13">
        <f>COUNTIF($C$2:$C$801,C3)</f>
        <v>1</v>
      </c>
      <c r="E3" s="10" t="s">
        <v>712</v>
      </c>
      <c r="F3" s="4"/>
      <c r="G3" s="31" t="s">
        <v>5</v>
      </c>
      <c r="H3" s="31" t="s">
        <v>965</v>
      </c>
      <c r="I3" s="10" t="s">
        <v>981</v>
      </c>
      <c r="K3" s="20">
        <f>COUNTIF(F2:F801,"Blog")</f>
        <v>8</v>
      </c>
      <c r="L3" s="17" t="s">
        <v>733</v>
      </c>
    </row>
    <row r="4" spans="1:12" s="2" customFormat="1" ht="23" customHeight="1" x14ac:dyDescent="0.2">
      <c r="A4" s="4" t="s">
        <v>28</v>
      </c>
      <c r="B4" s="6" t="s">
        <v>388</v>
      </c>
      <c r="C4" s="13" t="str">
        <f>SUBSTITUTE(REPLACE(REPLACE(B4,1,IFERROR(FIND("//",B4,1)+1,0),"")&amp;"/",FIND("/",REPLACE(B4,1,IFERROR(FIND("//",B4,1)+1,0),"")&amp;"/",1),LEN(B4),""),"www.","",1)</f>
        <v>1aday2fc.com</v>
      </c>
      <c r="D4" s="13">
        <f>COUNTIF($C$2:$C$801,C4)</f>
        <v>1</v>
      </c>
      <c r="E4" s="10" t="s">
        <v>389</v>
      </c>
      <c r="F4" s="4"/>
      <c r="G4" s="31" t="s">
        <v>5</v>
      </c>
      <c r="H4" s="31" t="s">
        <v>965</v>
      </c>
      <c r="I4" s="10" t="s">
        <v>981</v>
      </c>
      <c r="K4" s="20">
        <f>COUNTIF(F2:F801,"Branchenverzeichnis")</f>
        <v>98</v>
      </c>
      <c r="L4" s="17" t="s">
        <v>25</v>
      </c>
    </row>
    <row r="5" spans="1:12" s="2" customFormat="1" ht="23" customHeight="1" x14ac:dyDescent="0.2">
      <c r="A5" s="4" t="s">
        <v>28</v>
      </c>
      <c r="B5" s="6" t="s">
        <v>1009</v>
      </c>
      <c r="C5" s="13" t="str">
        <f>SUBSTITUTE(REPLACE(REPLACE(B5,1,IFERROR(FIND("//",B5,1)+1,0),"")&amp;"/",FIND("/",REPLACE(B5,1,IFERROR(FIND("//",B5,1)+1,0),"")&amp;"/",1),LEN(B5),""),"www.","",1)</f>
        <v>32.de</v>
      </c>
      <c r="D5" s="13">
        <f>COUNTIF($C$2:$C$801,C5)</f>
        <v>1</v>
      </c>
      <c r="E5" s="10" t="s">
        <v>237</v>
      </c>
      <c r="F5" s="4" t="s">
        <v>25</v>
      </c>
      <c r="G5" s="31" t="s">
        <v>4</v>
      </c>
      <c r="H5" s="31" t="s">
        <v>1084</v>
      </c>
      <c r="I5" s="10"/>
      <c r="K5" s="20">
        <f>COUNTIF(F2:F801,"Händler / Partner")</f>
        <v>290</v>
      </c>
      <c r="L5" s="17" t="s">
        <v>729</v>
      </c>
    </row>
    <row r="6" spans="1:12" s="2" customFormat="1" ht="23" customHeight="1" x14ac:dyDescent="0.2">
      <c r="A6" s="4" t="s">
        <v>28</v>
      </c>
      <c r="B6" s="6" t="s">
        <v>65</v>
      </c>
      <c r="C6" s="13" t="str">
        <f>SUBSTITUTE(REPLACE(REPLACE(B6,1,IFERROR(FIND("//",B6,1)+1,0),"")&amp;"/",FIND("/",REPLACE(B6,1,IFERROR(FIND("//",B6,1)+1,0),"")&amp;"/",1),LEN(B6),""),"www.","",1)</f>
        <v>3d-product-configuration.com</v>
      </c>
      <c r="D6" s="13">
        <f>COUNTIF($C$2:$C$801,C6)</f>
        <v>1</v>
      </c>
      <c r="E6" s="10" t="s">
        <v>637</v>
      </c>
      <c r="F6" s="4" t="s">
        <v>729</v>
      </c>
      <c r="G6" s="31" t="s">
        <v>5</v>
      </c>
      <c r="H6" s="31" t="s">
        <v>965</v>
      </c>
      <c r="I6" s="10" t="s">
        <v>981</v>
      </c>
      <c r="K6" s="26">
        <f>COUNTIF(F2:F801,"Online-Magazin")</f>
        <v>37</v>
      </c>
      <c r="L6" s="7" t="s">
        <v>732</v>
      </c>
    </row>
    <row r="7" spans="1:12" s="2" customFormat="1" ht="23" customHeight="1" x14ac:dyDescent="0.2">
      <c r="A7" s="4" t="s">
        <v>28</v>
      </c>
      <c r="B7" s="6" t="s">
        <v>171</v>
      </c>
      <c r="C7" s="13" t="str">
        <f>SUBSTITUTE(REPLACE(REPLACE(B7,1,IFERROR(FIND("//",B7,1)+1,0),"")&amp;"/",FIND("/",REPLACE(B7,1,IFERROR(FIND("//",B7,1)+1,0),"")&amp;"/",1),LEN(B7),""),"www.","",1)</f>
        <v>3d-team.de</v>
      </c>
      <c r="D7" s="13">
        <f>COUNTIF($C$2:$C$801,C7)</f>
        <v>1</v>
      </c>
      <c r="E7" s="10" t="s">
        <v>14</v>
      </c>
      <c r="F7" s="4" t="s">
        <v>729</v>
      </c>
      <c r="G7" s="31" t="s">
        <v>4</v>
      </c>
      <c r="H7" s="31" t="s">
        <v>965</v>
      </c>
      <c r="I7" s="10" t="s">
        <v>977</v>
      </c>
      <c r="K7" s="26">
        <f>COUNTIF(F2:F801,"Portal")</f>
        <v>24</v>
      </c>
      <c r="L7" s="7" t="s">
        <v>737</v>
      </c>
    </row>
    <row r="8" spans="1:12" s="2" customFormat="1" ht="23" customHeight="1" x14ac:dyDescent="0.2">
      <c r="A8" s="4" t="s">
        <v>28</v>
      </c>
      <c r="B8" s="6" t="s">
        <v>151</v>
      </c>
      <c r="C8" s="13" t="str">
        <f>SUBSTITUTE(REPLACE(REPLACE(B8,1,IFERROR(FIND("//",B8,1)+1,0),"")&amp;"/",FIND("/",REPLACE(B8,1,IFERROR(FIND("//",B8,1)+1,0),"")&amp;"/",1),LEN(B8),""),"www.","",1)</f>
        <v>3doffice.de</v>
      </c>
      <c r="D8" s="13">
        <f>COUNTIF($C$2:$C$801,C8)</f>
        <v>1</v>
      </c>
      <c r="E8" s="10" t="s">
        <v>28</v>
      </c>
      <c r="F8" s="4" t="s">
        <v>729</v>
      </c>
      <c r="G8" s="31" t="s">
        <v>4</v>
      </c>
      <c r="H8" s="31" t="s">
        <v>965</v>
      </c>
      <c r="I8" s="10" t="s">
        <v>977</v>
      </c>
      <c r="K8" s="20">
        <f>COUNTIF(F2:F801,"Presseportal")</f>
        <v>7</v>
      </c>
      <c r="L8" s="17" t="s">
        <v>731</v>
      </c>
    </row>
    <row r="9" spans="1:12" s="2" customFormat="1" ht="23" customHeight="1" x14ac:dyDescent="0.2">
      <c r="A9" s="4" t="s">
        <v>28</v>
      </c>
      <c r="B9" s="6" t="s">
        <v>380</v>
      </c>
      <c r="C9" s="13" t="str">
        <f>SUBSTITUTE(REPLACE(REPLACE(B9,1,IFERROR(FIND("//",B9,1)+1,0),"")&amp;"/",FIND("/",REPLACE(B9,1,IFERROR(FIND("//",B9,1)+1,0),"")&amp;"/",1),LEN(B9),""),"www.","",1)</f>
        <v>aban-buerosysteme.com</v>
      </c>
      <c r="D9" s="13">
        <f>COUNTIF($C$2:$C$801,C9)</f>
        <v>1</v>
      </c>
      <c r="E9" s="10" t="s">
        <v>27</v>
      </c>
      <c r="F9" s="4" t="s">
        <v>729</v>
      </c>
      <c r="G9" s="31" t="s">
        <v>4</v>
      </c>
      <c r="H9" s="31" t="s">
        <v>965</v>
      </c>
      <c r="I9" s="10" t="s">
        <v>977</v>
      </c>
      <c r="K9" s="20">
        <f>COUNTIF(F2:F801,"Referenzprojekt")</f>
        <v>15</v>
      </c>
      <c r="L9" s="17" t="s">
        <v>739</v>
      </c>
    </row>
    <row r="10" spans="1:12" s="2" customFormat="1" ht="23" customHeight="1" x14ac:dyDescent="0.2">
      <c r="A10" s="4" t="s">
        <v>28</v>
      </c>
      <c r="B10" s="6" t="s">
        <v>805</v>
      </c>
      <c r="C10" s="13" t="str">
        <f>SUBSTITUTE(REPLACE(REPLACE(B10,1,IFERROR(FIND("//",B10,1)+1,0),"")&amp;"/",FIND("/",REPLACE(B10,1,IFERROR(FIND("//",B10,1)+1,0),"")&amp;"/",1),LEN(B10),""),"www.","",1)</f>
        <v>abe-inneneinrichtungen.de</v>
      </c>
      <c r="D10" s="13">
        <f>COUNTIF($C$2:$C$801,C10)</f>
        <v>1</v>
      </c>
      <c r="E10" s="10"/>
      <c r="F10" s="4" t="s">
        <v>729</v>
      </c>
      <c r="G10" s="31" t="s">
        <v>4</v>
      </c>
      <c r="H10" s="31" t="s">
        <v>965</v>
      </c>
      <c r="I10" s="10" t="s">
        <v>977</v>
      </c>
      <c r="K10" s="20">
        <f>COUNTIF(F2:F801,"Sonstiges")</f>
        <v>34</v>
      </c>
      <c r="L10" s="17" t="s">
        <v>13</v>
      </c>
    </row>
    <row r="11" spans="1:12" s="2" customFormat="1" ht="23" customHeight="1" x14ac:dyDescent="0.2">
      <c r="A11" s="4" t="s">
        <v>28</v>
      </c>
      <c r="B11" s="6" t="s">
        <v>79</v>
      </c>
      <c r="C11" s="13" t="str">
        <f>SUBSTITUTE(REPLACE(REPLACE(B11,1,IFERROR(FIND("//",B11,1)+1,0),"")&amp;"/",FIND("/",REPLACE(B11,1,IFERROR(FIND("//",B11,1)+1,0),"")&amp;"/",1),LEN(B11),""),"www.","",1)</f>
        <v>activsit.com</v>
      </c>
      <c r="D11" s="13">
        <f>COUNTIF($C$2:$C$801,C11)</f>
        <v>1</v>
      </c>
      <c r="E11" s="10" t="s">
        <v>237</v>
      </c>
      <c r="F11" s="4"/>
      <c r="G11" s="31" t="s">
        <v>5</v>
      </c>
      <c r="H11" s="31" t="s">
        <v>965</v>
      </c>
      <c r="I11" s="10" t="s">
        <v>981</v>
      </c>
      <c r="K11" s="19">
        <f>COUNTIF(F2:F801,"Spam")</f>
        <v>119</v>
      </c>
      <c r="L11" s="16" t="s">
        <v>730</v>
      </c>
    </row>
    <row r="12" spans="1:12" s="2" customFormat="1" ht="23" customHeight="1" x14ac:dyDescent="0.2">
      <c r="A12" s="4" t="s">
        <v>28</v>
      </c>
      <c r="B12" s="6" t="s">
        <v>390</v>
      </c>
      <c r="C12" s="13" t="str">
        <f>SUBSTITUTE(REPLACE(REPLACE(B12,1,IFERROR(FIND("//",B12,1)+1,0),"")&amp;"/",FIND("/",REPLACE(B12,1,IFERROR(FIND("//",B12,1)+1,0),"")&amp;"/",1),LEN(B12),""),"www.","",1)</f>
        <v>adjustabletabledakushinu.blogspot.com</v>
      </c>
      <c r="D12" s="13">
        <f>COUNTIF($C$2:$C$801,C12)</f>
        <v>1</v>
      </c>
      <c r="E12" s="10" t="s">
        <v>391</v>
      </c>
      <c r="F12" s="4" t="s">
        <v>730</v>
      </c>
      <c r="G12" s="31" t="s">
        <v>6</v>
      </c>
      <c r="H12" s="31" t="s">
        <v>970</v>
      </c>
      <c r="I12" s="16" t="s">
        <v>985</v>
      </c>
      <c r="K12" s="20">
        <f>COUNTIF(F2:F801,"Stellenbörse")</f>
        <v>8</v>
      </c>
      <c r="L12" s="17" t="s">
        <v>743</v>
      </c>
    </row>
    <row r="13" spans="1:12" s="2" customFormat="1" ht="23" customHeight="1" x14ac:dyDescent="0.2">
      <c r="A13" s="4" t="s">
        <v>28</v>
      </c>
      <c r="B13" s="6" t="s">
        <v>537</v>
      </c>
      <c r="C13" s="13" t="str">
        <f>SUBSTITUTE(REPLACE(REPLACE(B13,1,IFERROR(FIND("//",B13,1)+1,0),"")&amp;"/",FIND("/",REPLACE(B13,1,IFERROR(FIND("//",B13,1)+1,0),"")&amp;"/",1),LEN(B13),""),"www.","",1)</f>
        <v>agentur78.de</v>
      </c>
      <c r="D13" s="13">
        <f>COUNTIF($C$2:$C$801,C13)</f>
        <v>1</v>
      </c>
      <c r="E13" s="10" t="s">
        <v>28</v>
      </c>
      <c r="F13" s="4" t="s">
        <v>729</v>
      </c>
      <c r="G13" s="31" t="s">
        <v>4</v>
      </c>
      <c r="H13" s="31" t="s">
        <v>965</v>
      </c>
      <c r="I13" s="10" t="s">
        <v>977</v>
      </c>
      <c r="K13" s="20">
        <f>COUNTIF(F2:F801,"Veranstaltung")</f>
        <v>16</v>
      </c>
      <c r="L13" s="17" t="s">
        <v>735</v>
      </c>
    </row>
    <row r="14" spans="1:12" s="2" customFormat="1" ht="23" customHeight="1" x14ac:dyDescent="0.2">
      <c r="A14" s="4" t="s">
        <v>28</v>
      </c>
      <c r="B14" s="6" t="s">
        <v>892</v>
      </c>
      <c r="C14" s="13" t="str">
        <f>SUBSTITUTE(REPLACE(REPLACE(B14,1,IFERROR(FIND("//",B14,1)+1,0),"")&amp;"/",FIND("/",REPLACE(B14,1,IFERROR(FIND("//",B14,1)+1,0),"")&amp;"/",1),LEN(B14),""),"www.","",1)</f>
        <v>airjordanflight89.cc</v>
      </c>
      <c r="D14" s="13">
        <f>COUNTIF($C$2:$C$801,C14)</f>
        <v>1</v>
      </c>
      <c r="E14" s="10" t="s">
        <v>931</v>
      </c>
      <c r="F14" s="4" t="s">
        <v>730</v>
      </c>
      <c r="G14" s="31" t="s">
        <v>6</v>
      </c>
      <c r="H14" s="31" t="s">
        <v>964</v>
      </c>
      <c r="I14" s="10" t="s">
        <v>980</v>
      </c>
      <c r="K14" s="20">
        <f>COUNTIF(F2:F801,"")</f>
        <v>144</v>
      </c>
      <c r="L14" s="17" t="s">
        <v>755</v>
      </c>
    </row>
    <row r="15" spans="1:12" s="2" customFormat="1" ht="23" customHeight="1" thickBot="1" x14ac:dyDescent="0.25">
      <c r="A15" s="4" t="s">
        <v>28</v>
      </c>
      <c r="B15" s="6" t="s">
        <v>121</v>
      </c>
      <c r="C15" s="13" t="str">
        <f>SUBSTITUTE(REPLACE(REPLACE(B15,1,IFERROR(FIND("//",B15,1)+1,0),"")&amp;"/",FIND("/",REPLACE(B15,1,IFERROR(FIND("//",B15,1)+1,0),"")&amp;"/",1),LEN(B15),""),"www.","",1)</f>
        <v>ais-online.de</v>
      </c>
      <c r="D15" s="13">
        <f>COUNTIF($C$2:$C$801,C15)</f>
        <v>1</v>
      </c>
      <c r="E15" s="10" t="s">
        <v>246</v>
      </c>
      <c r="F15" s="4" t="s">
        <v>25</v>
      </c>
      <c r="G15" s="31" t="s">
        <v>4</v>
      </c>
      <c r="H15" s="31" t="s">
        <v>965</v>
      </c>
      <c r="I15" s="10" t="s">
        <v>977</v>
      </c>
      <c r="K15" s="8">
        <f>SUM(K3:K14)</f>
        <v>800</v>
      </c>
    </row>
    <row r="16" spans="1:12" s="2" customFormat="1" ht="23" customHeight="1" x14ac:dyDescent="0.2">
      <c r="A16" s="4" t="s">
        <v>28</v>
      </c>
      <c r="B16" s="6" t="s">
        <v>123</v>
      </c>
      <c r="C16" s="13" t="str">
        <f>SUBSTITUTE(REPLACE(REPLACE(B16,1,IFERROR(FIND("//",B16,1)+1,0),"")&amp;"/",FIND("/",REPLACE(B16,1,IFERROR(FIND("//",B16,1)+1,0),"")&amp;"/",1),LEN(B16),""),"www.","",1)</f>
        <v>aktiv-sit.com</v>
      </c>
      <c r="D16" s="13">
        <f>COUNTIF($C$2:$C$801,C16)</f>
        <v>1</v>
      </c>
      <c r="E16" s="10" t="s">
        <v>237</v>
      </c>
      <c r="F16" s="4"/>
      <c r="G16" s="31" t="s">
        <v>5</v>
      </c>
      <c r="H16" s="31" t="s">
        <v>965</v>
      </c>
      <c r="I16" s="10" t="s">
        <v>981</v>
      </c>
    </row>
    <row r="17" spans="1:12" s="2" customFormat="1" ht="23" customHeight="1" x14ac:dyDescent="0.2">
      <c r="A17" s="4" t="s">
        <v>28</v>
      </c>
      <c r="B17" s="6" t="s">
        <v>952</v>
      </c>
      <c r="C17" s="13" t="str">
        <f>SUBSTITUTE(REPLACE(REPLACE(B17,1,IFERROR(FIND("//",B17,1)+1,0),"")&amp;"/",FIND("/",REPLACE(B17,1,IFERROR(FIND("//",B17,1)+1,0),"")&amp;"/",1),LEN(B17),""),"www.","",1)</f>
        <v>aktiv-sit.eu</v>
      </c>
      <c r="D17" s="13">
        <f>COUNTIF($C$2:$C$801,C17)</f>
        <v>1</v>
      </c>
      <c r="E17" s="10" t="s">
        <v>237</v>
      </c>
      <c r="F17" s="4" t="s">
        <v>13</v>
      </c>
      <c r="G17" s="31" t="s">
        <v>5</v>
      </c>
      <c r="H17" s="31" t="s">
        <v>965</v>
      </c>
      <c r="I17" s="10" t="s">
        <v>981</v>
      </c>
    </row>
    <row r="18" spans="1:12" s="2" customFormat="1" ht="23" customHeight="1" x14ac:dyDescent="0.2">
      <c r="A18" s="4" t="s">
        <v>28</v>
      </c>
      <c r="B18" s="6" t="s">
        <v>459</v>
      </c>
      <c r="C18" s="13" t="str">
        <f>SUBSTITUTE(REPLACE(REPLACE(B18,1,IFERROR(FIND("//",B18,1)+1,0),"")&amp;"/",FIND("/",REPLACE(B18,1,IFERROR(FIND("//",B18,1)+1,0),"")&amp;"/",1),LEN(B18),""),"www.","",1)</f>
        <v>akustikschmiede.org</v>
      </c>
      <c r="D18" s="13">
        <f>COUNTIF($C$2:$C$801,C18)</f>
        <v>1</v>
      </c>
      <c r="E18" s="10" t="s">
        <v>444</v>
      </c>
      <c r="F18" s="4" t="s">
        <v>729</v>
      </c>
      <c r="G18" s="31" t="s">
        <v>4</v>
      </c>
      <c r="H18" s="31" t="s">
        <v>965</v>
      </c>
      <c r="I18" s="10" t="s">
        <v>977</v>
      </c>
      <c r="K18" s="18">
        <f>COUNTIF(G2:G801,"")</f>
        <v>0</v>
      </c>
      <c r="L18" s="15" t="s">
        <v>7</v>
      </c>
    </row>
    <row r="19" spans="1:12" s="2" customFormat="1" ht="23" customHeight="1" x14ac:dyDescent="0.2">
      <c r="A19" s="4" t="s">
        <v>28</v>
      </c>
      <c r="B19" s="6" t="s">
        <v>817</v>
      </c>
      <c r="C19" s="13" t="str">
        <f>SUBSTITUTE(REPLACE(REPLACE(B19,1,IFERROR(FIND("//",B19,1)+1,0),"")&amp;"/",FIND("/",REPLACE(B19,1,IFERROR(FIND("//",B19,1)+1,0),"")&amp;"/",1),LEN(B19),""),"www.","",1)</f>
        <v>alma.lu</v>
      </c>
      <c r="D19" s="13">
        <f>COUNTIF($C$2:$C$801,C19)</f>
        <v>1</v>
      </c>
      <c r="E19" s="10" t="s">
        <v>917</v>
      </c>
      <c r="F19" s="4" t="s">
        <v>729</v>
      </c>
      <c r="G19" s="31" t="s">
        <v>4</v>
      </c>
      <c r="H19" s="31" t="s">
        <v>965</v>
      </c>
      <c r="I19" s="10" t="s">
        <v>977</v>
      </c>
      <c r="K19" s="18">
        <f>COUNTIF(G2:G801,"lassen")</f>
        <v>409</v>
      </c>
      <c r="L19" s="15" t="s">
        <v>4</v>
      </c>
    </row>
    <row r="20" spans="1:12" s="2" customFormat="1" ht="23" customHeight="1" x14ac:dyDescent="0.2">
      <c r="A20" s="4" t="s">
        <v>28</v>
      </c>
      <c r="B20" s="6" t="s">
        <v>460</v>
      </c>
      <c r="C20" s="13" t="str">
        <f>SUBSTITUTE(REPLACE(REPLACE(B20,1,IFERROR(FIND("//",B20,1)+1,0),"")&amp;"/",FIND("/",REPLACE(B20,1,IFERROR(FIND("//",B20,1)+1,0),"")&amp;"/",1),LEN(B20),""),"www.","",1)</f>
        <v>am9501007fm.com</v>
      </c>
      <c r="D20" s="13">
        <f>COUNTIF($C$2:$C$801,C20)</f>
        <v>1</v>
      </c>
      <c r="E20" s="10" t="s">
        <v>461</v>
      </c>
      <c r="F20" s="4" t="s">
        <v>730</v>
      </c>
      <c r="G20" s="31" t="s">
        <v>6</v>
      </c>
      <c r="H20" s="31" t="s">
        <v>964</v>
      </c>
      <c r="I20" s="10" t="s">
        <v>979</v>
      </c>
      <c r="K20" s="19">
        <f>COUNTIF(G2:G801,"löschen")</f>
        <v>75</v>
      </c>
      <c r="L20" s="16" t="s">
        <v>6</v>
      </c>
    </row>
    <row r="21" spans="1:12" s="2" customFormat="1" ht="23" customHeight="1" x14ac:dyDescent="0.2">
      <c r="A21" s="4" t="s">
        <v>28</v>
      </c>
      <c r="B21" s="6" t="s">
        <v>462</v>
      </c>
      <c r="C21" s="13" t="str">
        <f>SUBSTITUTE(REPLACE(REPLACE(B21,1,IFERROR(FIND("//",B21,1)+1,0),"")&amp;"/",FIND("/",REPLACE(B21,1,IFERROR(FIND("//",B21,1)+1,0),"")&amp;"/",1),LEN(B21),""),"www.","",1)</f>
        <v>amandaeliasch.com</v>
      </c>
      <c r="D21" s="13">
        <f>COUNTIF($C$2:$C$801,C21)</f>
        <v>2</v>
      </c>
      <c r="E21" s="10" t="s">
        <v>433</v>
      </c>
      <c r="F21" s="4" t="s">
        <v>730</v>
      </c>
      <c r="G21" s="31" t="s">
        <v>6</v>
      </c>
      <c r="H21" s="31" t="s">
        <v>964</v>
      </c>
      <c r="I21" s="10" t="s">
        <v>979</v>
      </c>
      <c r="K21" s="20">
        <f>COUNTIF(G2:G801,"gelöscht")</f>
        <v>298</v>
      </c>
      <c r="L21" s="17" t="s">
        <v>5</v>
      </c>
    </row>
    <row r="22" spans="1:12" s="2" customFormat="1" ht="23" customHeight="1" x14ac:dyDescent="0.2">
      <c r="A22" s="4" t="s">
        <v>28</v>
      </c>
      <c r="B22" s="6" t="s">
        <v>463</v>
      </c>
      <c r="C22" s="13" t="str">
        <f>SUBSTITUTE(REPLACE(REPLACE(B22,1,IFERROR(FIND("//",B22,1)+1,0),"")&amp;"/",FIND("/",REPLACE(B22,1,IFERROR(FIND("//",B22,1)+1,0),"")&amp;"/",1),LEN(B22),""),"www.","",1)</f>
        <v>amandaeliasch.com</v>
      </c>
      <c r="D22" s="13">
        <f>COUNTIF($C$2:$C$801,C22)</f>
        <v>2</v>
      </c>
      <c r="E22" s="10" t="s">
        <v>393</v>
      </c>
      <c r="F22" s="4" t="s">
        <v>730</v>
      </c>
      <c r="G22" s="31" t="s">
        <v>6</v>
      </c>
      <c r="H22" s="31" t="s">
        <v>964</v>
      </c>
      <c r="I22" s="10" t="s">
        <v>979</v>
      </c>
      <c r="K22" s="19">
        <f>COUNTIF(G2:G801,"ändern")</f>
        <v>18</v>
      </c>
      <c r="L22" s="16" t="s">
        <v>10</v>
      </c>
    </row>
    <row r="23" spans="1:12" s="2" customFormat="1" ht="23" customHeight="1" thickBot="1" x14ac:dyDescent="0.25">
      <c r="A23" s="4" t="s">
        <v>28</v>
      </c>
      <c r="B23" s="6" t="s">
        <v>392</v>
      </c>
      <c r="C23" s="13" t="str">
        <f>SUBSTITUTE(REPLACE(REPLACE(B23,1,IFERROR(FIND("//",B23,1)+1,0),"")&amp;"/",FIND("/",REPLACE(B23,1,IFERROR(FIND("//",B23,1)+1,0),"")&amp;"/",1),LEN(B23),""),"www.","",1)</f>
        <v>aostafurniture.com</v>
      </c>
      <c r="D23" s="13">
        <f>COUNTIF($C$2:$C$801,C23)</f>
        <v>1</v>
      </c>
      <c r="E23" s="10" t="s">
        <v>393</v>
      </c>
      <c r="F23" s="4" t="s">
        <v>730</v>
      </c>
      <c r="G23" s="31" t="s">
        <v>5</v>
      </c>
      <c r="H23" s="31" t="s">
        <v>965</v>
      </c>
      <c r="I23" s="10" t="s">
        <v>981</v>
      </c>
      <c r="K23" s="8">
        <f>SUM(K18:K22)</f>
        <v>800</v>
      </c>
    </row>
    <row r="24" spans="1:12" s="2" customFormat="1" ht="23" customHeight="1" x14ac:dyDescent="0.2">
      <c r="A24" s="4" t="s">
        <v>28</v>
      </c>
      <c r="B24" s="6" t="s">
        <v>213</v>
      </c>
      <c r="C24" s="13" t="str">
        <f>SUBSTITUTE(REPLACE(REPLACE(B24,1,IFERROR(FIND("//",B24,1)+1,0),"")&amp;"/",FIND("/",REPLACE(B24,1,IFERROR(FIND("//",B24,1)+1,0),"")&amp;"/",1),LEN(B24),""),"www.","",1)</f>
        <v>apropo-iserlohn.de</v>
      </c>
      <c r="D24" s="13">
        <f>COUNTIF($C$2:$C$801,C24)</f>
        <v>1</v>
      </c>
      <c r="E24" s="10" t="s">
        <v>14</v>
      </c>
      <c r="F24" s="4"/>
      <c r="G24" s="31" t="s">
        <v>5</v>
      </c>
      <c r="H24" s="31" t="s">
        <v>965</v>
      </c>
      <c r="I24" s="10" t="s">
        <v>981</v>
      </c>
    </row>
    <row r="25" spans="1:12" s="2" customFormat="1" ht="23" customHeight="1" x14ac:dyDescent="0.2">
      <c r="A25" s="4" t="s">
        <v>28</v>
      </c>
      <c r="B25" s="6" t="s">
        <v>81</v>
      </c>
      <c r="C25" s="13" t="str">
        <f>SUBSTITUTE(REPLACE(REPLACE(B25,1,IFERROR(FIND("//",B25,1)+1,0),"")&amp;"/",FIND("/",REPLACE(B25,1,IFERROR(FIND("//",B25,1)+1,0),"")&amp;"/",1),LEN(B25),""),"www.","",1)</f>
        <v>aquamagica.de</v>
      </c>
      <c r="D25" s="13">
        <f>COUNTIF($C$2:$C$801,C25)</f>
        <v>2</v>
      </c>
      <c r="E25" s="10" t="s">
        <v>237</v>
      </c>
      <c r="F25" s="4"/>
      <c r="G25" s="31" t="s">
        <v>5</v>
      </c>
      <c r="H25" s="31" t="s">
        <v>965</v>
      </c>
      <c r="I25" s="10" t="s">
        <v>981</v>
      </c>
    </row>
    <row r="26" spans="1:12" s="2" customFormat="1" ht="23" customHeight="1" x14ac:dyDescent="0.2">
      <c r="A26" s="4" t="s">
        <v>28</v>
      </c>
      <c r="B26" s="6" t="s">
        <v>303</v>
      </c>
      <c r="C26" s="13" t="str">
        <f>SUBSTITUTE(REPLACE(REPLACE(B26,1,IFERROR(FIND("//",B26,1)+1,0),"")&amp;"/",FIND("/",REPLACE(B26,1,IFERROR(FIND("//",B26,1)+1,0),"")&amp;"/",1),LEN(B26),""),"www.","",1)</f>
        <v>aquamagica.de</v>
      </c>
      <c r="D26" s="13">
        <f>COUNTIF($C$2:$C$801,C26)</f>
        <v>2</v>
      </c>
      <c r="E26" s="10" t="s">
        <v>27</v>
      </c>
      <c r="F26" s="4" t="s">
        <v>735</v>
      </c>
      <c r="G26" s="31" t="s">
        <v>4</v>
      </c>
      <c r="H26" s="31" t="s">
        <v>965</v>
      </c>
      <c r="I26" s="10" t="s">
        <v>977</v>
      </c>
      <c r="K26" s="1" t="s">
        <v>751</v>
      </c>
    </row>
    <row r="27" spans="1:12" s="2" customFormat="1" ht="23" customHeight="1" x14ac:dyDescent="0.2">
      <c r="A27" s="4" t="s">
        <v>28</v>
      </c>
      <c r="B27" s="6" t="s">
        <v>766</v>
      </c>
      <c r="C27" s="35" t="str">
        <f>SUBSTITUTE(REPLACE(REPLACE(B27,1,IFERROR(FIND("//",B27,1)+1,0),"")&amp;"/",FIND("/",REPLACE(B27,1,IFERROR(FIND("//",B27,1)+1,0),"")&amp;"/",1),LEN(B27),""),"www.","",1)</f>
        <v>arbeitsratgeber.com</v>
      </c>
      <c r="D27" s="13">
        <f>COUNTIF($C$2:$C$801,C27)</f>
        <v>1</v>
      </c>
      <c r="E27" s="10" t="s">
        <v>274</v>
      </c>
      <c r="F27" s="4" t="s">
        <v>737</v>
      </c>
      <c r="G27" s="31" t="s">
        <v>4</v>
      </c>
      <c r="H27" s="31" t="s">
        <v>965</v>
      </c>
      <c r="I27" s="10" t="s">
        <v>977</v>
      </c>
    </row>
    <row r="28" spans="1:12" s="2" customFormat="1" ht="23" customHeight="1" x14ac:dyDescent="0.2">
      <c r="A28" s="4" t="s">
        <v>28</v>
      </c>
      <c r="B28" s="6" t="s">
        <v>760</v>
      </c>
      <c r="C28" s="35" t="str">
        <f>SUBSTITUTE(REPLACE(REPLACE(B28,1,IFERROR(FIND("//",B28,1)+1,0),"")&amp;"/",FIND("/",REPLACE(B28,1,IFERROR(FIND("//",B28,1)+1,0),"")&amp;"/",1),LEN(B28),""),"www.","",1)</f>
        <v>arbeitstipps.de</v>
      </c>
      <c r="D28" s="13">
        <f>COUNTIF($C$2:$C$801,C28)</f>
        <v>1</v>
      </c>
      <c r="E28" s="10" t="s">
        <v>896</v>
      </c>
      <c r="F28" s="4" t="s">
        <v>732</v>
      </c>
      <c r="G28" s="31" t="s">
        <v>4</v>
      </c>
      <c r="H28" s="31" t="s">
        <v>965</v>
      </c>
      <c r="I28" s="10" t="s">
        <v>977</v>
      </c>
      <c r="K28" s="24">
        <v>70</v>
      </c>
      <c r="L28" s="25" t="s">
        <v>752</v>
      </c>
    </row>
    <row r="29" spans="1:12" s="2" customFormat="1" ht="23" customHeight="1" x14ac:dyDescent="0.2">
      <c r="A29" s="4" t="s">
        <v>28</v>
      </c>
      <c r="B29" s="6" t="s">
        <v>736</v>
      </c>
      <c r="C29" s="13" t="str">
        <f>SUBSTITUTE(REPLACE(REPLACE(B29,1,IFERROR(FIND("//",B29,1)+1,0),"")&amp;"/",FIND("/",REPLACE(B29,1,IFERROR(FIND("//",B29,1)+1,0),"")&amp;"/",1),LEN(B29),""),"www.","",1)</f>
        <v>arcade-xxl.de</v>
      </c>
      <c r="D29" s="13">
        <f>COUNTIF($C$2:$C$801,C29)</f>
        <v>1</v>
      </c>
      <c r="E29" s="10" t="s">
        <v>237</v>
      </c>
      <c r="F29" s="4" t="s">
        <v>732</v>
      </c>
      <c r="G29" s="31" t="s">
        <v>4</v>
      </c>
      <c r="H29" s="31" t="s">
        <v>965</v>
      </c>
      <c r="I29" s="10" t="s">
        <v>977</v>
      </c>
      <c r="K29" s="27" t="s">
        <v>963</v>
      </c>
      <c r="L29" s="22"/>
    </row>
    <row r="30" spans="1:12" s="2" customFormat="1" ht="23" customHeight="1" x14ac:dyDescent="0.2">
      <c r="A30" s="4" t="s">
        <v>28</v>
      </c>
      <c r="B30" s="6" t="s">
        <v>880</v>
      </c>
      <c r="C30" s="13" t="str">
        <f>SUBSTITUTE(REPLACE(REPLACE(B30,1,IFERROR(FIND("//",B30,1)+1,0),"")&amp;"/",FIND("/",REPLACE(B30,1,IFERROR(FIND("//",B30,1)+1,0),"")&amp;"/",1),LEN(B30),""),"www.","",1)</f>
        <v>arcadexxl.de</v>
      </c>
      <c r="D30" s="13">
        <f>COUNTIF($C$2:$C$801,C30)</f>
        <v>1</v>
      </c>
      <c r="E30" s="10" t="s">
        <v>959</v>
      </c>
      <c r="F30" s="4" t="s">
        <v>732</v>
      </c>
      <c r="G30" s="31" t="s">
        <v>4</v>
      </c>
      <c r="H30" s="31" t="s">
        <v>965</v>
      </c>
      <c r="I30" s="10" t="s">
        <v>977</v>
      </c>
      <c r="K30" s="21">
        <v>66</v>
      </c>
      <c r="L30" s="22" t="s">
        <v>753</v>
      </c>
    </row>
    <row r="31" spans="1:12" s="2" customFormat="1" ht="23" customHeight="1" x14ac:dyDescent="0.2">
      <c r="A31" s="4" t="s">
        <v>28</v>
      </c>
      <c r="B31" s="6" t="s">
        <v>262</v>
      </c>
      <c r="C31" s="35" t="str">
        <f>SUBSTITUTE(REPLACE(REPLACE(B31,1,IFERROR(FIND("//",B31,1)+1,0),"")&amp;"/",FIND("/",REPLACE(B31,1,IFERROR(FIND("//",B31,1)+1,0),"")&amp;"/",1),LEN(B31),""),"www.","",1)</f>
        <v>arcguide.de</v>
      </c>
      <c r="D31" s="13">
        <f>COUNTIF($C$2:$C$801,C31)</f>
        <v>1</v>
      </c>
      <c r="E31" s="10" t="s">
        <v>263</v>
      </c>
      <c r="F31" s="4" t="s">
        <v>732</v>
      </c>
      <c r="G31" s="31" t="s">
        <v>4</v>
      </c>
      <c r="H31" s="31" t="s">
        <v>965</v>
      </c>
      <c r="I31" s="10" t="s">
        <v>977</v>
      </c>
      <c r="K31" s="21">
        <v>9</v>
      </c>
      <c r="L31" s="22" t="s">
        <v>754</v>
      </c>
    </row>
    <row r="32" spans="1:12" s="2" customFormat="1" ht="23" customHeight="1" x14ac:dyDescent="0.2">
      <c r="A32" s="4" t="s">
        <v>28</v>
      </c>
      <c r="B32" s="6" t="s">
        <v>758</v>
      </c>
      <c r="C32" s="35" t="str">
        <f>SUBSTITUTE(REPLACE(REPLACE(B32,1,IFERROR(FIND("//",B32,1)+1,0),"")&amp;"/",FIND("/",REPLACE(B32,1,IFERROR(FIND("//",B32,1)+1,0),"")&amp;"/",1),LEN(B32),""),"www.","",1)</f>
        <v>archiproducts.com</v>
      </c>
      <c r="D32" s="13">
        <f>COUNTIF($C$2:$C$801,C32)</f>
        <v>1</v>
      </c>
      <c r="E32" s="10" t="s">
        <v>241</v>
      </c>
      <c r="F32" s="4" t="s">
        <v>737</v>
      </c>
      <c r="G32" s="31" t="s">
        <v>4</v>
      </c>
      <c r="H32" s="31" t="s">
        <v>965</v>
      </c>
      <c r="I32" s="10" t="s">
        <v>977</v>
      </c>
      <c r="K32" s="27" t="s">
        <v>961</v>
      </c>
      <c r="L32" s="23"/>
    </row>
    <row r="33" spans="1:12" s="2" customFormat="1" ht="23" customHeight="1" x14ac:dyDescent="0.2">
      <c r="A33" s="4" t="s">
        <v>28</v>
      </c>
      <c r="B33" s="6" t="s">
        <v>304</v>
      </c>
      <c r="C33" s="13" t="str">
        <f>SUBSTITUTE(REPLACE(REPLACE(B33,1,IFERROR(FIND("//",B33,1)+1,0),"")&amp;"/",FIND("/",REPLACE(B33,1,IFERROR(FIND("//",B33,1)+1,0),"")&amp;"/",1),LEN(B33),""),"www.","",1)</f>
        <v>architektenkammer-mv.de</v>
      </c>
      <c r="D33" s="13">
        <f>COUNTIF($C$2:$C$801,C33)</f>
        <v>1</v>
      </c>
      <c r="E33" s="10" t="s">
        <v>599</v>
      </c>
      <c r="F33" s="4" t="s">
        <v>735</v>
      </c>
      <c r="G33" s="31" t="s">
        <v>5</v>
      </c>
      <c r="H33" s="31" t="s">
        <v>965</v>
      </c>
      <c r="I33" s="10" t="s">
        <v>981</v>
      </c>
      <c r="K33" s="28" t="s">
        <v>962</v>
      </c>
      <c r="L33" s="23"/>
    </row>
    <row r="34" spans="1:12" s="2" customFormat="1" ht="23" customHeight="1" x14ac:dyDescent="0.2">
      <c r="A34" s="4" t="s">
        <v>28</v>
      </c>
      <c r="B34" s="6" t="s">
        <v>935</v>
      </c>
      <c r="C34" s="13" t="str">
        <f>SUBSTITUTE(REPLACE(REPLACE(B34,1,IFERROR(FIND("//",B34,1)+1,0),"")&amp;"/",FIND("/",REPLACE(B34,1,IFERROR(FIND("//",B34,1)+1,0),"")&amp;"/",1),LEN(B34),""),"www.","",1)</f>
        <v>architekturdsgn.blogspot.com</v>
      </c>
      <c r="D34" s="13">
        <f>COUNTIF($C$2:$C$801,C34)</f>
        <v>1</v>
      </c>
      <c r="E34" s="10" t="s">
        <v>630</v>
      </c>
      <c r="F34" s="4" t="s">
        <v>730</v>
      </c>
      <c r="G34" s="31" t="s">
        <v>6</v>
      </c>
      <c r="H34" s="31" t="s">
        <v>970</v>
      </c>
      <c r="I34" s="16" t="s">
        <v>985</v>
      </c>
    </row>
    <row r="35" spans="1:12" s="2" customFormat="1" ht="23" customHeight="1" x14ac:dyDescent="0.2">
      <c r="A35" s="4" t="s">
        <v>28</v>
      </c>
      <c r="B35" s="6" t="s">
        <v>255</v>
      </c>
      <c r="C35" s="13" t="str">
        <f>SUBSTITUTE(REPLACE(REPLACE(B35,1,IFERROR(FIND("//",B35,1)+1,0),"")&amp;"/",FIND("/",REPLACE(B35,1,IFERROR(FIND("//",B35,1)+1,0),"")&amp;"/",1),LEN(B35),""),"www.","",1)</f>
        <v>architizer.com</v>
      </c>
      <c r="D35" s="13">
        <f>COUNTIF($C$2:$C$801,C35)</f>
        <v>1</v>
      </c>
      <c r="E35" s="10" t="s">
        <v>256</v>
      </c>
      <c r="F35" s="4" t="s">
        <v>737</v>
      </c>
      <c r="G35" s="31" t="s">
        <v>5</v>
      </c>
      <c r="H35" s="31" t="s">
        <v>965</v>
      </c>
      <c r="I35" s="10" t="s">
        <v>981</v>
      </c>
    </row>
    <row r="36" spans="1:12" s="2" customFormat="1" ht="23" customHeight="1" x14ac:dyDescent="0.2">
      <c r="A36" s="4" t="s">
        <v>28</v>
      </c>
      <c r="B36" s="6" t="s">
        <v>542</v>
      </c>
      <c r="C36" s="35" t="str">
        <f>SUBSTITUTE(REPLACE(REPLACE(B36,1,IFERROR(FIND("//",B36,1)+1,0),"")&amp;"/",FIND("/",REPLACE(B36,1,IFERROR(FIND("//",B36,1)+1,0),"")&amp;"/",1),LEN(B36),""),"www.","",1)</f>
        <v>architonic.com</v>
      </c>
      <c r="D36" s="13">
        <f>COUNTIF($C$2:$C$801,C36)</f>
        <v>1</v>
      </c>
      <c r="E36" s="10" t="s">
        <v>543</v>
      </c>
      <c r="F36" s="4" t="s">
        <v>737</v>
      </c>
      <c r="G36" s="31" t="s">
        <v>4</v>
      </c>
      <c r="H36" s="31" t="s">
        <v>965</v>
      </c>
      <c r="I36" s="10" t="s">
        <v>977</v>
      </c>
    </row>
    <row r="37" spans="1:12" s="2" customFormat="1" ht="23" customHeight="1" x14ac:dyDescent="0.2">
      <c r="A37" s="4" t="s">
        <v>28</v>
      </c>
      <c r="B37" s="6" t="s">
        <v>814</v>
      </c>
      <c r="C37" s="13" t="str">
        <f>SUBSTITUTE(REPLACE(REPLACE(B37,1,IFERROR(FIND("//",B37,1)+1,0),"")&amp;"/",FIND("/",REPLACE(B37,1,IFERROR(FIND("//",B37,1)+1,0),"")&amp;"/",1),LEN(B37),""),"www.","",1)</f>
        <v>archiv.innozent-owl.de</v>
      </c>
      <c r="D37" s="13">
        <f>COUNTIF($C$2:$C$801,C37)</f>
        <v>1</v>
      </c>
      <c r="E37" s="10" t="s">
        <v>250</v>
      </c>
      <c r="F37" s="4" t="s">
        <v>737</v>
      </c>
      <c r="G37" s="31" t="s">
        <v>4</v>
      </c>
      <c r="H37" s="31" t="s">
        <v>965</v>
      </c>
      <c r="I37" s="10" t="s">
        <v>977</v>
      </c>
    </row>
    <row r="38" spans="1:12" s="2" customFormat="1" ht="23" customHeight="1" x14ac:dyDescent="0.2">
      <c r="A38" s="4" t="s">
        <v>28</v>
      </c>
      <c r="B38" s="6" t="s">
        <v>868</v>
      </c>
      <c r="C38" s="13" t="str">
        <f>SUBSTITUTE(REPLACE(REPLACE(B38,1,IFERROR(FIND("//",B38,1)+1,0),"")&amp;"/",FIND("/",REPLACE(B38,1,IFERROR(FIND("//",B38,1)+1,0),"")&amp;"/",1),LEN(B38),""),"www.","",1)</f>
        <v>arnoldchiarimalformation.org</v>
      </c>
      <c r="D38" s="13">
        <f>COUNTIF($C$2:$C$801,C38)</f>
        <v>1</v>
      </c>
      <c r="E38" s="10" t="s">
        <v>923</v>
      </c>
      <c r="F38" s="4" t="s">
        <v>730</v>
      </c>
      <c r="G38" s="31" t="s">
        <v>6</v>
      </c>
      <c r="H38" s="31" t="s">
        <v>964</v>
      </c>
      <c r="I38" s="10" t="s">
        <v>979</v>
      </c>
    </row>
    <row r="39" spans="1:12" s="2" customFormat="1" ht="23" customHeight="1" x14ac:dyDescent="0.2">
      <c r="A39" s="4" t="s">
        <v>28</v>
      </c>
      <c r="B39" s="6" t="s">
        <v>394</v>
      </c>
      <c r="C39" s="13" t="str">
        <f>SUBSTITUTE(REPLACE(REPLACE(B39,1,IFERROR(FIND("//",B39,1)+1,0),"")&amp;"/",FIND("/",REPLACE(B39,1,IFERROR(FIND("//",B39,1)+1,0),"")&amp;"/",1),LEN(B39),""),"www.","",1)</f>
        <v>assurepackers.com</v>
      </c>
      <c r="D39" s="13">
        <f>COUNTIF($C$2:$C$801,C39)</f>
        <v>1</v>
      </c>
      <c r="E39" s="10"/>
      <c r="F39" s="4" t="s">
        <v>730</v>
      </c>
      <c r="G39" s="31" t="s">
        <v>6</v>
      </c>
      <c r="H39" s="31" t="s">
        <v>967</v>
      </c>
      <c r="I39" s="10" t="s">
        <v>979</v>
      </c>
    </row>
    <row r="40" spans="1:12" s="2" customFormat="1" ht="23" customHeight="1" x14ac:dyDescent="0.2">
      <c r="A40" s="4" t="s">
        <v>28</v>
      </c>
      <c r="B40" s="6" t="s">
        <v>619</v>
      </c>
      <c r="C40" s="13" t="str">
        <f>SUBSTITUTE(REPLACE(REPLACE(B40,1,IFERROR(FIND("//",B40,1)+1,0),"")&amp;"/",FIND("/",REPLACE(B40,1,IFERROR(FIND("//",B40,1)+1,0),"")&amp;"/",1),LEN(B40),""),"www.","",1)</f>
        <v>audecibel.com</v>
      </c>
      <c r="D40" s="13">
        <f>COUNTIF($C$2:$C$801,C40)</f>
        <v>1</v>
      </c>
      <c r="E40" s="10" t="s">
        <v>568</v>
      </c>
      <c r="F40" s="4" t="s">
        <v>13</v>
      </c>
      <c r="G40" s="31" t="s">
        <v>4</v>
      </c>
      <c r="H40" s="31" t="s">
        <v>965</v>
      </c>
      <c r="I40" s="10" t="s">
        <v>977</v>
      </c>
    </row>
    <row r="41" spans="1:12" s="2" customFormat="1" ht="23" customHeight="1" x14ac:dyDescent="0.2">
      <c r="A41" s="4" t="s">
        <v>28</v>
      </c>
      <c r="B41" s="6" t="s">
        <v>59</v>
      </c>
      <c r="C41" s="13" t="str">
        <f>SUBSTITUTE(REPLACE(REPLACE(B41,1,IFERROR(FIND("//",B41,1)+1,0),"")&amp;"/",FIND("/",REPLACE(B41,1,IFERROR(FIND("//",B41,1)+1,0),"")&amp;"/",1),LEN(B41),""),"www.","",1)</f>
        <v>auf-deutschland.net</v>
      </c>
      <c r="D41" s="13">
        <f>COUNTIF($C$2:$C$801,C41)</f>
        <v>1</v>
      </c>
      <c r="E41" s="10" t="s">
        <v>249</v>
      </c>
      <c r="F41" s="4"/>
      <c r="G41" s="31" t="s">
        <v>5</v>
      </c>
      <c r="H41" s="31" t="s">
        <v>965</v>
      </c>
      <c r="I41" s="10" t="s">
        <v>981</v>
      </c>
    </row>
    <row r="42" spans="1:12" s="2" customFormat="1" ht="23" customHeight="1" x14ac:dyDescent="0.2">
      <c r="A42" s="4" t="s">
        <v>28</v>
      </c>
      <c r="B42" s="6" t="s">
        <v>318</v>
      </c>
      <c r="C42" s="13" t="str">
        <f>SUBSTITUTE(REPLACE(REPLACE(B42,1,IFERROR(FIND("//",B42,1)+1,0),"")&amp;"/",FIND("/",REPLACE(B42,1,IFERROR(FIND("//",B42,1)+1,0),"")&amp;"/",1),LEN(B42),""),"www.","",1)</f>
        <v>augenhoehe-film.de</v>
      </c>
      <c r="D42" s="13">
        <f>COUNTIF($C$2:$C$801,C42)</f>
        <v>1</v>
      </c>
      <c r="E42" s="10" t="s">
        <v>561</v>
      </c>
      <c r="F42" s="4" t="s">
        <v>729</v>
      </c>
      <c r="G42" s="31" t="s">
        <v>4</v>
      </c>
      <c r="H42" s="31" t="s">
        <v>965</v>
      </c>
      <c r="I42" s="10" t="s">
        <v>977</v>
      </c>
    </row>
    <row r="43" spans="1:12" s="2" customFormat="1" ht="23" customHeight="1" x14ac:dyDescent="0.2">
      <c r="A43" s="4" t="s">
        <v>28</v>
      </c>
      <c r="B43" s="6" t="s">
        <v>45</v>
      </c>
      <c r="C43" s="13" t="str">
        <f>SUBSTITUTE(REPLACE(REPLACE(B43,1,IFERROR(FIND("//",B43,1)+1,0),"")&amp;"/",FIND("/",REPLACE(B43,1,IFERROR(FIND("//",B43,1)+1,0),"")&amp;"/",1),LEN(B43),""),"www.","",1)</f>
        <v>augenhoehe-wege.de</v>
      </c>
      <c r="D43" s="13">
        <f>COUNTIF($C$2:$C$801,C43)</f>
        <v>1</v>
      </c>
      <c r="E43" s="10" t="s">
        <v>539</v>
      </c>
      <c r="F43" s="4"/>
      <c r="G43" s="31" t="s">
        <v>5</v>
      </c>
      <c r="H43" s="31" t="s">
        <v>965</v>
      </c>
      <c r="I43" s="10" t="s">
        <v>981</v>
      </c>
    </row>
    <row r="44" spans="1:12" s="2" customFormat="1" ht="23" customHeight="1" x14ac:dyDescent="0.2">
      <c r="A44" s="4" t="s">
        <v>28</v>
      </c>
      <c r="B44" s="6" t="s">
        <v>64</v>
      </c>
      <c r="C44" s="13" t="str">
        <f>SUBSTITUTE(REPLACE(REPLACE(B44,1,IFERROR(FIND("//",B44,1)+1,0),"")&amp;"/",FIND("/",REPLACE(B44,1,IFERROR(FIND("//",B44,1)+1,0),"")&amp;"/",1),LEN(B44),""),"www.","",1)</f>
        <v>ausstellerdaten.de</v>
      </c>
      <c r="D44" s="13">
        <f>COUNTIF($C$2:$C$801,C44)</f>
        <v>1</v>
      </c>
      <c r="E44" s="10" t="s">
        <v>237</v>
      </c>
      <c r="F44" s="4" t="s">
        <v>735</v>
      </c>
      <c r="G44" s="31" t="s">
        <v>4</v>
      </c>
      <c r="H44" s="31" t="s">
        <v>965</v>
      </c>
      <c r="I44" s="10" t="s">
        <v>977</v>
      </c>
    </row>
    <row r="45" spans="1:12" s="2" customFormat="1" ht="23" customHeight="1" x14ac:dyDescent="0.2">
      <c r="A45" s="4" t="s">
        <v>28</v>
      </c>
      <c r="B45" s="6" t="s">
        <v>163</v>
      </c>
      <c r="C45" s="13" t="str">
        <f>SUBSTITUTE(REPLACE(REPLACE(B45,1,IFERROR(FIND("//",B45,1)+1,0),"")&amp;"/",FIND("/",REPLACE(B45,1,IFERROR(FIND("//",B45,1)+1,0),"")&amp;"/",1),LEN(B45),""),"www.","",1)</f>
        <v>b-w-d.eu</v>
      </c>
      <c r="D45" s="13">
        <f>COUNTIF($C$2:$C$801,C45)</f>
        <v>1</v>
      </c>
      <c r="E45" s="10" t="s">
        <v>28</v>
      </c>
      <c r="F45" s="4"/>
      <c r="G45" s="31" t="s">
        <v>5</v>
      </c>
      <c r="H45" s="31" t="s">
        <v>965</v>
      </c>
      <c r="I45" s="10" t="s">
        <v>981</v>
      </c>
    </row>
    <row r="46" spans="1:12" s="2" customFormat="1" ht="23" customHeight="1" x14ac:dyDescent="0.2">
      <c r="A46" s="4" t="s">
        <v>28</v>
      </c>
      <c r="B46" s="6" t="s">
        <v>30</v>
      </c>
      <c r="C46" s="13" t="str">
        <f>SUBSTITUTE(REPLACE(REPLACE(B46,1,IFERROR(FIND("//",B46,1)+1,0),"")&amp;"/",FIND("/",REPLACE(B46,1,IFERROR(FIND("//",B46,1)+1,0),"")&amp;"/",1),LEN(B46),""),"www.","",1)</f>
        <v>b2b-katalog.de</v>
      </c>
      <c r="D46" s="13">
        <f>COUNTIF($C$2:$C$801,C46)</f>
        <v>2</v>
      </c>
      <c r="E46" s="10" t="s">
        <v>237</v>
      </c>
      <c r="F46" s="4" t="s">
        <v>25</v>
      </c>
      <c r="G46" s="31" t="s">
        <v>4</v>
      </c>
      <c r="H46" s="31" t="s">
        <v>965</v>
      </c>
      <c r="I46" s="10" t="s">
        <v>977</v>
      </c>
    </row>
    <row r="47" spans="1:12" s="2" customFormat="1" ht="23" customHeight="1" x14ac:dyDescent="0.2">
      <c r="A47" s="4" t="s">
        <v>28</v>
      </c>
      <c r="B47" s="6" t="s">
        <v>29</v>
      </c>
      <c r="C47" s="13" t="str">
        <f>SUBSTITUTE(REPLACE(REPLACE(B47,1,IFERROR(FIND("//",B47,1)+1,0),"")&amp;"/",FIND("/",REPLACE(B47,1,IFERROR(FIND("//",B47,1)+1,0),"")&amp;"/",1),LEN(B47),""),"www.","",1)</f>
        <v>b2b-katalog.de</v>
      </c>
      <c r="D47" s="13">
        <f>COUNTIF($C$2:$C$801,C47)</f>
        <v>2</v>
      </c>
      <c r="E47" s="10" t="s">
        <v>237</v>
      </c>
      <c r="F47" s="4" t="s">
        <v>25</v>
      </c>
      <c r="G47" s="31" t="s">
        <v>4</v>
      </c>
      <c r="H47" s="31" t="s">
        <v>965</v>
      </c>
      <c r="I47" s="10" t="s">
        <v>977</v>
      </c>
    </row>
    <row r="48" spans="1:12" s="2" customFormat="1" ht="23" customHeight="1" x14ac:dyDescent="0.2">
      <c r="A48" s="4" t="s">
        <v>28</v>
      </c>
      <c r="B48" s="6" t="s">
        <v>1010</v>
      </c>
      <c r="C48" s="13" t="str">
        <f>SUBSTITUTE(REPLACE(REPLACE(B48,1,IFERROR(FIND("//",B48,1)+1,0),"")&amp;"/",FIND("/",REPLACE(B48,1,IFERROR(FIND("//",B48,1)+1,0),"")&amp;"/",1),LEN(B48),""),"www.","",1)</f>
        <v>bad-oeynhausen.stadtbranchenbuch.com</v>
      </c>
      <c r="D48" s="13">
        <f>COUNTIF($C$2:$C$801,C48)</f>
        <v>1</v>
      </c>
      <c r="E48" s="10" t="s">
        <v>1070</v>
      </c>
      <c r="F48" s="4" t="s">
        <v>25</v>
      </c>
      <c r="G48" s="31" t="s">
        <v>4</v>
      </c>
      <c r="H48" s="31" t="s">
        <v>1084</v>
      </c>
      <c r="I48" s="10"/>
    </row>
    <row r="49" spans="1:9" s="2" customFormat="1" ht="23" customHeight="1" x14ac:dyDescent="0.2">
      <c r="A49" s="4" t="s">
        <v>28</v>
      </c>
      <c r="B49" s="6" t="s">
        <v>994</v>
      </c>
      <c r="C49" s="35" t="str">
        <f>SUBSTITUTE(REPLACE(REPLACE(B49,1,IFERROR(FIND("//",B49,1)+1,0),"")&amp;"/",FIND("/",REPLACE(B49,1,IFERROR(FIND("//",B49,1)+1,0),"")&amp;"/",1),LEN(B49),""),"www.","",1)</f>
        <v>bauemotion.de</v>
      </c>
      <c r="D49" s="13">
        <f>COUNTIF($C$2:$C$801,C49)</f>
        <v>1</v>
      </c>
      <c r="E49" s="10" t="s">
        <v>237</v>
      </c>
      <c r="F49" s="4" t="s">
        <v>737</v>
      </c>
      <c r="G49" s="31" t="s">
        <v>4</v>
      </c>
      <c r="H49" s="31" t="s">
        <v>1084</v>
      </c>
      <c r="I49" s="10"/>
    </row>
    <row r="50" spans="1:9" s="2" customFormat="1" ht="23" customHeight="1" x14ac:dyDescent="0.2">
      <c r="A50" s="4" t="s">
        <v>28</v>
      </c>
      <c r="B50" s="6" t="s">
        <v>774</v>
      </c>
      <c r="C50" s="13" t="str">
        <f>SUBSTITUTE(REPLACE(REPLACE(B50,1,IFERROR(FIND("//",B50,1)+1,0),"")&amp;"/",FIND("/",REPLACE(B50,1,IFERROR(FIND("//",B50,1)+1,0),"")&amp;"/",1),LEN(B50),""),"www.","",1)</f>
        <v>bauenwohnen.org</v>
      </c>
      <c r="D50" s="13">
        <f>COUNTIF($C$2:$C$801,C50)</f>
        <v>1</v>
      </c>
      <c r="E50" s="10" t="s">
        <v>903</v>
      </c>
      <c r="F50" s="4" t="s">
        <v>25</v>
      </c>
      <c r="G50" s="31" t="s">
        <v>4</v>
      </c>
      <c r="H50" s="31" t="s">
        <v>965</v>
      </c>
      <c r="I50" s="10" t="s">
        <v>977</v>
      </c>
    </row>
    <row r="51" spans="1:9" s="2" customFormat="1" ht="23" customHeight="1" x14ac:dyDescent="0.2">
      <c r="A51" s="4" t="s">
        <v>28</v>
      </c>
      <c r="B51" s="6" t="s">
        <v>932</v>
      </c>
      <c r="C51" s="13" t="str">
        <f>SUBSTITUTE(REPLACE(REPLACE(B51,1,IFERROR(FIND("//",B51,1)+1,0),"")&amp;"/",FIND("/",REPLACE(B51,1,IFERROR(FIND("//",B51,1)+1,0),"")&amp;"/",1),LEN(B51),""),"www.","",1)</f>
        <v>bauplanungen.de</v>
      </c>
      <c r="D51" s="13">
        <f>COUNTIF($C$2:$C$801,C51)</f>
        <v>1</v>
      </c>
      <c r="E51" s="10" t="s">
        <v>28</v>
      </c>
      <c r="F51" s="4" t="s">
        <v>25</v>
      </c>
      <c r="G51" s="31" t="s">
        <v>5</v>
      </c>
      <c r="H51" s="31" t="s">
        <v>965</v>
      </c>
      <c r="I51" s="10" t="s">
        <v>981</v>
      </c>
    </row>
    <row r="52" spans="1:9" s="2" customFormat="1" ht="23" customHeight="1" x14ac:dyDescent="0.2">
      <c r="A52" s="4" t="s">
        <v>28</v>
      </c>
      <c r="B52" s="6" t="s">
        <v>16</v>
      </c>
      <c r="C52" s="13" t="str">
        <f>SUBSTITUTE(REPLACE(REPLACE(B52,1,IFERROR(FIND("//",B52,1)+1,0),"")&amp;"/",FIND("/",REPLACE(B52,1,IFERROR(FIND("//",B52,1)+1,0),"")&amp;"/",1),LEN(B52),""),"www.","",1)</f>
        <v>bc.ag</v>
      </c>
      <c r="D52" s="13">
        <f>COUNTIF($C$2:$C$801,C52)</f>
        <v>1</v>
      </c>
      <c r="E52" s="10" t="s">
        <v>28</v>
      </c>
      <c r="F52" s="4" t="s">
        <v>729</v>
      </c>
      <c r="G52" s="31" t="s">
        <v>5</v>
      </c>
      <c r="H52" s="31" t="s">
        <v>965</v>
      </c>
      <c r="I52" s="10" t="s">
        <v>981</v>
      </c>
    </row>
    <row r="53" spans="1:9" s="2" customFormat="1" ht="23" customHeight="1" x14ac:dyDescent="0.2">
      <c r="A53" s="4" t="s">
        <v>28</v>
      </c>
      <c r="B53" s="6" t="s">
        <v>588</v>
      </c>
      <c r="C53" s="13" t="str">
        <f>SUBSTITUTE(REPLACE(REPLACE(B53,1,IFERROR(FIND("//",B53,1)+1,0),"")&amp;"/",FIND("/",REPLACE(B53,1,IFERROR(FIND("//",B53,1)+1,0),"")&amp;"/",1),LEN(B53),""),"www.","",1)</f>
        <v>beliebtestewebseite.de</v>
      </c>
      <c r="D53" s="13">
        <f>COUNTIF($C$2:$C$801,C53)</f>
        <v>1</v>
      </c>
      <c r="E53" s="10" t="s">
        <v>589</v>
      </c>
      <c r="F53" s="4" t="s">
        <v>25</v>
      </c>
      <c r="G53" s="31" t="s">
        <v>4</v>
      </c>
      <c r="H53" s="31" t="s">
        <v>965</v>
      </c>
      <c r="I53" s="10" t="s">
        <v>977</v>
      </c>
    </row>
    <row r="54" spans="1:9" s="2" customFormat="1" ht="23" customHeight="1" x14ac:dyDescent="0.2">
      <c r="A54" s="4" t="s">
        <v>28</v>
      </c>
      <c r="B54" s="6" t="s">
        <v>76</v>
      </c>
      <c r="C54" s="13" t="str">
        <f>SUBSTITUTE(REPLACE(REPLACE(B54,1,IFERROR(FIND("//",B54,1)+1,0),"")&amp;"/",FIND("/",REPLACE(B54,1,IFERROR(FIND("//",B54,1)+1,0),"")&amp;"/",1),LEN(B54),""),"www.","",1)</f>
        <v>bents.de</v>
      </c>
      <c r="D54" s="13">
        <f>COUNTIF($C$2:$C$801,C54)</f>
        <v>1</v>
      </c>
      <c r="E54" s="10" t="s">
        <v>27</v>
      </c>
      <c r="F54" s="4" t="s">
        <v>729</v>
      </c>
      <c r="G54" s="31" t="s">
        <v>5</v>
      </c>
      <c r="H54" s="31" t="s">
        <v>965</v>
      </c>
      <c r="I54" s="10" t="s">
        <v>981</v>
      </c>
    </row>
    <row r="55" spans="1:9" s="2" customFormat="1" ht="23" customHeight="1" x14ac:dyDescent="0.2">
      <c r="A55" s="4" t="s">
        <v>28</v>
      </c>
      <c r="B55" s="6" t="s">
        <v>600</v>
      </c>
      <c r="C55" s="13" t="str">
        <f>SUBSTITUTE(REPLACE(REPLACE(B55,1,IFERROR(FIND("//",B55,1)+1,0),"")&amp;"/",FIND("/",REPLACE(B55,1,IFERROR(FIND("//",B55,1)+1,0),"")&amp;"/",1),LEN(B55),""),"www.","",1)</f>
        <v>bergmann-buero.de</v>
      </c>
      <c r="D55" s="13">
        <f>COUNTIF($C$2:$C$801,C55)</f>
        <v>1</v>
      </c>
      <c r="E55" s="10" t="s">
        <v>28</v>
      </c>
      <c r="F55" s="4" t="s">
        <v>729</v>
      </c>
      <c r="G55" s="31" t="s">
        <v>4</v>
      </c>
      <c r="H55" s="31" t="s">
        <v>965</v>
      </c>
      <c r="I55" s="10" t="s">
        <v>977</v>
      </c>
    </row>
    <row r="56" spans="1:9" s="2" customFormat="1" ht="23" customHeight="1" x14ac:dyDescent="0.2">
      <c r="A56" s="4" t="s">
        <v>28</v>
      </c>
      <c r="B56" s="6" t="s">
        <v>395</v>
      </c>
      <c r="C56" s="13" t="str">
        <f>SUBSTITUTE(REPLACE(REPLACE(B56,1,IFERROR(FIND("//",B56,1)+1,0),"")&amp;"/",FIND("/",REPLACE(B56,1,IFERROR(FIND("//",B56,1)+1,0),"")&amp;"/",1),LEN(B56),""),"www.","",1)</f>
        <v>berikstore.com</v>
      </c>
      <c r="D56" s="13">
        <f>COUNTIF($C$2:$C$801,C56)</f>
        <v>1</v>
      </c>
      <c r="E56" s="10" t="s">
        <v>389</v>
      </c>
      <c r="F56" s="4"/>
      <c r="G56" s="31" t="s">
        <v>5</v>
      </c>
      <c r="H56" s="31" t="s">
        <v>965</v>
      </c>
      <c r="I56" s="10" t="s">
        <v>981</v>
      </c>
    </row>
    <row r="57" spans="1:9" s="2" customFormat="1" ht="23" customHeight="1" x14ac:dyDescent="0.2">
      <c r="A57" s="4" t="s">
        <v>28</v>
      </c>
      <c r="B57" s="6" t="s">
        <v>1006</v>
      </c>
      <c r="C57" s="13" t="str">
        <f>SUBSTITUTE(REPLACE(REPLACE(B57,1,IFERROR(FIND("//",B57,1)+1,0),"")&amp;"/",FIND("/",REPLACE(B57,1,IFERROR(FIND("//",B57,1)+1,0),"")&amp;"/",1),LEN(B57),""),"www.","",1)</f>
        <v>bestenlokale.de</v>
      </c>
      <c r="D57" s="13">
        <f>COUNTIF($C$2:$C$801,C57)</f>
        <v>1</v>
      </c>
      <c r="E57" s="10" t="s">
        <v>237</v>
      </c>
      <c r="F57" s="4" t="s">
        <v>25</v>
      </c>
      <c r="G57" s="31" t="s">
        <v>4</v>
      </c>
      <c r="H57" s="31" t="s">
        <v>1084</v>
      </c>
      <c r="I57" s="10"/>
    </row>
    <row r="58" spans="1:9" s="2" customFormat="1" ht="23" customHeight="1" x14ac:dyDescent="0.2">
      <c r="A58" s="4" t="s">
        <v>28</v>
      </c>
      <c r="B58" s="6" t="s">
        <v>396</v>
      </c>
      <c r="C58" s="13" t="str">
        <f>SUBSTITUTE(REPLACE(REPLACE(B58,1,IFERROR(FIND("//",B58,1)+1,0),"")&amp;"/",FIND("/",REPLACE(B58,1,IFERROR(FIND("//",B58,1)+1,0),"")&amp;"/",1),LEN(B58),""),"www.","",1)</f>
        <v>bewegtes-buero.com</v>
      </c>
      <c r="D58" s="13">
        <f>COUNTIF($C$2:$C$801,C58)</f>
        <v>1</v>
      </c>
      <c r="E58" s="10" t="s">
        <v>237</v>
      </c>
      <c r="F58" s="4"/>
      <c r="G58" s="31" t="s">
        <v>5</v>
      </c>
      <c r="H58" s="31" t="s">
        <v>965</v>
      </c>
      <c r="I58" s="10" t="s">
        <v>981</v>
      </c>
    </row>
    <row r="59" spans="1:9" s="2" customFormat="1" ht="23" customHeight="1" x14ac:dyDescent="0.2">
      <c r="A59" s="4" t="s">
        <v>28</v>
      </c>
      <c r="B59" s="6" t="s">
        <v>464</v>
      </c>
      <c r="C59" s="13" t="str">
        <f>SUBSTITUTE(REPLACE(REPLACE(B59,1,IFERROR(FIND("//",B59,1)+1,0),"")&amp;"/",FIND("/",REPLACE(B59,1,IFERROR(FIND("//",B59,1)+1,0),"")&amp;"/",1),LEN(B59),""),"www.","",1)</f>
        <v>bewegtesbuero.com</v>
      </c>
      <c r="D59" s="13">
        <f>COUNTIF($C$2:$C$801,C59)</f>
        <v>1</v>
      </c>
      <c r="E59" s="10" t="s">
        <v>237</v>
      </c>
      <c r="F59" s="4"/>
      <c r="G59" s="31" t="s">
        <v>5</v>
      </c>
      <c r="H59" s="31" t="s">
        <v>965</v>
      </c>
      <c r="I59" s="10" t="s">
        <v>981</v>
      </c>
    </row>
    <row r="60" spans="1:9" s="2" customFormat="1" ht="23" customHeight="1" x14ac:dyDescent="0.2">
      <c r="A60" s="4" t="s">
        <v>28</v>
      </c>
      <c r="B60" s="6" t="s">
        <v>949</v>
      </c>
      <c r="C60" s="13" t="str">
        <f>SUBSTITUTE(REPLACE(REPLACE(B60,1,IFERROR(FIND("//",B60,1)+1,0),"")&amp;"/",FIND("/",REPLACE(B60,1,IFERROR(FIND("//",B60,1)+1,0),"")&amp;"/",1),LEN(B60),""),"www.","",1)</f>
        <v>bewegtesbuero.de</v>
      </c>
      <c r="D60" s="13">
        <f>COUNTIF($C$2:$C$801,C60)</f>
        <v>1</v>
      </c>
      <c r="E60" s="10" t="s">
        <v>237</v>
      </c>
      <c r="F60" s="4" t="s">
        <v>729</v>
      </c>
      <c r="G60" s="31" t="s">
        <v>5</v>
      </c>
      <c r="H60" s="31" t="s">
        <v>965</v>
      </c>
      <c r="I60" s="10" t="s">
        <v>981</v>
      </c>
    </row>
    <row r="61" spans="1:9" s="2" customFormat="1" ht="23" customHeight="1" x14ac:dyDescent="0.2">
      <c r="A61" s="4" t="s">
        <v>28</v>
      </c>
      <c r="B61" s="6" t="s">
        <v>54</v>
      </c>
      <c r="C61" s="13" t="str">
        <f>SUBSTITUTE(REPLACE(REPLACE(B61,1,IFERROR(FIND("//",B61,1)+1,0),"")&amp;"/",FIND("/",REPLACE(B61,1,IFERROR(FIND("//",B61,1)+1,0),"")&amp;"/",1),LEN(B61),""),"www.","",1)</f>
        <v>bfw-wst.com</v>
      </c>
      <c r="D61" s="13">
        <f>COUNTIF($C$2:$C$801,C61)</f>
        <v>1</v>
      </c>
      <c r="E61" s="10" t="s">
        <v>354</v>
      </c>
      <c r="F61" s="4" t="s">
        <v>729</v>
      </c>
      <c r="G61" s="31" t="s">
        <v>4</v>
      </c>
      <c r="H61" s="31" t="s">
        <v>965</v>
      </c>
      <c r="I61" s="10" t="s">
        <v>977</v>
      </c>
    </row>
    <row r="62" spans="1:9" s="2" customFormat="1" ht="23" customHeight="1" x14ac:dyDescent="0.2">
      <c r="A62" s="4" t="s">
        <v>28</v>
      </c>
      <c r="B62" s="6" t="s">
        <v>119</v>
      </c>
      <c r="C62" s="13" t="str">
        <f>SUBSTITUTE(REPLACE(REPLACE(B62,1,IFERROR(FIND("//",B62,1)+1,0),"")&amp;"/",FIND("/",REPLACE(B62,1,IFERROR(FIND("//",B62,1)+1,0),"")&amp;"/",1),LEN(B62),""),"www.","",1)</f>
        <v>bfw-wst.de</v>
      </c>
      <c r="D62" s="13">
        <f>COUNTIF($C$2:$C$801,C62)</f>
        <v>1</v>
      </c>
      <c r="E62" s="10" t="s">
        <v>14</v>
      </c>
      <c r="F62" s="4" t="s">
        <v>729</v>
      </c>
      <c r="G62" s="31" t="s">
        <v>4</v>
      </c>
      <c r="H62" s="31" t="s">
        <v>965</v>
      </c>
      <c r="I62" s="10" t="s">
        <v>977</v>
      </c>
    </row>
    <row r="63" spans="1:9" s="2" customFormat="1" ht="23" customHeight="1" x14ac:dyDescent="0.2">
      <c r="A63" s="4" t="s">
        <v>28</v>
      </c>
      <c r="B63" s="6" t="s">
        <v>1063</v>
      </c>
      <c r="C63" s="13" t="str">
        <f>SUBSTITUTE(REPLACE(REPLACE(B63,1,IFERROR(FIND("//",B63,1)+1,0),"")&amp;"/",FIND("/",REPLACE(B63,1,IFERROR(FIND("//",B63,1)+1,0),"")&amp;"/",1),LEN(B63),""),"www.","",1)</f>
        <v>biboxs.com</v>
      </c>
      <c r="D63" s="13">
        <f>COUNTIF($C$2:$C$801,C63)</f>
        <v>1</v>
      </c>
      <c r="E63" s="10" t="s">
        <v>1083</v>
      </c>
      <c r="F63" s="4" t="s">
        <v>730</v>
      </c>
      <c r="G63" s="31" t="s">
        <v>5</v>
      </c>
      <c r="H63" s="31" t="s">
        <v>1084</v>
      </c>
      <c r="I63" s="10"/>
    </row>
    <row r="64" spans="1:9" s="2" customFormat="1" ht="23" customHeight="1" x14ac:dyDescent="0.2">
      <c r="A64" s="4" t="s">
        <v>28</v>
      </c>
      <c r="B64" s="6" t="s">
        <v>867</v>
      </c>
      <c r="C64" s="13" t="str">
        <f>SUBSTITUTE(REPLACE(REPLACE(B64,1,IFERROR(FIND("//",B64,1)+1,0),"")&amp;"/",FIND("/",REPLACE(B64,1,IFERROR(FIND("//",B64,1)+1,0),"")&amp;"/",1),LEN(B64),""),"www.","",1)</f>
        <v>biocassavaplus.org</v>
      </c>
      <c r="D64" s="13">
        <f>COUNTIF($C$2:$C$801,C64)</f>
        <v>1</v>
      </c>
      <c r="E64" s="10"/>
      <c r="F64" s="4" t="s">
        <v>730</v>
      </c>
      <c r="G64" s="31" t="s">
        <v>6</v>
      </c>
      <c r="H64" s="31" t="s">
        <v>967</v>
      </c>
      <c r="I64" s="10" t="s">
        <v>979</v>
      </c>
    </row>
    <row r="65" spans="1:9" s="2" customFormat="1" ht="23" customHeight="1" x14ac:dyDescent="0.2">
      <c r="A65" s="4" t="s">
        <v>28</v>
      </c>
      <c r="B65" s="6" t="s">
        <v>86</v>
      </c>
      <c r="C65" s="13" t="str">
        <f>SUBSTITUTE(REPLACE(REPLACE(B65,1,IFERROR(FIND("//",B65,1)+1,0),"")&amp;"/",FIND("/",REPLACE(B65,1,IFERROR(FIND("//",B65,1)+1,0),"")&amp;"/",1),LEN(B65),""),"www.","",1)</f>
        <v>bit-technik-ohg.de</v>
      </c>
      <c r="D65" s="13">
        <f>COUNTIF($C$2:$C$801,C65)</f>
        <v>1</v>
      </c>
      <c r="E65" s="10" t="s">
        <v>14</v>
      </c>
      <c r="F65" s="4" t="s">
        <v>729</v>
      </c>
      <c r="G65" s="31" t="s">
        <v>5</v>
      </c>
      <c r="H65" s="31" t="s">
        <v>965</v>
      </c>
      <c r="I65" s="10" t="s">
        <v>981</v>
      </c>
    </row>
    <row r="66" spans="1:9" s="2" customFormat="1" ht="23" customHeight="1" x14ac:dyDescent="0.2">
      <c r="A66" s="4" t="s">
        <v>28</v>
      </c>
      <c r="B66" s="6" t="s">
        <v>85</v>
      </c>
      <c r="C66" s="13" t="str">
        <f>SUBSTITUTE(REPLACE(REPLACE(B66,1,IFERROR(FIND("//",B66,1)+1,0),"")&amp;"/",FIND("/",REPLACE(B66,1,IFERROR(FIND("//",B66,1)+1,0),"")&amp;"/",1),LEN(B66),""),"www.","",1)</f>
        <v>bit-technik.com</v>
      </c>
      <c r="D66" s="13">
        <f>COUNTIF($C$2:$C$801,C66)</f>
        <v>1</v>
      </c>
      <c r="E66" s="10" t="s">
        <v>14</v>
      </c>
      <c r="F66" s="4" t="s">
        <v>729</v>
      </c>
      <c r="G66" s="31" t="s">
        <v>5</v>
      </c>
      <c r="H66" s="31" t="s">
        <v>965</v>
      </c>
      <c r="I66" s="10" t="s">
        <v>981</v>
      </c>
    </row>
    <row r="67" spans="1:9" s="2" customFormat="1" ht="23" customHeight="1" x14ac:dyDescent="0.2">
      <c r="A67" s="4" t="s">
        <v>28</v>
      </c>
      <c r="B67" s="6" t="s">
        <v>946</v>
      </c>
      <c r="C67" s="13" t="str">
        <f>SUBSTITUTE(REPLACE(REPLACE(B67,1,IFERROR(FIND("//",B67,1)+1,0),"")&amp;"/",FIND("/",REPLACE(B67,1,IFERROR(FIND("//",B67,1)+1,0),"")&amp;"/",1),LEN(B67),""),"www.","",1)</f>
        <v>bit-technik.de</v>
      </c>
      <c r="D67" s="13">
        <f>COUNTIF($C$2:$C$801,C67)</f>
        <v>1</v>
      </c>
      <c r="E67" s="10" t="s">
        <v>14</v>
      </c>
      <c r="F67" s="4" t="s">
        <v>729</v>
      </c>
      <c r="G67" s="31" t="s">
        <v>5</v>
      </c>
      <c r="H67" s="31" t="s">
        <v>965</v>
      </c>
      <c r="I67" s="10" t="s">
        <v>981</v>
      </c>
    </row>
    <row r="68" spans="1:9" s="2" customFormat="1" ht="23" customHeight="1" x14ac:dyDescent="0.2">
      <c r="A68" s="4" t="s">
        <v>28</v>
      </c>
      <c r="B68" s="6" t="s">
        <v>546</v>
      </c>
      <c r="C68" s="13" t="str">
        <f>SUBSTITUTE(REPLACE(REPLACE(B68,1,IFERROR(FIND("//",B68,1)+1,0),"")&amp;"/",FIND("/",REPLACE(B68,1,IFERROR(FIND("//",B68,1)+1,0),"")&amp;"/",1),LEN(B68),""),"www.","",1)</f>
        <v>bit.ly</v>
      </c>
      <c r="D68" s="13">
        <f>COUNTIF($C$2:$C$801,C68)</f>
        <v>1</v>
      </c>
      <c r="E68" s="10"/>
      <c r="F68" s="4"/>
      <c r="G68" s="31" t="s">
        <v>4</v>
      </c>
      <c r="H68" s="31" t="s">
        <v>965</v>
      </c>
      <c r="I68" s="10" t="s">
        <v>977</v>
      </c>
    </row>
    <row r="69" spans="1:9" s="2" customFormat="1" ht="23" customHeight="1" x14ac:dyDescent="0.2">
      <c r="A69" s="4" t="s">
        <v>28</v>
      </c>
      <c r="B69" s="6" t="s">
        <v>138</v>
      </c>
      <c r="C69" s="13" t="str">
        <f>SUBSTITUTE(REPLACE(REPLACE(B69,1,IFERROR(FIND("//",B69,1)+1,0),"")&amp;"/",FIND("/",REPLACE(B69,1,IFERROR(FIND("//",B69,1)+1,0),"")&amp;"/",1),LEN(B69),""),"www.","",1)</f>
        <v>bke-fislage.de</v>
      </c>
      <c r="D69" s="13">
        <f>COUNTIF($C$2:$C$801,C69)</f>
        <v>1</v>
      </c>
      <c r="E69" s="10" t="s">
        <v>707</v>
      </c>
      <c r="F69" s="4"/>
      <c r="G69" s="31" t="s">
        <v>5</v>
      </c>
      <c r="H69" s="31" t="s">
        <v>965</v>
      </c>
      <c r="I69" s="10" t="s">
        <v>981</v>
      </c>
    </row>
    <row r="70" spans="1:9" s="2" customFormat="1" ht="23" customHeight="1" x14ac:dyDescent="0.2">
      <c r="A70" s="4" t="s">
        <v>28</v>
      </c>
      <c r="B70" s="6" t="s">
        <v>1004</v>
      </c>
      <c r="C70" s="13" t="str">
        <f>SUBSTITUTE(REPLACE(REPLACE(B70,1,IFERROR(FIND("//",B70,1)+1,0),"")&amp;"/",FIND("/",REPLACE(B70,1,IFERROR(FIND("//",B70,1)+1,0),"")&amp;"/",1),LEN(B70),""),"www.","",1)</f>
        <v>blendel-gmbh.de</v>
      </c>
      <c r="D70" s="13">
        <f>COUNTIF($C$2:$C$801,C70)</f>
        <v>1</v>
      </c>
      <c r="E70" s="10" t="s">
        <v>1068</v>
      </c>
      <c r="F70" s="4" t="s">
        <v>729</v>
      </c>
      <c r="G70" s="31" t="s">
        <v>4</v>
      </c>
      <c r="H70" s="31" t="s">
        <v>1084</v>
      </c>
      <c r="I70" s="10"/>
    </row>
    <row r="71" spans="1:9" s="2" customFormat="1" ht="23" customHeight="1" x14ac:dyDescent="0.2">
      <c r="A71" s="4" t="s">
        <v>28</v>
      </c>
      <c r="B71" s="6" t="s">
        <v>1017</v>
      </c>
      <c r="C71" s="13" t="str">
        <f>SUBSTITUTE(REPLACE(REPLACE(B71,1,IFERROR(FIND("//",B71,1)+1,0),"")&amp;"/",FIND("/",REPLACE(B71,1,IFERROR(FIND("//",B71,1)+1,0),"")&amp;"/",1),LEN(B71),""),"www.","",1)</f>
        <v>blickpunktdeutschland.de</v>
      </c>
      <c r="D71" s="13">
        <f>COUNTIF($C$2:$C$801,C71)</f>
        <v>1</v>
      </c>
      <c r="E71" s="10" t="s">
        <v>275</v>
      </c>
      <c r="F71" s="4" t="s">
        <v>25</v>
      </c>
      <c r="G71" s="31" t="s">
        <v>4</v>
      </c>
      <c r="H71" s="31" t="s">
        <v>1084</v>
      </c>
      <c r="I71" s="10"/>
    </row>
    <row r="72" spans="1:9" s="2" customFormat="1" ht="23" customHeight="1" x14ac:dyDescent="0.2">
      <c r="A72" s="4" t="s">
        <v>28</v>
      </c>
      <c r="B72" s="6" t="s">
        <v>1062</v>
      </c>
      <c r="C72" s="13" t="str">
        <f>SUBSTITUTE(REPLACE(REPLACE(B72,1,IFERROR(FIND("//",B72,1)+1,0),"")&amp;"/",FIND("/",REPLACE(B72,1,IFERROR(FIND("//",B72,1)+1,0),"")&amp;"/",1),LEN(B72),""),"www.","",1)</f>
        <v>bobby-charetteaj3514.firebaseapp.com</v>
      </c>
      <c r="D72" s="13">
        <f>COUNTIF($C$2:$C$801,C72)</f>
        <v>1</v>
      </c>
      <c r="E72" s="10" t="s">
        <v>922</v>
      </c>
      <c r="F72" s="4" t="s">
        <v>730</v>
      </c>
      <c r="G72" s="31" t="s">
        <v>6</v>
      </c>
      <c r="H72" s="31" t="s">
        <v>1084</v>
      </c>
      <c r="I72" s="10"/>
    </row>
    <row r="73" spans="1:9" s="2" customFormat="1" ht="23" customHeight="1" x14ac:dyDescent="0.2">
      <c r="A73" s="4" t="s">
        <v>28</v>
      </c>
      <c r="B73" s="6" t="s">
        <v>149</v>
      </c>
      <c r="C73" s="13" t="str">
        <f>SUBSTITUTE(REPLACE(REPLACE(B73,1,IFERROR(FIND("//",B73,1)+1,0),"")&amp;"/",FIND("/",REPLACE(B73,1,IFERROR(FIND("//",B73,1)+1,0),"")&amp;"/",1),LEN(B73),""),"www.","",1)</f>
        <v>boesel-buero.de</v>
      </c>
      <c r="D73" s="13">
        <f>COUNTIF($C$2:$C$801,C73)</f>
        <v>1</v>
      </c>
      <c r="E73" s="10" t="s">
        <v>709</v>
      </c>
      <c r="F73" s="4"/>
      <c r="G73" s="31" t="s">
        <v>5</v>
      </c>
      <c r="H73" s="31" t="s">
        <v>965</v>
      </c>
      <c r="I73" s="10" t="s">
        <v>981</v>
      </c>
    </row>
    <row r="74" spans="1:9" s="2" customFormat="1" ht="23" customHeight="1" x14ac:dyDescent="0.2">
      <c r="A74" s="4" t="s">
        <v>28</v>
      </c>
      <c r="B74" s="6" t="s">
        <v>284</v>
      </c>
      <c r="C74" s="13" t="str">
        <f>SUBSTITUTE(REPLACE(REPLACE(B74,1,IFERROR(FIND("//",B74,1)+1,0),"")&amp;"/",FIND("/",REPLACE(B74,1,IFERROR(FIND("//",B74,1)+1,0),"")&amp;"/",1),LEN(B74),""),"www.","",1)</f>
        <v>bossticker.de</v>
      </c>
      <c r="D74" s="13">
        <f>COUNTIF($C$2:$C$801,C74)</f>
        <v>1</v>
      </c>
      <c r="E74" s="10" t="s">
        <v>237</v>
      </c>
      <c r="F74" s="4" t="s">
        <v>732</v>
      </c>
      <c r="G74" s="31" t="s">
        <v>4</v>
      </c>
      <c r="H74" s="31" t="s">
        <v>965</v>
      </c>
      <c r="I74" s="10" t="s">
        <v>977</v>
      </c>
    </row>
    <row r="75" spans="1:9" s="2" customFormat="1" ht="23" customHeight="1" x14ac:dyDescent="0.2">
      <c r="A75" s="4" t="s">
        <v>28</v>
      </c>
      <c r="B75" s="6" t="s">
        <v>1061</v>
      </c>
      <c r="C75" s="13" t="str">
        <f>SUBSTITUTE(REPLACE(REPLACE(B75,1,IFERROR(FIND("//",B75,1)+1,0),"")&amp;"/",FIND("/",REPLACE(B75,1,IFERROR(FIND("//",B75,1)+1,0),"")&amp;"/",1),LEN(B75),""),"www.","",1)</f>
        <v>brackwede.de</v>
      </c>
      <c r="D75" s="13">
        <f>COUNTIF($C$2:$C$801,C75)</f>
        <v>1</v>
      </c>
      <c r="E75" s="10" t="s">
        <v>237</v>
      </c>
      <c r="F75" s="4" t="s">
        <v>25</v>
      </c>
      <c r="G75" s="31" t="s">
        <v>4</v>
      </c>
      <c r="H75" s="31" t="s">
        <v>1084</v>
      </c>
      <c r="I75" s="10"/>
    </row>
    <row r="76" spans="1:9" s="2" customFormat="1" ht="23" customHeight="1" x14ac:dyDescent="0.2">
      <c r="A76" s="4" t="s">
        <v>28</v>
      </c>
      <c r="B76" s="6" t="s">
        <v>70</v>
      </c>
      <c r="C76" s="13" t="str">
        <f>SUBSTITUTE(REPLACE(REPLACE(B76,1,IFERROR(FIND("//",B76,1)+1,0),"")&amp;"/",FIND("/",REPLACE(B76,1,IFERROR(FIND("//",B76,1)+1,0),"")&amp;"/",1),LEN(B76),""),"www.","",1)</f>
        <v>brand-feuer.de</v>
      </c>
      <c r="D76" s="13">
        <f>COUNTIF($C$2:$C$801,C76)</f>
        <v>1</v>
      </c>
      <c r="E76" s="10" t="s">
        <v>690</v>
      </c>
      <c r="F76" s="4" t="s">
        <v>732</v>
      </c>
      <c r="G76" s="31" t="s">
        <v>4</v>
      </c>
      <c r="H76" s="31" t="s">
        <v>965</v>
      </c>
      <c r="I76" s="10" t="s">
        <v>977</v>
      </c>
    </row>
    <row r="77" spans="1:9" s="2" customFormat="1" ht="23" customHeight="1" x14ac:dyDescent="0.2">
      <c r="A77" s="4" t="s">
        <v>28</v>
      </c>
      <c r="B77" s="6" t="s">
        <v>465</v>
      </c>
      <c r="C77" s="13" t="str">
        <f>SUBSTITUTE(REPLACE(REPLACE(B77,1,IFERROR(FIND("//",B77,1)+1,0),"")&amp;"/",FIND("/",REPLACE(B77,1,IFERROR(FIND("//",B77,1)+1,0),"")&amp;"/",1),LEN(B77),""),"www.","",1)</f>
        <v>brdesign.de</v>
      </c>
      <c r="D77" s="13">
        <f>COUNTIF($C$2:$C$801,C77)</f>
        <v>1</v>
      </c>
      <c r="E77" s="10" t="s">
        <v>27</v>
      </c>
      <c r="F77" s="4" t="s">
        <v>729</v>
      </c>
      <c r="G77" s="31" t="s">
        <v>4</v>
      </c>
      <c r="H77" s="31" t="s">
        <v>965</v>
      </c>
      <c r="I77" s="10" t="s">
        <v>977</v>
      </c>
    </row>
    <row r="78" spans="1:9" s="2" customFormat="1" ht="23" customHeight="1" x14ac:dyDescent="0.2">
      <c r="A78" s="4" t="s">
        <v>28</v>
      </c>
      <c r="B78" s="6" t="s">
        <v>843</v>
      </c>
      <c r="C78" s="13" t="str">
        <f>SUBSTITUTE(REPLACE(REPLACE(B78,1,IFERROR(FIND("//",B78,1)+1,0),"")&amp;"/",FIND("/",REPLACE(B78,1,IFERROR(FIND("//",B78,1)+1,0),"")&amp;"/",1),LEN(B78),""),"www.","",1)</f>
        <v>breakingon.com</v>
      </c>
      <c r="D78" s="13">
        <f>COUNTIF($C$2:$C$801,C78)</f>
        <v>1</v>
      </c>
      <c r="E78" s="10"/>
      <c r="F78" s="4" t="s">
        <v>730</v>
      </c>
      <c r="G78" s="31" t="s">
        <v>6</v>
      </c>
      <c r="H78" s="31" t="s">
        <v>967</v>
      </c>
      <c r="I78" s="10" t="s">
        <v>979</v>
      </c>
    </row>
    <row r="79" spans="1:9" s="2" customFormat="1" ht="23" customHeight="1" x14ac:dyDescent="0.2">
      <c r="A79" s="4" t="s">
        <v>28</v>
      </c>
      <c r="B79" s="6" t="s">
        <v>128</v>
      </c>
      <c r="C79" s="13" t="str">
        <f>SUBSTITUTE(REPLACE(REPLACE(B79,1,IFERROR(FIND("//",B79,1)+1,0),"")&amp;"/",FIND("/",REPLACE(B79,1,IFERROR(FIND("//",B79,1)+1,0),"")&amp;"/",1),LEN(B79),""),"www.","",1)</f>
        <v>breu-buerotechnik.de</v>
      </c>
      <c r="D79" s="13">
        <f>COUNTIF($C$2:$C$801,C79)</f>
        <v>1</v>
      </c>
      <c r="E79" s="10" t="s">
        <v>327</v>
      </c>
      <c r="F79" s="4" t="s">
        <v>729</v>
      </c>
      <c r="G79" s="31" t="s">
        <v>5</v>
      </c>
      <c r="H79" s="31" t="s">
        <v>965</v>
      </c>
      <c r="I79" s="10" t="s">
        <v>981</v>
      </c>
    </row>
    <row r="80" spans="1:9" s="2" customFormat="1" ht="23" customHeight="1" x14ac:dyDescent="0.2">
      <c r="A80" s="4" t="s">
        <v>28</v>
      </c>
      <c r="B80" s="6" t="s">
        <v>181</v>
      </c>
      <c r="C80" s="13" t="str">
        <f>SUBSTITUTE(REPLACE(REPLACE(B80,1,IFERROR(FIND("//",B80,1)+1,0),"")&amp;"/",FIND("/",REPLACE(B80,1,IFERROR(FIND("//",B80,1)+1,0),"")&amp;"/",1),LEN(B80),""),"www.","",1)</f>
        <v>bridge2b.com</v>
      </c>
      <c r="D80" s="13">
        <f>COUNTIF($C$2:$C$801,C80)</f>
        <v>1</v>
      </c>
      <c r="E80" s="10" t="s">
        <v>14</v>
      </c>
      <c r="F80" s="4"/>
      <c r="G80" s="31" t="s">
        <v>5</v>
      </c>
      <c r="H80" s="31" t="s">
        <v>965</v>
      </c>
      <c r="I80" s="10" t="s">
        <v>981</v>
      </c>
    </row>
    <row r="81" spans="1:9" s="2" customFormat="1" ht="23" customHeight="1" x14ac:dyDescent="0.2">
      <c r="A81" s="4" t="s">
        <v>28</v>
      </c>
      <c r="B81" s="6" t="s">
        <v>847</v>
      </c>
      <c r="C81" s="13" t="str">
        <f>SUBSTITUTE(REPLACE(REPLACE(B81,1,IFERROR(FIND("//",B81,1)+1,0),"")&amp;"/",FIND("/",REPLACE(B81,1,IFERROR(FIND("//",B81,1)+1,0),"")&amp;"/",1),LEN(B81),""),"www.","",1)</f>
        <v>bridgeportbenedumfestival.com</v>
      </c>
      <c r="D81" s="13">
        <f>COUNTIF($C$2:$C$801,C81)</f>
        <v>1</v>
      </c>
      <c r="E81" s="10" t="s">
        <v>918</v>
      </c>
      <c r="F81" s="4" t="s">
        <v>730</v>
      </c>
      <c r="G81" s="31" t="s">
        <v>5</v>
      </c>
      <c r="H81" s="31" t="s">
        <v>965</v>
      </c>
      <c r="I81" s="10" t="s">
        <v>981</v>
      </c>
    </row>
    <row r="82" spans="1:9" s="2" customFormat="1" ht="23" customHeight="1" x14ac:dyDescent="0.2">
      <c r="A82" s="4" t="s">
        <v>28</v>
      </c>
      <c r="B82" s="6" t="s">
        <v>841</v>
      </c>
      <c r="C82" s="13" t="str">
        <f>SUBSTITUTE(REPLACE(REPLACE(B82,1,IFERROR(FIND("//",B82,1)+1,0),"")&amp;"/",FIND("/",REPLACE(B82,1,IFERROR(FIND("//",B82,1)+1,0),"")&amp;"/",1),LEN(B82),""),"www.","",1)</f>
        <v>britespotsanpedro.com</v>
      </c>
      <c r="D82" s="13">
        <f>COUNTIF($C$2:$C$801,C82)</f>
        <v>1</v>
      </c>
      <c r="E82" s="10" t="s">
        <v>923</v>
      </c>
      <c r="F82" s="4" t="s">
        <v>730</v>
      </c>
      <c r="G82" s="31" t="s">
        <v>6</v>
      </c>
      <c r="H82" s="31" t="s">
        <v>967</v>
      </c>
      <c r="I82" s="10" t="s">
        <v>979</v>
      </c>
    </row>
    <row r="83" spans="1:9" s="2" customFormat="1" ht="23" customHeight="1" x14ac:dyDescent="0.2">
      <c r="A83" s="4" t="s">
        <v>28</v>
      </c>
      <c r="B83" s="6" t="s">
        <v>82</v>
      </c>
      <c r="C83" s="13" t="str">
        <f>SUBSTITUTE(REPLACE(REPLACE(B83,1,IFERROR(FIND("//",B83,1)+1,0),"")&amp;"/",FIND("/",REPLACE(B83,1,IFERROR(FIND("//",B83,1)+1,0),"")&amp;"/",1),LEN(B83),""),"www.","",1)</f>
        <v>broders-knigge.de</v>
      </c>
      <c r="D83" s="13">
        <f>COUNTIF($C$2:$C$801,C83)</f>
        <v>1</v>
      </c>
      <c r="E83" s="10" t="s">
        <v>14</v>
      </c>
      <c r="F83" s="4" t="s">
        <v>729</v>
      </c>
      <c r="G83" s="31" t="s">
        <v>4</v>
      </c>
      <c r="H83" s="31" t="s">
        <v>965</v>
      </c>
      <c r="I83" s="10" t="s">
        <v>977</v>
      </c>
    </row>
    <row r="84" spans="1:9" s="2" customFormat="1" ht="23" customHeight="1" x14ac:dyDescent="0.2">
      <c r="A84" s="4" t="s">
        <v>28</v>
      </c>
      <c r="B84" s="6" t="s">
        <v>786</v>
      </c>
      <c r="C84" s="13" t="str">
        <f>SUBSTITUTE(REPLACE(REPLACE(B84,1,IFERROR(FIND("//",B84,1)+1,0),"")&amp;"/",FIND("/",REPLACE(B84,1,IFERROR(FIND("//",B84,1)+1,0),"")&amp;"/",1),LEN(B84),""),"www.","",1)</f>
        <v>bs03-hamburg.de</v>
      </c>
      <c r="D84" s="13">
        <f>COUNTIF($C$2:$C$801,C84)</f>
        <v>1</v>
      </c>
      <c r="E84" s="10" t="s">
        <v>909</v>
      </c>
      <c r="F84" s="4" t="s">
        <v>13</v>
      </c>
      <c r="G84" s="31" t="s">
        <v>4</v>
      </c>
      <c r="H84" s="31" t="s">
        <v>965</v>
      </c>
      <c r="I84" s="10" t="s">
        <v>977</v>
      </c>
    </row>
    <row r="85" spans="1:9" s="2" customFormat="1" ht="23" customHeight="1" x14ac:dyDescent="0.2">
      <c r="A85" s="4" t="s">
        <v>28</v>
      </c>
      <c r="B85" s="6" t="s">
        <v>466</v>
      </c>
      <c r="C85" s="13" t="str">
        <f>SUBSTITUTE(REPLACE(REPLACE(B85,1,IFERROR(FIND("//",B85,1)+1,0),"")&amp;"/",FIND("/",REPLACE(B85,1,IFERROR(FIND("//",B85,1)+1,0),"")&amp;"/",1),LEN(B85),""),"www.","",1)</f>
        <v>bsjgmbh.de</v>
      </c>
      <c r="D85" s="13">
        <f>COUNTIF($C$2:$C$801,C85)</f>
        <v>1</v>
      </c>
      <c r="E85" s="10"/>
      <c r="F85" s="4" t="s">
        <v>729</v>
      </c>
      <c r="G85" s="31" t="s">
        <v>4</v>
      </c>
      <c r="H85" s="31" t="s">
        <v>965</v>
      </c>
      <c r="I85" s="10" t="s">
        <v>977</v>
      </c>
    </row>
    <row r="86" spans="1:9" s="2" customFormat="1" ht="23" customHeight="1" x14ac:dyDescent="0.2">
      <c r="A86" s="4" t="s">
        <v>28</v>
      </c>
      <c r="B86" s="6" t="s">
        <v>340</v>
      </c>
      <c r="C86" s="13" t="str">
        <f>SUBSTITUTE(REPLACE(REPLACE(B86,1,IFERROR(FIND("//",B86,1)+1,0),"")&amp;"/",FIND("/",REPLACE(B86,1,IFERROR(FIND("//",B86,1)+1,0),"")&amp;"/",1),LEN(B86),""),"www.","",1)</f>
        <v>bsl-zwenkau.de</v>
      </c>
      <c r="D86" s="13">
        <f>COUNTIF($C$2:$C$801,C86)</f>
        <v>1</v>
      </c>
      <c r="E86" s="10" t="s">
        <v>341</v>
      </c>
      <c r="F86" s="4" t="s">
        <v>729</v>
      </c>
      <c r="G86" s="31" t="s">
        <v>5</v>
      </c>
      <c r="H86" s="31" t="s">
        <v>965</v>
      </c>
      <c r="I86" s="10" t="s">
        <v>981</v>
      </c>
    </row>
    <row r="87" spans="1:9" s="2" customFormat="1" ht="23" customHeight="1" x14ac:dyDescent="0.2">
      <c r="A87" s="4" t="s">
        <v>28</v>
      </c>
      <c r="B87" s="6" t="s">
        <v>869</v>
      </c>
      <c r="C87" s="13" t="str">
        <f>SUBSTITUTE(REPLACE(REPLACE(B87,1,IFERROR(FIND("//",B87,1)+1,0),"")&amp;"/",FIND("/",REPLACE(B87,1,IFERROR(FIND("//",B87,1)+1,0),"")&amp;"/",1),LEN(B87),""),"www.","",1)</f>
        <v>btgresearch.org</v>
      </c>
      <c r="D87" s="13">
        <f>COUNTIF($C$2:$C$801,C87)</f>
        <v>1</v>
      </c>
      <c r="E87" s="10" t="s">
        <v>927</v>
      </c>
      <c r="F87" s="4" t="s">
        <v>730</v>
      </c>
      <c r="G87" s="31" t="s">
        <v>6</v>
      </c>
      <c r="H87" s="31" t="s">
        <v>969</v>
      </c>
      <c r="I87" s="10" t="s">
        <v>979</v>
      </c>
    </row>
    <row r="88" spans="1:9" s="2" customFormat="1" ht="23" customHeight="1" x14ac:dyDescent="0.2">
      <c r="A88" s="4" t="s">
        <v>28</v>
      </c>
      <c r="B88" s="6" t="s">
        <v>793</v>
      </c>
      <c r="C88" s="13" t="str">
        <f>SUBSTITUTE(REPLACE(REPLACE(B88,1,IFERROR(FIND("//",B88,1)+1,0),"")&amp;"/",FIND("/",REPLACE(B88,1,IFERROR(FIND("//",B88,1)+1,0),"")&amp;"/",1),LEN(B88),""),"www.","",1)</f>
        <v>bublitz-einrichtungen.de</v>
      </c>
      <c r="D88" s="13">
        <f>COUNTIF($C$2:$C$801,C88)</f>
        <v>1</v>
      </c>
      <c r="E88" s="10" t="s">
        <v>914</v>
      </c>
      <c r="F88" s="4" t="s">
        <v>729</v>
      </c>
      <c r="G88" s="31" t="s">
        <v>4</v>
      </c>
      <c r="H88" s="31" t="s">
        <v>965</v>
      </c>
      <c r="I88" s="10" t="s">
        <v>977</v>
      </c>
    </row>
    <row r="89" spans="1:9" s="2" customFormat="1" ht="23" customHeight="1" x14ac:dyDescent="0.2">
      <c r="A89" s="4" t="s">
        <v>28</v>
      </c>
      <c r="B89" s="6" t="s">
        <v>823</v>
      </c>
      <c r="C89" s="13" t="str">
        <f>SUBSTITUTE(REPLACE(REPLACE(B89,1,IFERROR(FIND("//",B89,1)+1,0),"")&amp;"/",FIND("/",REPLACE(B89,1,IFERROR(FIND("//",B89,1)+1,0),"")&amp;"/",1),LEN(B89),""),"www.","",1)</f>
        <v>buch-vonbolton.netlify.app</v>
      </c>
      <c r="D89" s="13">
        <f>COUNTIF($C$2:$C$801,C89)</f>
        <v>1</v>
      </c>
      <c r="E89" s="10" t="s">
        <v>921</v>
      </c>
      <c r="F89" s="4" t="s">
        <v>730</v>
      </c>
      <c r="G89" s="31" t="s">
        <v>6</v>
      </c>
      <c r="H89" s="31" t="s">
        <v>970</v>
      </c>
      <c r="I89" s="16" t="s">
        <v>985</v>
      </c>
    </row>
    <row r="90" spans="1:9" s="2" customFormat="1" ht="23" customHeight="1" x14ac:dyDescent="0.2">
      <c r="A90" s="4" t="s">
        <v>28</v>
      </c>
      <c r="B90" s="6" t="s">
        <v>99</v>
      </c>
      <c r="C90" s="13" t="str">
        <f>SUBSTITUTE(REPLACE(REPLACE(B90,1,IFERROR(FIND("//",B90,1)+1,0),"")&amp;"/",FIND("/",REPLACE(B90,1,IFERROR(FIND("//",B90,1)+1,0),"")&amp;"/",1),LEN(B90),""),"www.","",1)</f>
        <v>buende.com</v>
      </c>
      <c r="D90" s="13">
        <f>COUNTIF($C$2:$C$801,C90)</f>
        <v>1</v>
      </c>
      <c r="E90" s="10" t="s">
        <v>592</v>
      </c>
      <c r="F90" s="4" t="s">
        <v>737</v>
      </c>
      <c r="G90" s="31" t="s">
        <v>5</v>
      </c>
      <c r="H90" s="31" t="s">
        <v>965</v>
      </c>
      <c r="I90" s="10" t="s">
        <v>981</v>
      </c>
    </row>
    <row r="91" spans="1:9" s="2" customFormat="1" ht="23" customHeight="1" x14ac:dyDescent="0.2">
      <c r="A91" s="4" t="s">
        <v>28</v>
      </c>
      <c r="B91" s="6" t="s">
        <v>229</v>
      </c>
      <c r="C91" s="13" t="str">
        <f>SUBSTITUTE(REPLACE(REPLACE(B91,1,IFERROR(FIND("//",B91,1)+1,0),"")&amp;"/",FIND("/",REPLACE(B91,1,IFERROR(FIND("//",B91,1)+1,0),"")&amp;"/",1),LEN(B91),""),"www.","",1)</f>
        <v>buender.info</v>
      </c>
      <c r="D91" s="13">
        <f>COUNTIF($C$2:$C$801,C91)</f>
        <v>1</v>
      </c>
      <c r="E91" s="10" t="s">
        <v>237</v>
      </c>
      <c r="F91" s="4" t="s">
        <v>25</v>
      </c>
      <c r="G91" s="31" t="s">
        <v>5</v>
      </c>
      <c r="H91" s="31" t="s">
        <v>965</v>
      </c>
      <c r="I91" s="10" t="s">
        <v>981</v>
      </c>
    </row>
    <row r="92" spans="1:9" s="2" customFormat="1" ht="23" customHeight="1" x14ac:dyDescent="0.2">
      <c r="A92" s="4" t="s">
        <v>28</v>
      </c>
      <c r="B92" s="6" t="s">
        <v>467</v>
      </c>
      <c r="C92" s="13" t="str">
        <f>SUBSTITUTE(REPLACE(REPLACE(B92,1,IFERROR(FIND("//",B92,1)+1,0),"")&amp;"/",FIND("/",REPLACE(B92,1,IFERROR(FIND("//",B92,1)+1,0),"")&amp;"/",1),LEN(B92),""),"www.","",1)</f>
        <v>buero-boerse.com</v>
      </c>
      <c r="D92" s="13">
        <f>COUNTIF($C$2:$C$801,C92)</f>
        <v>1</v>
      </c>
      <c r="E92" s="10"/>
      <c r="F92" s="4" t="s">
        <v>729</v>
      </c>
      <c r="G92" s="31" t="s">
        <v>4</v>
      </c>
      <c r="H92" s="31" t="s">
        <v>965</v>
      </c>
      <c r="I92" s="10" t="s">
        <v>977</v>
      </c>
    </row>
    <row r="93" spans="1:9" s="2" customFormat="1" ht="23" customHeight="1" x14ac:dyDescent="0.2">
      <c r="A93" s="4" t="s">
        <v>28</v>
      </c>
      <c r="B93" s="6" t="s">
        <v>185</v>
      </c>
      <c r="C93" s="13" t="str">
        <f>SUBSTITUTE(REPLACE(REPLACE(B93,1,IFERROR(FIND("//",B93,1)+1,0),"")&amp;"/",FIND("/",REPLACE(B93,1,IFERROR(FIND("//",B93,1)+1,0),"")&amp;"/",1),LEN(B93),""),"www.","",1)</f>
        <v>buero-forum.de</v>
      </c>
      <c r="D93" s="13">
        <f>COUNTIF($C$2:$C$801,C93)</f>
        <v>1</v>
      </c>
      <c r="E93" s="10" t="s">
        <v>237</v>
      </c>
      <c r="F93" s="4" t="s">
        <v>25</v>
      </c>
      <c r="G93" s="31" t="s">
        <v>5</v>
      </c>
      <c r="H93" s="31" t="s">
        <v>965</v>
      </c>
      <c r="I93" s="10" t="s">
        <v>981</v>
      </c>
    </row>
    <row r="94" spans="1:9" s="2" customFormat="1" ht="23" customHeight="1" x14ac:dyDescent="0.2">
      <c r="A94" s="4" t="s">
        <v>28</v>
      </c>
      <c r="B94" s="6" t="s">
        <v>590</v>
      </c>
      <c r="C94" s="13" t="str">
        <f>SUBSTITUTE(REPLACE(REPLACE(B94,1,IFERROR(FIND("//",B94,1)+1,0),"")&amp;"/",FIND("/",REPLACE(B94,1,IFERROR(FIND("//",B94,1)+1,0),"")&amp;"/",1),LEN(B94),""),"www.","",1)</f>
        <v>buero-garisch.de</v>
      </c>
      <c r="D94" s="13">
        <f>COUNTIF($C$2:$C$801,C94)</f>
        <v>1</v>
      </c>
      <c r="E94" s="10" t="s">
        <v>237</v>
      </c>
      <c r="F94" s="4" t="s">
        <v>729</v>
      </c>
      <c r="G94" s="31" t="s">
        <v>4</v>
      </c>
      <c r="H94" s="31" t="s">
        <v>965</v>
      </c>
      <c r="I94" s="10" t="s">
        <v>977</v>
      </c>
    </row>
    <row r="95" spans="1:9" s="2" customFormat="1" ht="23" customHeight="1" x14ac:dyDescent="0.2">
      <c r="A95" s="4" t="s">
        <v>28</v>
      </c>
      <c r="B95" s="6" t="s">
        <v>601</v>
      </c>
      <c r="C95" s="13" t="str">
        <f>SUBSTITUTE(REPLACE(REPLACE(B95,1,IFERROR(FIND("//",B95,1)+1,0),"")&amp;"/",FIND("/",REPLACE(B95,1,IFERROR(FIND("//",B95,1)+1,0),"")&amp;"/",1),LEN(B95),""),"www.","",1)</f>
        <v>buero-jung.de</v>
      </c>
      <c r="D95" s="13">
        <f>COUNTIF($C$2:$C$801,C95)</f>
        <v>1</v>
      </c>
      <c r="E95" s="10" t="s">
        <v>28</v>
      </c>
      <c r="F95" s="4" t="s">
        <v>729</v>
      </c>
      <c r="G95" s="31" t="s">
        <v>4</v>
      </c>
      <c r="H95" s="31" t="s">
        <v>965</v>
      </c>
      <c r="I95" s="10" t="s">
        <v>977</v>
      </c>
    </row>
    <row r="96" spans="1:9" s="2" customFormat="1" ht="23" customHeight="1" x14ac:dyDescent="0.2">
      <c r="A96" s="4" t="s">
        <v>28</v>
      </c>
      <c r="B96" s="6" t="s">
        <v>330</v>
      </c>
      <c r="C96" s="13" t="str">
        <f>SUBSTITUTE(REPLACE(REPLACE(B96,1,IFERROR(FIND("//",B96,1)+1,0),"")&amp;"/",FIND("/",REPLACE(B96,1,IFERROR(FIND("//",B96,1)+1,0),"")&amp;"/",1),LEN(B96),""),"www.","",1)</f>
        <v>buero-marb.de</v>
      </c>
      <c r="D96" s="13">
        <f>COUNTIF($C$2:$C$801,C96)</f>
        <v>1</v>
      </c>
      <c r="E96" s="10" t="s">
        <v>319</v>
      </c>
      <c r="F96" s="4" t="s">
        <v>729</v>
      </c>
      <c r="G96" s="31" t="s">
        <v>5</v>
      </c>
      <c r="H96" s="31" t="s">
        <v>965</v>
      </c>
      <c r="I96" s="10" t="s">
        <v>981</v>
      </c>
    </row>
    <row r="97" spans="1:9" s="2" customFormat="1" ht="23" customHeight="1" x14ac:dyDescent="0.2">
      <c r="A97" s="4" t="s">
        <v>28</v>
      </c>
      <c r="B97" s="6" t="s">
        <v>643</v>
      </c>
      <c r="C97" s="13" t="str">
        <f>SUBSTITUTE(REPLACE(REPLACE(B97,1,IFERROR(FIND("//",B97,1)+1,0),"")&amp;"/",FIND("/",REPLACE(B97,1,IFERROR(FIND("//",B97,1)+1,0),"")&amp;"/",1),LEN(B97),""),"www.","",1)</f>
        <v>buero-objektmoebel.de</v>
      </c>
      <c r="D97" s="13">
        <f>COUNTIF($C$2:$C$801,C97)</f>
        <v>1</v>
      </c>
      <c r="E97" s="10"/>
      <c r="F97" s="4" t="s">
        <v>729</v>
      </c>
      <c r="G97" s="31" t="s">
        <v>4</v>
      </c>
      <c r="H97" s="31" t="s">
        <v>965</v>
      </c>
      <c r="I97" s="10" t="s">
        <v>977</v>
      </c>
    </row>
    <row r="98" spans="1:9" s="2" customFormat="1" ht="23" customHeight="1" x14ac:dyDescent="0.2">
      <c r="A98" s="4" t="s">
        <v>28</v>
      </c>
      <c r="B98" s="6" t="s">
        <v>32</v>
      </c>
      <c r="C98" s="13" t="str">
        <f>SUBSTITUTE(REPLACE(REPLACE(B98,1,IFERROR(FIND("//",B98,1)+1,0),"")&amp;"/",FIND("/",REPLACE(B98,1,IFERROR(FIND("//",B98,1)+1,0),"")&amp;"/",1),LEN(B98),""),"www.","",1)</f>
        <v>buero-profil.de</v>
      </c>
      <c r="D98" s="13">
        <f>COUNTIF($C$2:$C$801,C98)</f>
        <v>1</v>
      </c>
      <c r="E98" s="10" t="s">
        <v>28</v>
      </c>
      <c r="F98" s="4" t="s">
        <v>729</v>
      </c>
      <c r="G98" s="31" t="s">
        <v>4</v>
      </c>
      <c r="H98" s="31" t="s">
        <v>965</v>
      </c>
      <c r="I98" s="10" t="s">
        <v>977</v>
      </c>
    </row>
    <row r="99" spans="1:9" s="2" customFormat="1" ht="23" customHeight="1" x14ac:dyDescent="0.2">
      <c r="A99" s="4" t="s">
        <v>28</v>
      </c>
      <c r="B99" s="6" t="s">
        <v>43</v>
      </c>
      <c r="C99" s="13" t="str">
        <f>SUBSTITUTE(REPLACE(REPLACE(B99,1,IFERROR(FIND("//",B99,1)+1,0),"")&amp;"/",FIND("/",REPLACE(B99,1,IFERROR(FIND("//",B99,1)+1,0),"")&amp;"/",1),LEN(B99),""),"www.","",1)</f>
        <v>buero-stiegler.de</v>
      </c>
      <c r="D99" s="13">
        <f>COUNTIF($C$2:$C$801,C99)</f>
        <v>1</v>
      </c>
      <c r="E99" s="10" t="s">
        <v>80</v>
      </c>
      <c r="F99" s="4" t="s">
        <v>729</v>
      </c>
      <c r="G99" s="31" t="s">
        <v>4</v>
      </c>
      <c r="H99" s="31" t="s">
        <v>965</v>
      </c>
      <c r="I99" s="10" t="s">
        <v>977</v>
      </c>
    </row>
    <row r="100" spans="1:9" s="2" customFormat="1" ht="23" customHeight="1" x14ac:dyDescent="0.2">
      <c r="A100" s="4" t="s">
        <v>28</v>
      </c>
      <c r="B100" s="6" t="s">
        <v>91</v>
      </c>
      <c r="C100" s="13" t="str">
        <f>SUBSTITUTE(REPLACE(REPLACE(B100,1,IFERROR(FIND("//",B100,1)+1,0),"")&amp;"/",FIND("/",REPLACE(B100,1,IFERROR(FIND("//",B100,1)+1,0),"")&amp;"/",1),LEN(B100),""),"www.","",1)</f>
        <v>buero-und-betrieb.com</v>
      </c>
      <c r="D100" s="13">
        <f>COUNTIF($C$2:$C$801,C100)</f>
        <v>1</v>
      </c>
      <c r="E100" s="10" t="s">
        <v>639</v>
      </c>
      <c r="F100" s="4" t="s">
        <v>25</v>
      </c>
      <c r="G100" s="31" t="s">
        <v>4</v>
      </c>
      <c r="H100" s="31" t="s">
        <v>965</v>
      </c>
      <c r="I100" s="10" t="s">
        <v>977</v>
      </c>
    </row>
    <row r="101" spans="1:9" s="2" customFormat="1" ht="23" customHeight="1" x14ac:dyDescent="0.2">
      <c r="A101" s="4" t="s">
        <v>28</v>
      </c>
      <c r="B101" s="6" t="s">
        <v>183</v>
      </c>
      <c r="C101" s="13" t="str">
        <f>SUBSTITUTE(REPLACE(REPLACE(B101,1,IFERROR(FIND("//",B101,1)+1,0),"")&amp;"/",FIND("/",REPLACE(B101,1,IFERROR(FIND("//",B101,1)+1,0),"")&amp;"/",1),LEN(B101),""),"www.","",1)</f>
        <v>buero-wohn-design.de</v>
      </c>
      <c r="D101" s="13">
        <f>COUNTIF($C$2:$C$801,C101)</f>
        <v>1</v>
      </c>
      <c r="E101" s="10" t="s">
        <v>28</v>
      </c>
      <c r="F101" s="4" t="s">
        <v>729</v>
      </c>
      <c r="G101" s="31" t="s">
        <v>5</v>
      </c>
      <c r="H101" s="31" t="s">
        <v>965</v>
      </c>
      <c r="I101" s="10" t="s">
        <v>981</v>
      </c>
    </row>
    <row r="102" spans="1:9" s="2" customFormat="1" ht="23" customHeight="1" x14ac:dyDescent="0.2">
      <c r="A102" s="4" t="s">
        <v>28</v>
      </c>
      <c r="B102" s="6" t="s">
        <v>468</v>
      </c>
      <c r="C102" s="13" t="str">
        <f>SUBSTITUTE(REPLACE(REPLACE(B102,1,IFERROR(FIND("//",B102,1)+1,0),"")&amp;"/",FIND("/",REPLACE(B102,1,IFERROR(FIND("//",B102,1)+1,0),"")&amp;"/",1),LEN(B102),""),"www.","",1)</f>
        <v>buero2000-eckes.de</v>
      </c>
      <c r="D102" s="13">
        <f>COUNTIF($C$2:$C$801,C102)</f>
        <v>1</v>
      </c>
      <c r="E102" s="10" t="s">
        <v>241</v>
      </c>
      <c r="F102" s="4" t="s">
        <v>729</v>
      </c>
      <c r="G102" s="31" t="s">
        <v>5</v>
      </c>
      <c r="H102" s="31" t="s">
        <v>965</v>
      </c>
      <c r="I102" s="10" t="s">
        <v>981</v>
      </c>
    </row>
    <row r="103" spans="1:9" s="2" customFormat="1" ht="23" customHeight="1" x14ac:dyDescent="0.2">
      <c r="A103" s="4" t="s">
        <v>28</v>
      </c>
      <c r="B103" s="6" t="s">
        <v>337</v>
      </c>
      <c r="C103" s="13" t="str">
        <f>SUBSTITUTE(REPLACE(REPLACE(B103,1,IFERROR(FIND("//",B103,1)+1,0),"")&amp;"/",FIND("/",REPLACE(B103,1,IFERROR(FIND("//",B103,1)+1,0),"")&amp;"/",1),LEN(B103),""),"www.","",1)</f>
        <v>buerobedarf-brueggemann.de</v>
      </c>
      <c r="D103" s="13">
        <f>COUNTIF($C$2:$C$801,C103)</f>
        <v>1</v>
      </c>
      <c r="E103" s="10" t="s">
        <v>237</v>
      </c>
      <c r="F103" s="4" t="s">
        <v>729</v>
      </c>
      <c r="G103" s="31" t="s">
        <v>5</v>
      </c>
      <c r="H103" s="31" t="s">
        <v>965</v>
      </c>
      <c r="I103" s="10" t="s">
        <v>981</v>
      </c>
    </row>
    <row r="104" spans="1:9" ht="23" customHeight="1" x14ac:dyDescent="0.15">
      <c r="A104" s="4" t="s">
        <v>28</v>
      </c>
      <c r="B104" s="6" t="s">
        <v>127</v>
      </c>
      <c r="C104" s="13" t="str">
        <f>SUBSTITUTE(REPLACE(REPLACE(B104,1,IFERROR(FIND("//",B104,1)+1,0),"")&amp;"/",FIND("/",REPLACE(B104,1,IFERROR(FIND("//",B104,1)+1,0),"")&amp;"/",1),LEN(B104),""),"www.","",1)</f>
        <v>buerobedarf-kleve.de</v>
      </c>
      <c r="D104" s="13">
        <f>COUNTIF($C$2:$C$801,C104)</f>
        <v>1</v>
      </c>
      <c r="E104" s="10" t="s">
        <v>14</v>
      </c>
      <c r="F104" s="4" t="s">
        <v>729</v>
      </c>
      <c r="G104" s="31" t="s">
        <v>5</v>
      </c>
      <c r="H104" s="31" t="s">
        <v>965</v>
      </c>
      <c r="I104" s="10" t="s">
        <v>981</v>
      </c>
    </row>
    <row r="105" spans="1:9" ht="23" customHeight="1" x14ac:dyDescent="0.15">
      <c r="A105" s="4" t="s">
        <v>28</v>
      </c>
      <c r="B105" s="6" t="s">
        <v>83</v>
      </c>
      <c r="C105" s="13" t="str">
        <f>SUBSTITUTE(REPLACE(REPLACE(B105,1,IFERROR(FIND("//",B105,1)+1,0),"")&amp;"/",FIND("/",REPLACE(B105,1,IFERROR(FIND("//",B105,1)+1,0),"")&amp;"/",1),LEN(B105),""),"www.","",1)</f>
        <v>buerocenter-ruecker.de</v>
      </c>
      <c r="D105" s="13">
        <f>COUNTIF($C$2:$C$801,C105)</f>
        <v>1</v>
      </c>
      <c r="E105" s="10" t="s">
        <v>237</v>
      </c>
      <c r="F105" s="4" t="s">
        <v>729</v>
      </c>
      <c r="G105" s="31" t="s">
        <v>4</v>
      </c>
      <c r="H105" s="31" t="s">
        <v>965</v>
      </c>
      <c r="I105" s="10" t="s">
        <v>977</v>
      </c>
    </row>
    <row r="106" spans="1:9" ht="23" customHeight="1" x14ac:dyDescent="0.15">
      <c r="A106" s="4" t="s">
        <v>28</v>
      </c>
      <c r="B106" s="6" t="s">
        <v>154</v>
      </c>
      <c r="C106" s="13" t="str">
        <f>SUBSTITUTE(REPLACE(REPLACE(B106,1,IFERROR(FIND("//",B106,1)+1,0),"")&amp;"/",FIND("/",REPLACE(B106,1,IFERROR(FIND("//",B106,1)+1,0),"")&amp;"/",1),LEN(B106),""),"www.","",1)</f>
        <v>bueroco.eu</v>
      </c>
      <c r="D106" s="13">
        <f>COUNTIF($C$2:$C$801,C106)</f>
        <v>1</v>
      </c>
      <c r="E106" s="10" t="s">
        <v>710</v>
      </c>
      <c r="F106" s="4" t="s">
        <v>729</v>
      </c>
      <c r="G106" s="31" t="s">
        <v>5</v>
      </c>
      <c r="H106" s="31" t="s">
        <v>965</v>
      </c>
      <c r="I106" s="10" t="s">
        <v>981</v>
      </c>
    </row>
    <row r="107" spans="1:9" ht="23" customHeight="1" x14ac:dyDescent="0.15">
      <c r="A107" s="4" t="s">
        <v>28</v>
      </c>
      <c r="B107" s="6" t="s">
        <v>110</v>
      </c>
      <c r="C107" s="13" t="str">
        <f>SUBSTITUTE(REPLACE(REPLACE(B107,1,IFERROR(FIND("//",B107,1)+1,0),"")&amp;"/",FIND("/",REPLACE(B107,1,IFERROR(FIND("//",B107,1)+1,0),"")&amp;"/",1),LEN(B107),""),"www.","",1)</f>
        <v>buerodesign-frankfurt-berlin.de</v>
      </c>
      <c r="D107" s="13">
        <f>COUNTIF($C$2:$C$801,C107)</f>
        <v>1</v>
      </c>
      <c r="E107" s="10" t="s">
        <v>14</v>
      </c>
      <c r="F107" s="4" t="s">
        <v>730</v>
      </c>
      <c r="G107" s="31" t="s">
        <v>5</v>
      </c>
      <c r="H107" s="31" t="s">
        <v>965</v>
      </c>
      <c r="I107" s="10" t="s">
        <v>981</v>
      </c>
    </row>
    <row r="108" spans="1:9" ht="23" customHeight="1" x14ac:dyDescent="0.15">
      <c r="A108" s="4" t="s">
        <v>28</v>
      </c>
      <c r="B108" s="6" t="s">
        <v>1001</v>
      </c>
      <c r="C108" s="35" t="str">
        <f>SUBSTITUTE(REPLACE(REPLACE(B108,1,IFERROR(FIND("//",B108,1)+1,0),"")&amp;"/",FIND("/",REPLACE(B108,1,IFERROR(FIND("//",B108,1)+1,0),"")&amp;"/",1),LEN(B108),""),"www.","",1)</f>
        <v>buerodienste-in.de</v>
      </c>
      <c r="D108" s="13">
        <f>COUNTIF($C$2:$C$801,C108)</f>
        <v>1</v>
      </c>
      <c r="E108" s="10" t="s">
        <v>1073</v>
      </c>
      <c r="F108" s="4" t="s">
        <v>732</v>
      </c>
      <c r="G108" s="31" t="s">
        <v>4</v>
      </c>
      <c r="H108" s="31" t="s">
        <v>1084</v>
      </c>
      <c r="I108" s="10"/>
    </row>
    <row r="109" spans="1:9" ht="23" customHeight="1" x14ac:dyDescent="0.15">
      <c r="A109" s="4" t="s">
        <v>28</v>
      </c>
      <c r="B109" s="6" t="s">
        <v>469</v>
      </c>
      <c r="C109" s="13" t="str">
        <f>SUBSTITUTE(REPLACE(REPLACE(B109,1,IFERROR(FIND("//",B109,1)+1,0),"")&amp;"/",FIND("/",REPLACE(B109,1,IFERROR(FIND("//",B109,1)+1,0),"")&amp;"/",1),LEN(B109),""),"www.","",1)</f>
        <v>bueroeinrichtung-hamburg.de</v>
      </c>
      <c r="D109" s="13">
        <f>COUNTIF($C$2:$C$801,C109)</f>
        <v>1</v>
      </c>
      <c r="E109" s="10" t="s">
        <v>20</v>
      </c>
      <c r="F109" s="4" t="s">
        <v>729</v>
      </c>
      <c r="G109" s="31" t="s">
        <v>4</v>
      </c>
      <c r="H109" s="31" t="s">
        <v>965</v>
      </c>
      <c r="I109" s="10" t="s">
        <v>977</v>
      </c>
    </row>
    <row r="110" spans="1:9" ht="23" customHeight="1" x14ac:dyDescent="0.15">
      <c r="A110" s="4" t="s">
        <v>28</v>
      </c>
      <c r="B110" s="6" t="s">
        <v>470</v>
      </c>
      <c r="C110" s="13" t="str">
        <f>SUBSTITUTE(REPLACE(REPLACE(B110,1,IFERROR(FIND("//",B110,1)+1,0),"")&amp;"/",FIND("/",REPLACE(B110,1,IFERROR(FIND("//",B110,1)+1,0),"")&amp;"/",1),LEN(B110),""),"www.","",1)</f>
        <v>bueroeinrichtungen-seidel.de</v>
      </c>
      <c r="D110" s="13">
        <f>COUNTIF($C$2:$C$801,C110)</f>
        <v>1</v>
      </c>
      <c r="E110" s="10"/>
      <c r="F110" s="4" t="s">
        <v>729</v>
      </c>
      <c r="G110" s="31" t="s">
        <v>4</v>
      </c>
      <c r="H110" s="31" t="s">
        <v>965</v>
      </c>
      <c r="I110" s="10" t="s">
        <v>977</v>
      </c>
    </row>
    <row r="111" spans="1:9" ht="23" customHeight="1" x14ac:dyDescent="0.15">
      <c r="A111" s="4" t="s">
        <v>28</v>
      </c>
      <c r="B111" s="6" t="s">
        <v>1060</v>
      </c>
      <c r="C111" s="13" t="str">
        <f>SUBSTITUTE(REPLACE(REPLACE(B111,1,IFERROR(FIND("//",B111,1)+1,0),"")&amp;"/",FIND("/",REPLACE(B111,1,IFERROR(FIND("//",B111,1)+1,0),"")&amp;"/",1),LEN(B111),""),"www.","",1)</f>
        <v>bueroexperten-augsburg.de</v>
      </c>
      <c r="D111" s="13">
        <f>COUNTIF($C$2:$C$801,C111)</f>
        <v>1</v>
      </c>
      <c r="E111" s="10" t="s">
        <v>241</v>
      </c>
      <c r="F111" s="4" t="s">
        <v>729</v>
      </c>
      <c r="G111" s="31" t="s">
        <v>4</v>
      </c>
      <c r="H111" s="31" t="s">
        <v>1084</v>
      </c>
      <c r="I111" s="10"/>
    </row>
    <row r="112" spans="1:9" ht="23" customHeight="1" x14ac:dyDescent="0.15">
      <c r="A112" s="4" t="s">
        <v>28</v>
      </c>
      <c r="B112" s="6" t="s">
        <v>39</v>
      </c>
      <c r="C112" s="13" t="str">
        <f>SUBSTITUTE(REPLACE(REPLACE(B112,1,IFERROR(FIND("//",B112,1)+1,0),"")&amp;"/",FIND("/",REPLACE(B112,1,IFERROR(FIND("//",B112,1)+1,0),"")&amp;"/",1),LEN(B112),""),"www.","",1)</f>
        <v>buerohaus-feuerstein.de</v>
      </c>
      <c r="D112" s="13">
        <f>COUNTIF($C$2:$C$801,C112)</f>
        <v>1</v>
      </c>
      <c r="E112" s="10" t="s">
        <v>593</v>
      </c>
      <c r="F112" s="4" t="s">
        <v>729</v>
      </c>
      <c r="G112" s="31" t="s">
        <v>4</v>
      </c>
      <c r="H112" s="31" t="s">
        <v>965</v>
      </c>
      <c r="I112" s="10" t="s">
        <v>977</v>
      </c>
    </row>
    <row r="113" spans="1:9" ht="23" customHeight="1" x14ac:dyDescent="0.15">
      <c r="A113" s="4" t="s">
        <v>28</v>
      </c>
      <c r="B113" s="6" t="s">
        <v>471</v>
      </c>
      <c r="C113" s="13" t="str">
        <f>SUBSTITUTE(REPLACE(REPLACE(B113,1,IFERROR(FIND("//",B113,1)+1,0),"")&amp;"/",FIND("/",REPLACE(B113,1,IFERROR(FIND("//",B113,1)+1,0),"")&amp;"/",1),LEN(B113),""),"www.","",1)</f>
        <v>bueroinnovativ.de</v>
      </c>
      <c r="D113" s="13">
        <f>COUNTIF($C$2:$C$801,C113)</f>
        <v>1</v>
      </c>
      <c r="E113" s="10" t="s">
        <v>28</v>
      </c>
      <c r="F113" s="4" t="s">
        <v>729</v>
      </c>
      <c r="G113" s="31" t="s">
        <v>4</v>
      </c>
      <c r="H113" s="31" t="s">
        <v>965</v>
      </c>
      <c r="I113" s="10" t="s">
        <v>977</v>
      </c>
    </row>
    <row r="114" spans="1:9" ht="23" customHeight="1" x14ac:dyDescent="0.15">
      <c r="A114" s="4" t="s">
        <v>28</v>
      </c>
      <c r="B114" s="6" t="s">
        <v>873</v>
      </c>
      <c r="C114" s="13" t="str">
        <f>SUBSTITUTE(REPLACE(REPLACE(B114,1,IFERROR(FIND("//",B114,1)+1,0),"")&amp;"/",FIND("/",REPLACE(B114,1,IFERROR(FIND("//",B114,1)+1,0),"")&amp;"/",1),LEN(B114),""),"www.","",1)</f>
        <v>buerokult.de</v>
      </c>
      <c r="D114" s="13">
        <f>COUNTIF($C$2:$C$801,C114)</f>
        <v>1</v>
      </c>
      <c r="E114" s="10"/>
      <c r="F114" s="4" t="s">
        <v>729</v>
      </c>
      <c r="G114" s="31" t="s">
        <v>4</v>
      </c>
      <c r="H114" s="31" t="s">
        <v>965</v>
      </c>
      <c r="I114" s="10" t="s">
        <v>977</v>
      </c>
    </row>
    <row r="115" spans="1:9" ht="23" customHeight="1" x14ac:dyDescent="0.15">
      <c r="A115" s="4" t="s">
        <v>28</v>
      </c>
      <c r="B115" s="6" t="s">
        <v>234</v>
      </c>
      <c r="C115" s="13" t="str">
        <f>SUBSTITUTE(REPLACE(REPLACE(B115,1,IFERROR(FIND("//",B115,1)+1,0),"")&amp;"/",FIND("/",REPLACE(B115,1,IFERROR(FIND("//",B115,1)+1,0),"")&amp;"/",1),LEN(B115),""),"www.","",1)</f>
        <v>bueroland-dresden.de</v>
      </c>
      <c r="D115" s="13">
        <f>COUNTIF($C$2:$C$801,C115)</f>
        <v>1</v>
      </c>
      <c r="E115" s="10" t="s">
        <v>14</v>
      </c>
      <c r="F115" s="4" t="s">
        <v>729</v>
      </c>
      <c r="G115" s="31" t="s">
        <v>4</v>
      </c>
      <c r="H115" s="31" t="s">
        <v>965</v>
      </c>
      <c r="I115" s="10" t="s">
        <v>977</v>
      </c>
    </row>
    <row r="116" spans="1:9" ht="23" customHeight="1" x14ac:dyDescent="0.15">
      <c r="A116" s="4" t="s">
        <v>28</v>
      </c>
      <c r="B116" s="6" t="s">
        <v>291</v>
      </c>
      <c r="C116" s="13" t="str">
        <f>SUBSTITUTE(REPLACE(REPLACE(B116,1,IFERROR(FIND("//",B116,1)+1,0),"")&amp;"/",FIND("/",REPLACE(B116,1,IFERROR(FIND("//",B116,1)+1,0),"")&amp;"/",1),LEN(B116),""),"www.","",1)</f>
        <v>bueromoebel-hannover.de</v>
      </c>
      <c r="D116" s="13">
        <f>COUNTIF($C$2:$C$801,C116)</f>
        <v>1</v>
      </c>
      <c r="E116" s="10"/>
      <c r="F116" s="4" t="s">
        <v>729</v>
      </c>
      <c r="G116" s="31" t="s">
        <v>4</v>
      </c>
      <c r="H116" s="31" t="s">
        <v>965</v>
      </c>
      <c r="I116" s="10" t="s">
        <v>977</v>
      </c>
    </row>
    <row r="117" spans="1:9" ht="23" customHeight="1" x14ac:dyDescent="0.15">
      <c r="A117" s="4" t="s">
        <v>28</v>
      </c>
      <c r="B117" s="6" t="s">
        <v>381</v>
      </c>
      <c r="C117" s="13" t="str">
        <f>SUBSTITUTE(REPLACE(REPLACE(B117,1,IFERROR(FIND("//",B117,1)+1,0),"")&amp;"/",FIND("/",REPLACE(B117,1,IFERROR(FIND("//",B117,1)+1,0),"")&amp;"/",1),LEN(B117),""),"www.","",1)</f>
        <v>bueromoebel-lieferant.de</v>
      </c>
      <c r="D117" s="13">
        <f>COUNTIF($C$2:$C$801,C117)</f>
        <v>1</v>
      </c>
      <c r="E117" s="10" t="s">
        <v>382</v>
      </c>
      <c r="F117" s="4" t="s">
        <v>729</v>
      </c>
      <c r="G117" s="31" t="s">
        <v>4</v>
      </c>
      <c r="H117" s="31" t="s">
        <v>965</v>
      </c>
      <c r="I117" s="10" t="s">
        <v>977</v>
      </c>
    </row>
    <row r="118" spans="1:9" ht="23" customHeight="1" x14ac:dyDescent="0.15">
      <c r="A118" s="4" t="s">
        <v>28</v>
      </c>
      <c r="B118" s="6" t="s">
        <v>472</v>
      </c>
      <c r="C118" s="13" t="str">
        <f>SUBSTITUTE(REPLACE(REPLACE(B118,1,IFERROR(FIND("//",B118,1)+1,0),"")&amp;"/",FIND("/",REPLACE(B118,1,IFERROR(FIND("//",B118,1)+1,0),"")&amp;"/",1),LEN(B118),""),"www.","",1)</f>
        <v>bueromoebel-sachsen-manig-palme.de</v>
      </c>
      <c r="D118" s="13">
        <f>COUNTIF($C$2:$C$801,C118)</f>
        <v>1</v>
      </c>
      <c r="E118" s="10" t="s">
        <v>27</v>
      </c>
      <c r="F118" s="4" t="s">
        <v>729</v>
      </c>
      <c r="G118" s="31" t="s">
        <v>4</v>
      </c>
      <c r="H118" s="31" t="s">
        <v>965</v>
      </c>
      <c r="I118" s="10" t="s">
        <v>977</v>
      </c>
    </row>
    <row r="119" spans="1:9" ht="23" customHeight="1" x14ac:dyDescent="0.15">
      <c r="A119" s="4" t="s">
        <v>28</v>
      </c>
      <c r="B119" s="6" t="s">
        <v>473</v>
      </c>
      <c r="C119" s="13" t="str">
        <f>SUBSTITUTE(REPLACE(REPLACE(B119,1,IFERROR(FIND("//",B119,1)+1,0),"")&amp;"/",FIND("/",REPLACE(B119,1,IFERROR(FIND("//",B119,1)+1,0),"")&amp;"/",1),LEN(B119),""),"www.","",1)</f>
        <v>bueromoebelhamburg.com</v>
      </c>
      <c r="D119" s="13">
        <f>COUNTIF($C$2:$C$801,C119)</f>
        <v>1</v>
      </c>
      <c r="E119" s="10" t="s">
        <v>241</v>
      </c>
      <c r="F119" s="4" t="s">
        <v>729</v>
      </c>
      <c r="G119" s="31" t="s">
        <v>4</v>
      </c>
      <c r="H119" s="31" t="s">
        <v>965</v>
      </c>
      <c r="I119" s="10" t="s">
        <v>977</v>
      </c>
    </row>
    <row r="120" spans="1:9" ht="23" customHeight="1" x14ac:dyDescent="0.15">
      <c r="A120" s="4" t="s">
        <v>28</v>
      </c>
      <c r="B120" s="6" t="s">
        <v>137</v>
      </c>
      <c r="C120" s="13" t="str">
        <f>SUBSTITUTE(REPLACE(REPLACE(B120,1,IFERROR(FIND("//",B120,1)+1,0),"")&amp;"/",FIND("/",REPLACE(B120,1,IFERROR(FIND("//",B120,1)+1,0),"")&amp;"/",1),LEN(B120),""),"www.","",1)</f>
        <v>bueropartnerteam.com</v>
      </c>
      <c r="D120" s="13">
        <f>COUNTIF($C$2:$C$801,C120)</f>
        <v>1</v>
      </c>
      <c r="E120" s="10" t="s">
        <v>706</v>
      </c>
      <c r="F120" s="4" t="s">
        <v>729</v>
      </c>
      <c r="G120" s="31" t="s">
        <v>5</v>
      </c>
      <c r="H120" s="31" t="s">
        <v>965</v>
      </c>
      <c r="I120" s="10" t="s">
        <v>981</v>
      </c>
    </row>
    <row r="121" spans="1:9" ht="23" customHeight="1" x14ac:dyDescent="0.15">
      <c r="A121" s="4" t="s">
        <v>28</v>
      </c>
      <c r="B121" s="6" t="s">
        <v>61</v>
      </c>
      <c r="C121" s="13" t="str">
        <f>SUBSTITUTE(REPLACE(REPLACE(B121,1,IFERROR(FIND("//",B121,1)+1,0),"")&amp;"/",FIND("/",REPLACE(B121,1,IFERROR(FIND("//",B121,1)+1,0),"")&amp;"/",1),LEN(B121),""),"www.","",1)</f>
        <v>bueroprofil.de</v>
      </c>
      <c r="D121" s="13">
        <f>COUNTIF($C$2:$C$801,C121)</f>
        <v>1</v>
      </c>
      <c r="E121" s="10" t="s">
        <v>28</v>
      </c>
      <c r="F121" s="4" t="s">
        <v>729</v>
      </c>
      <c r="G121" s="31" t="s">
        <v>4</v>
      </c>
      <c r="H121" s="31" t="s">
        <v>965</v>
      </c>
      <c r="I121" s="10" t="s">
        <v>977</v>
      </c>
    </row>
    <row r="122" spans="1:9" ht="23" customHeight="1" x14ac:dyDescent="0.15">
      <c r="A122" s="4" t="s">
        <v>28</v>
      </c>
      <c r="B122" s="6" t="s">
        <v>397</v>
      </c>
      <c r="C122" s="13" t="str">
        <f>SUBSTITUTE(REPLACE(REPLACE(B122,1,IFERROR(FIND("//",B122,1)+1,0),"")&amp;"/",FIND("/",REPLACE(B122,1,IFERROR(FIND("//",B122,1)+1,0),"")&amp;"/",1),LEN(B122),""),"www.","",1)</f>
        <v>bueroprofil.spring-7.de</v>
      </c>
      <c r="D122" s="13">
        <f>COUNTIF($C$2:$C$801,C122)</f>
        <v>1</v>
      </c>
      <c r="E122" s="10" t="s">
        <v>28</v>
      </c>
      <c r="F122" s="4" t="s">
        <v>729</v>
      </c>
      <c r="G122" s="31" t="s">
        <v>4</v>
      </c>
      <c r="H122" s="31" t="s">
        <v>965</v>
      </c>
      <c r="I122" s="10" t="s">
        <v>977</v>
      </c>
    </row>
    <row r="123" spans="1:9" ht="23" customHeight="1" x14ac:dyDescent="0.15">
      <c r="A123" s="4" t="s">
        <v>28</v>
      </c>
      <c r="B123" s="6" t="s">
        <v>474</v>
      </c>
      <c r="C123" s="13" t="str">
        <f>SUBSTITUTE(REPLACE(REPLACE(B123,1,IFERROR(FIND("//",B123,1)+1,0),"")&amp;"/",FIND("/",REPLACE(B123,1,IFERROR(FIND("//",B123,1)+1,0),"")&amp;"/",1),LEN(B123),""),"www.","",1)</f>
        <v>buerostuehle.hamburg</v>
      </c>
      <c r="D123" s="13">
        <f>COUNTIF($C$2:$C$801,C123)</f>
        <v>1</v>
      </c>
      <c r="E123" s="10" t="s">
        <v>241</v>
      </c>
      <c r="F123" s="4" t="s">
        <v>729</v>
      </c>
      <c r="G123" s="31" t="s">
        <v>4</v>
      </c>
      <c r="H123" s="31" t="s">
        <v>965</v>
      </c>
      <c r="I123" s="10" t="s">
        <v>977</v>
      </c>
    </row>
    <row r="124" spans="1:9" ht="23" customHeight="1" x14ac:dyDescent="0.15">
      <c r="A124" s="4" t="s">
        <v>28</v>
      </c>
      <c r="B124" s="6" t="s">
        <v>353</v>
      </c>
      <c r="C124" s="13" t="str">
        <f>SUBSTITUTE(REPLACE(REPLACE(B124,1,IFERROR(FIND("//",B124,1)+1,0),"")&amp;"/",FIND("/",REPLACE(B124,1,IFERROR(FIND("//",B124,1)+1,0),"")&amp;"/",1),LEN(B124),""),"www.","",1)</f>
        <v>buerosysteme-fassbach.de</v>
      </c>
      <c r="D124" s="13">
        <f>COUNTIF($C$2:$C$801,C124)</f>
        <v>1</v>
      </c>
      <c r="E124" s="10" t="s">
        <v>354</v>
      </c>
      <c r="F124" s="4" t="s">
        <v>729</v>
      </c>
      <c r="G124" s="31" t="s">
        <v>4</v>
      </c>
      <c r="H124" s="31" t="s">
        <v>965</v>
      </c>
      <c r="I124" s="10" t="s">
        <v>977</v>
      </c>
    </row>
    <row r="125" spans="1:9" ht="23" customHeight="1" x14ac:dyDescent="0.15">
      <c r="A125" s="4" t="s">
        <v>28</v>
      </c>
      <c r="B125" s="6" t="s">
        <v>220</v>
      </c>
      <c r="C125" s="13" t="str">
        <f>SUBSTITUTE(REPLACE(REPLACE(B125,1,IFERROR(FIND("//",B125,1)+1,0),"")&amp;"/",FIND("/",REPLACE(B125,1,IFERROR(FIND("//",B125,1)+1,0),"")&amp;"/",1),LEN(B125),""),"www.","",1)</f>
        <v>bueroversandhamburg.de</v>
      </c>
      <c r="D125" s="13">
        <f>COUNTIF($C$2:$C$801,C125)</f>
        <v>1</v>
      </c>
      <c r="E125" s="10" t="s">
        <v>237</v>
      </c>
      <c r="F125" s="4" t="s">
        <v>729</v>
      </c>
      <c r="G125" s="31" t="s">
        <v>5</v>
      </c>
      <c r="H125" s="31" t="s">
        <v>965</v>
      </c>
      <c r="I125" s="10" t="s">
        <v>981</v>
      </c>
    </row>
    <row r="126" spans="1:9" ht="23" customHeight="1" x14ac:dyDescent="0.15">
      <c r="A126" s="4" t="s">
        <v>28</v>
      </c>
      <c r="B126" s="6" t="s">
        <v>594</v>
      </c>
      <c r="C126" s="13" t="str">
        <f>SUBSTITUTE(REPLACE(REPLACE(B126,1,IFERROR(FIND("//",B126,1)+1,0),"")&amp;"/",FIND("/",REPLACE(B126,1,IFERROR(FIND("//",B126,1)+1,0),"")&amp;"/",1),LEN(B126),""),"www.","",1)</f>
        <v>bueser-buerotechnik.de</v>
      </c>
      <c r="D126" s="13">
        <f>COUNTIF($C$2:$C$801,C126)</f>
        <v>1</v>
      </c>
      <c r="E126" s="10" t="s">
        <v>595</v>
      </c>
      <c r="F126" s="4" t="s">
        <v>729</v>
      </c>
      <c r="G126" s="31" t="s">
        <v>4</v>
      </c>
      <c r="H126" s="31" t="s">
        <v>965</v>
      </c>
      <c r="I126" s="10" t="s">
        <v>977</v>
      </c>
    </row>
    <row r="127" spans="1:9" ht="23" customHeight="1" x14ac:dyDescent="0.15">
      <c r="A127" s="4" t="s">
        <v>28</v>
      </c>
      <c r="B127" s="6" t="s">
        <v>648</v>
      </c>
      <c r="C127" s="13" t="str">
        <f>SUBSTITUTE(REPLACE(REPLACE(B127,1,IFERROR(FIND("//",B127,1)+1,0),"")&amp;"/",FIND("/",REPLACE(B127,1,IFERROR(FIND("//",B127,1)+1,0),"")&amp;"/",1),LEN(B127),""),"www.","",1)</f>
        <v>büro-objektmöbel.de</v>
      </c>
      <c r="D127" s="13">
        <f>COUNTIF($C$2:$C$801,C127)</f>
        <v>1</v>
      </c>
      <c r="E127" s="10"/>
      <c r="F127" s="4" t="s">
        <v>729</v>
      </c>
      <c r="G127" s="31" t="s">
        <v>4</v>
      </c>
      <c r="H127" s="31" t="s">
        <v>965</v>
      </c>
      <c r="I127" s="10" t="s">
        <v>977</v>
      </c>
    </row>
    <row r="128" spans="1:9" ht="23" customHeight="1" x14ac:dyDescent="0.15">
      <c r="A128" s="4" t="s">
        <v>28</v>
      </c>
      <c r="B128" s="6" t="s">
        <v>38</v>
      </c>
      <c r="C128" s="13" t="str">
        <f>SUBSTITUTE(REPLACE(REPLACE(B128,1,IFERROR(FIND("//",B128,1)+1,0),"")&amp;"/",FIND("/",REPLACE(B128,1,IFERROR(FIND("//",B128,1)+1,0),"")&amp;"/",1),LEN(B128),""),"www.","",1)</f>
        <v>bw-officeworld.de</v>
      </c>
      <c r="D128" s="13">
        <f>COUNTIF($C$2:$C$801,C128)</f>
        <v>1</v>
      </c>
      <c r="E128" s="10" t="s">
        <v>237</v>
      </c>
      <c r="F128" s="4" t="s">
        <v>729</v>
      </c>
      <c r="G128" s="31" t="s">
        <v>4</v>
      </c>
      <c r="H128" s="31" t="s">
        <v>965</v>
      </c>
      <c r="I128" s="10" t="s">
        <v>977</v>
      </c>
    </row>
    <row r="129" spans="1:9" ht="23" customHeight="1" x14ac:dyDescent="0.15">
      <c r="A129" s="4" t="s">
        <v>28</v>
      </c>
      <c r="B129" s="6" t="s">
        <v>602</v>
      </c>
      <c r="C129" s="13" t="str">
        <f>SUBSTITUTE(REPLACE(REPLACE(B129,1,IFERROR(FIND("//",B129,1)+1,0),"")&amp;"/",FIND("/",REPLACE(B129,1,IFERROR(FIND("//",B129,1)+1,0),"")&amp;"/",1),LEN(B129),""),"www.","",1)</f>
        <v>bz-dw.de</v>
      </c>
      <c r="D129" s="13">
        <f>COUNTIF($C$2:$C$801,C129)</f>
        <v>1</v>
      </c>
      <c r="E129" s="10"/>
      <c r="F129" s="4" t="s">
        <v>729</v>
      </c>
      <c r="G129" s="31" t="s">
        <v>4</v>
      </c>
      <c r="H129" s="31" t="s">
        <v>965</v>
      </c>
      <c r="I129" s="10" t="s">
        <v>977</v>
      </c>
    </row>
    <row r="130" spans="1:9" ht="23" customHeight="1" x14ac:dyDescent="0.15">
      <c r="A130" s="4" t="s">
        <v>28</v>
      </c>
      <c r="B130" s="6" t="s">
        <v>184</v>
      </c>
      <c r="C130" s="13" t="str">
        <f>SUBSTITUTE(REPLACE(REPLACE(B130,1,IFERROR(FIND("//",B130,1)+1,0),"")&amp;"/",FIND("/",REPLACE(B130,1,IFERROR(FIND("//",B130,1)+1,0),"")&amp;"/",1),LEN(B130),""),"www.","",1)</f>
        <v>c-ompany.de</v>
      </c>
      <c r="D130" s="13">
        <f>COUNTIF($C$2:$C$801,C130)</f>
        <v>1</v>
      </c>
      <c r="E130" s="10" t="s">
        <v>716</v>
      </c>
      <c r="F130" s="4"/>
      <c r="G130" s="31" t="s">
        <v>5</v>
      </c>
      <c r="H130" s="31" t="s">
        <v>965</v>
      </c>
      <c r="I130" s="10" t="s">
        <v>981</v>
      </c>
    </row>
    <row r="131" spans="1:9" ht="23" customHeight="1" x14ac:dyDescent="0.15">
      <c r="A131" s="4" t="s">
        <v>28</v>
      </c>
      <c r="B131" s="6" t="s">
        <v>398</v>
      </c>
      <c r="C131" s="13" t="str">
        <f>SUBSTITUTE(REPLACE(REPLACE(B131,1,IFERROR(FIND("//",B131,1)+1,0),"")&amp;"/",FIND("/",REPLACE(B131,1,IFERROR(FIND("//",B131,1)+1,0),"")&amp;"/",1),LEN(B131),""),"www.","",1)</f>
        <v>carstensen.double-youmedia.de</v>
      </c>
      <c r="D131" s="13">
        <f>COUNTIF($C$2:$C$801,C131)</f>
        <v>1</v>
      </c>
      <c r="E131" s="10" t="s">
        <v>20</v>
      </c>
      <c r="F131" s="4"/>
      <c r="G131" s="31" t="s">
        <v>5</v>
      </c>
      <c r="H131" s="31" t="s">
        <v>965</v>
      </c>
      <c r="I131" s="10" t="s">
        <v>981</v>
      </c>
    </row>
    <row r="132" spans="1:9" ht="23" customHeight="1" x14ac:dyDescent="0.15">
      <c r="A132" s="4" t="s">
        <v>28</v>
      </c>
      <c r="B132" s="6" t="s">
        <v>332</v>
      </c>
      <c r="C132" s="13" t="str">
        <f>SUBSTITUTE(REPLACE(REPLACE(B132,1,IFERROR(FIND("//",B132,1)+1,0),"")&amp;"/",FIND("/",REPLACE(B132,1,IFERROR(FIND("//",B132,1)+1,0),"")&amp;"/",1),LEN(B132),""),"www.","",1)</f>
        <v>caseconrad.com</v>
      </c>
      <c r="D132" s="13">
        <f>COUNTIF($C$2:$C$801,C132)</f>
        <v>1</v>
      </c>
      <c r="E132" s="10" t="s">
        <v>333</v>
      </c>
      <c r="F132" s="4" t="s">
        <v>730</v>
      </c>
      <c r="G132" s="31" t="s">
        <v>6</v>
      </c>
      <c r="H132" s="31" t="s">
        <v>967</v>
      </c>
      <c r="I132" s="16" t="s">
        <v>985</v>
      </c>
    </row>
    <row r="133" spans="1:9" ht="23" customHeight="1" x14ac:dyDescent="0.15">
      <c r="A133" s="4" t="s">
        <v>28</v>
      </c>
      <c r="B133" s="6" t="s">
        <v>399</v>
      </c>
      <c r="C133" s="13" t="str">
        <f>SUBSTITUTE(REPLACE(REPLACE(B133,1,IFERROR(FIND("//",B133,1)+1,0),"")&amp;"/",FIND("/",REPLACE(B133,1,IFERROR(FIND("//",B133,1)+1,0),"")&amp;"/",1),LEN(B133),""),"www.","",1)</f>
        <v>ccmkr.net</v>
      </c>
      <c r="D133" s="13">
        <f>COUNTIF($C$2:$C$801,C133)</f>
        <v>1</v>
      </c>
      <c r="E133" s="10" t="s">
        <v>400</v>
      </c>
      <c r="F133" s="4" t="s">
        <v>730</v>
      </c>
      <c r="G133" s="31" t="s">
        <v>5</v>
      </c>
      <c r="H133" s="31" t="s">
        <v>965</v>
      </c>
      <c r="I133" s="10" t="s">
        <v>981</v>
      </c>
    </row>
    <row r="134" spans="1:9" ht="23" customHeight="1" x14ac:dyDescent="0.15">
      <c r="A134" s="4" t="s">
        <v>28</v>
      </c>
      <c r="B134" s="6" t="s">
        <v>281</v>
      </c>
      <c r="C134" s="13" t="str">
        <f>SUBSTITUTE(REPLACE(REPLACE(B134,1,IFERROR(FIND("//",B134,1)+1,0),"")&amp;"/",FIND("/",REPLACE(B134,1,IFERROR(FIND("//",B134,1)+1,0),"")&amp;"/",1),LEN(B134),""),"www.","",1)</f>
        <v>cebra.biz</v>
      </c>
      <c r="D134" s="13">
        <f>COUNTIF($C$2:$C$801,C134)</f>
        <v>1</v>
      </c>
      <c r="E134" s="10" t="s">
        <v>237</v>
      </c>
      <c r="F134" s="4" t="s">
        <v>732</v>
      </c>
      <c r="G134" s="31" t="s">
        <v>4</v>
      </c>
      <c r="H134" s="31" t="s">
        <v>965</v>
      </c>
      <c r="I134" s="10" t="s">
        <v>977</v>
      </c>
    </row>
    <row r="135" spans="1:9" ht="23" customHeight="1" x14ac:dyDescent="0.15">
      <c r="A135" s="4" t="s">
        <v>28</v>
      </c>
      <c r="B135" s="6" t="s">
        <v>403</v>
      </c>
      <c r="C135" s="13" t="str">
        <f>SUBSTITUTE(REPLACE(REPLACE(B135,1,IFERROR(FIND("//",B135,1)+1,0),"")&amp;"/",FIND("/",REPLACE(B135,1,IFERROR(FIND("//",B135,1)+1,0),"")&amp;"/",1),LEN(B135),""),"www.","",1)</f>
        <v>cf.jiraygroup.com</v>
      </c>
      <c r="D135" s="13">
        <f>COUNTIF($C$2:$C$801,C135)</f>
        <v>2</v>
      </c>
      <c r="E135" s="10" t="s">
        <v>404</v>
      </c>
      <c r="F135" s="4" t="s">
        <v>730</v>
      </c>
      <c r="G135" s="31" t="s">
        <v>5</v>
      </c>
      <c r="H135" s="31" t="s">
        <v>965</v>
      </c>
      <c r="I135" s="10" t="s">
        <v>981</v>
      </c>
    </row>
    <row r="136" spans="1:9" ht="23" customHeight="1" x14ac:dyDescent="0.15">
      <c r="A136" s="4" t="s">
        <v>28</v>
      </c>
      <c r="B136" s="6" t="s">
        <v>401</v>
      </c>
      <c r="C136" s="13" t="str">
        <f>SUBSTITUTE(REPLACE(REPLACE(B136,1,IFERROR(FIND("//",B136,1)+1,0),"")&amp;"/",FIND("/",REPLACE(B136,1,IFERROR(FIND("//",B136,1)+1,0),"")&amp;"/",1),LEN(B136),""),"www.","",1)</f>
        <v>cf.jiraygroup.com</v>
      </c>
      <c r="D136" s="13">
        <f>COUNTIF($C$2:$C$801,C136)</f>
        <v>2</v>
      </c>
      <c r="E136" s="10" t="s">
        <v>402</v>
      </c>
      <c r="F136" s="4" t="s">
        <v>730</v>
      </c>
      <c r="G136" s="31" t="s">
        <v>5</v>
      </c>
      <c r="H136" s="31" t="s">
        <v>965</v>
      </c>
      <c r="I136" s="10" t="s">
        <v>981</v>
      </c>
    </row>
    <row r="137" spans="1:9" ht="23" customHeight="1" x14ac:dyDescent="0.15">
      <c r="A137" s="4" t="s">
        <v>28</v>
      </c>
      <c r="B137" s="6" t="s">
        <v>203</v>
      </c>
      <c r="C137" s="13" t="str">
        <f>SUBSTITUTE(REPLACE(REPLACE(B137,1,IFERROR(FIND("//",B137,1)+1,0),"")&amp;"/",FIND("/",REPLACE(B137,1,IFERROR(FIND("//",B137,1)+1,0),"")&amp;"/",1),LEN(B137),""),"www.","",1)</f>
        <v>chairshop.de</v>
      </c>
      <c r="D137" s="13">
        <f>COUNTIF($C$2:$C$801,C137)</f>
        <v>1</v>
      </c>
      <c r="E137" s="10" t="s">
        <v>708</v>
      </c>
      <c r="F137" s="4"/>
      <c r="G137" s="31" t="s">
        <v>5</v>
      </c>
      <c r="H137" s="31" t="s">
        <v>965</v>
      </c>
      <c r="I137" s="10" t="s">
        <v>981</v>
      </c>
    </row>
    <row r="138" spans="1:9" ht="23" customHeight="1" x14ac:dyDescent="0.15">
      <c r="A138" s="4" t="s">
        <v>28</v>
      </c>
      <c r="B138" s="6" t="s">
        <v>821</v>
      </c>
      <c r="C138" s="13" t="str">
        <f>SUBSTITUTE(REPLACE(REPLACE(B138,1,IFERROR(FIND("//",B138,1)+1,0),"")&amp;"/",FIND("/",REPLACE(B138,1,IFERROR(FIND("//",B138,1)+1,0),"")&amp;"/",1),LEN(B138),""),"www.","",1)</f>
        <v>chotoka.net</v>
      </c>
      <c r="D138" s="13">
        <f>COUNTIF($C$2:$C$801,C138)</f>
        <v>1</v>
      </c>
      <c r="E138" s="10" t="s">
        <v>919</v>
      </c>
      <c r="F138" s="4" t="s">
        <v>730</v>
      </c>
      <c r="G138" s="31" t="s">
        <v>6</v>
      </c>
      <c r="H138" s="31" t="s">
        <v>967</v>
      </c>
      <c r="I138" s="10" t="s">
        <v>979</v>
      </c>
    </row>
    <row r="139" spans="1:9" ht="23" customHeight="1" x14ac:dyDescent="0.15">
      <c r="A139" s="4" t="s">
        <v>28</v>
      </c>
      <c r="B139" s="6" t="s">
        <v>57</v>
      </c>
      <c r="C139" s="13" t="str">
        <f>SUBSTITUTE(REPLACE(REPLACE(B139,1,IFERROR(FIND("//",B139,1)+1,0),"")&amp;"/",FIND("/",REPLACE(B139,1,IFERROR(FIND("//",B139,1)+1,0),"")&amp;"/",1),LEN(B139),""),"www.","",1)</f>
        <v>ci-konzepte.de</v>
      </c>
      <c r="D139" s="13">
        <f>COUNTIF($C$2:$C$801,C139)</f>
        <v>1</v>
      </c>
      <c r="E139" s="10" t="s">
        <v>237</v>
      </c>
      <c r="F139" s="4" t="s">
        <v>729</v>
      </c>
      <c r="G139" s="31" t="s">
        <v>4</v>
      </c>
      <c r="H139" s="31" t="s">
        <v>965</v>
      </c>
      <c r="I139" s="10" t="s">
        <v>977</v>
      </c>
    </row>
    <row r="140" spans="1:9" ht="23" customHeight="1" x14ac:dyDescent="0.15">
      <c r="A140" s="4" t="s">
        <v>28</v>
      </c>
      <c r="B140" s="6" t="s">
        <v>475</v>
      </c>
      <c r="C140" s="13" t="str">
        <f>SUBSTITUTE(REPLACE(REPLACE(B140,1,IFERROR(FIND("//",B140,1)+1,0),"")&amp;"/",FIND("/",REPLACE(B140,1,IFERROR(FIND("//",B140,1)+1,0),"")&amp;"/",1),LEN(B140),""),"www.","",1)</f>
        <v>citedelagloire.org</v>
      </c>
      <c r="D140" s="13">
        <f>COUNTIF($C$2:$C$801,C140)</f>
        <v>1</v>
      </c>
      <c r="E140" s="10" t="s">
        <v>389</v>
      </c>
      <c r="F140" s="4" t="s">
        <v>730</v>
      </c>
      <c r="G140" s="31" t="s">
        <v>5</v>
      </c>
      <c r="H140" s="31" t="s">
        <v>965</v>
      </c>
      <c r="I140" s="10" t="s">
        <v>981</v>
      </c>
    </row>
    <row r="141" spans="1:9" ht="23" customHeight="1" x14ac:dyDescent="0.15">
      <c r="A141" s="4" t="s">
        <v>28</v>
      </c>
      <c r="B141" s="6" t="s">
        <v>222</v>
      </c>
      <c r="C141" s="13" t="str">
        <f>SUBSTITUTE(REPLACE(REPLACE(B141,1,IFERROR(FIND("//",B141,1)+1,0),"")&amp;"/",FIND("/",REPLACE(B141,1,IFERROR(FIND("//",B141,1)+1,0),"")&amp;"/",1),LEN(B141),""),"www.","",1)</f>
        <v>classen-design.de</v>
      </c>
      <c r="D141" s="13">
        <f>COUNTIF($C$2:$C$801,C141)</f>
        <v>1</v>
      </c>
      <c r="E141" s="10" t="s">
        <v>237</v>
      </c>
      <c r="F141" s="4" t="s">
        <v>729</v>
      </c>
      <c r="G141" s="31" t="s">
        <v>4</v>
      </c>
      <c r="H141" s="31" t="s">
        <v>965</v>
      </c>
      <c r="I141" s="10" t="s">
        <v>977</v>
      </c>
    </row>
    <row r="142" spans="1:9" ht="23" customHeight="1" x14ac:dyDescent="0.15">
      <c r="A142" s="4" t="s">
        <v>28</v>
      </c>
      <c r="B142" s="6" t="s">
        <v>405</v>
      </c>
      <c r="C142" s="13" t="str">
        <f>SUBSTITUTE(REPLACE(REPLACE(B142,1,IFERROR(FIND("//",B142,1)+1,0),"")&amp;"/",FIND("/",REPLACE(B142,1,IFERROR(FIND("//",B142,1)+1,0),"")&amp;"/",1),LEN(B142),""),"www.","",1)</f>
        <v>classen.dscdev.de</v>
      </c>
      <c r="D142" s="13">
        <f>COUNTIF($C$2:$C$801,C142)</f>
        <v>1</v>
      </c>
      <c r="E142" s="10" t="s">
        <v>237</v>
      </c>
      <c r="F142" s="4" t="s">
        <v>729</v>
      </c>
      <c r="G142" s="31" t="s">
        <v>4</v>
      </c>
      <c r="H142" s="31" t="s">
        <v>965</v>
      </c>
      <c r="I142" s="10" t="s">
        <v>977</v>
      </c>
    </row>
    <row r="143" spans="1:9" ht="23" customHeight="1" x14ac:dyDescent="0.15">
      <c r="A143" s="4" t="s">
        <v>28</v>
      </c>
      <c r="B143" s="6" t="s">
        <v>838</v>
      </c>
      <c r="C143" s="13" t="str">
        <f>SUBSTITUTE(REPLACE(REPLACE(B143,1,IFERROR(FIND("//",B143,1)+1,0),"")&amp;"/",FIND("/",REPLACE(B143,1,IFERROR(FIND("//",B143,1)+1,0),"")&amp;"/",1),LEN(B143),""),"www.","",1)</f>
        <v>co.mengger.com</v>
      </c>
      <c r="D143" s="13">
        <f>COUNTIF($C$2:$C$801,C143)</f>
        <v>1</v>
      </c>
      <c r="E143" s="10" t="s">
        <v>924</v>
      </c>
      <c r="F143" s="4" t="s">
        <v>730</v>
      </c>
      <c r="G143" s="31" t="s">
        <v>5</v>
      </c>
      <c r="H143" s="31" t="s">
        <v>965</v>
      </c>
      <c r="I143" s="10" t="s">
        <v>981</v>
      </c>
    </row>
    <row r="144" spans="1:9" ht="23" customHeight="1" x14ac:dyDescent="0.15">
      <c r="A144" s="4" t="s">
        <v>28</v>
      </c>
      <c r="B144" s="6" t="s">
        <v>476</v>
      </c>
      <c r="C144" s="13" t="str">
        <f>SUBSTITUTE(REPLACE(REPLACE(B144,1,IFERROR(FIND("//",B144,1)+1,0),"")&amp;"/",FIND("/",REPLACE(B144,1,IFERROR(FIND("//",B144,1)+1,0),"")&amp;"/",1),LEN(B144),""),"www.","",1)</f>
        <v>concept-office.nl</v>
      </c>
      <c r="D144" s="13">
        <f>COUNTIF($C$2:$C$801,C144)</f>
        <v>1</v>
      </c>
      <c r="E144" s="10"/>
      <c r="F144" s="4" t="s">
        <v>729</v>
      </c>
      <c r="G144" s="31" t="s">
        <v>5</v>
      </c>
      <c r="H144" s="31" t="s">
        <v>965</v>
      </c>
      <c r="I144" s="10" t="s">
        <v>981</v>
      </c>
    </row>
    <row r="145" spans="1:9" ht="23" customHeight="1" x14ac:dyDescent="0.15">
      <c r="A145" s="4" t="s">
        <v>28</v>
      </c>
      <c r="B145" s="6" t="s">
        <v>355</v>
      </c>
      <c r="C145" s="13" t="str">
        <f>SUBSTITUTE(REPLACE(REPLACE(B145,1,IFERROR(FIND("//",B145,1)+1,0),"")&amp;"/",FIND("/",REPLACE(B145,1,IFERROR(FIND("//",B145,1)+1,0),"")&amp;"/",1),LEN(B145),""),"www.","",1)</f>
        <v>configedit.wordpress.com</v>
      </c>
      <c r="D145" s="13">
        <f>COUNTIF($C$2:$C$801,C145)</f>
        <v>1</v>
      </c>
      <c r="E145" s="10" t="s">
        <v>267</v>
      </c>
      <c r="F145" s="4" t="s">
        <v>730</v>
      </c>
      <c r="G145" s="31" t="s">
        <v>6</v>
      </c>
      <c r="H145" s="31" t="s">
        <v>970</v>
      </c>
      <c r="I145" s="16" t="s">
        <v>985</v>
      </c>
    </row>
    <row r="146" spans="1:9" ht="23" customHeight="1" x14ac:dyDescent="0.15">
      <c r="A146" s="4" t="s">
        <v>28</v>
      </c>
      <c r="B146" s="6" t="s">
        <v>301</v>
      </c>
      <c r="C146" s="13" t="str">
        <f>SUBSTITUTE(REPLACE(REPLACE(B146,1,IFERROR(FIND("//",B146,1)+1,0),"")&amp;"/",FIND("/",REPLACE(B146,1,IFERROR(FIND("//",B146,1)+1,0),"")&amp;"/",1),LEN(B146),""),"www.","",1)</f>
        <v>connectiv.de</v>
      </c>
      <c r="D146" s="13">
        <f>COUNTIF($C$2:$C$801,C146)</f>
        <v>1</v>
      </c>
      <c r="E146" s="10" t="s">
        <v>302</v>
      </c>
      <c r="F146" s="4" t="s">
        <v>739</v>
      </c>
      <c r="G146" s="31" t="s">
        <v>4</v>
      </c>
      <c r="H146" s="31" t="s">
        <v>965</v>
      </c>
      <c r="I146" s="10" t="s">
        <v>977</v>
      </c>
    </row>
    <row r="147" spans="1:9" ht="23" customHeight="1" x14ac:dyDescent="0.15">
      <c r="A147" s="4" t="s">
        <v>28</v>
      </c>
      <c r="B147" s="6" t="s">
        <v>1034</v>
      </c>
      <c r="C147" s="13" t="str">
        <f>SUBSTITUTE(REPLACE(REPLACE(B147,1,IFERROR(FIND("//",B147,1)+1,0),"")&amp;"/",FIND("/",REPLACE(B147,1,IFERROR(FIND("//",B147,1)+1,0),"")&amp;"/",1),LEN(B147),""),"www.","",1)</f>
        <v>contractormeta.com</v>
      </c>
      <c r="D147" s="13">
        <f>COUNTIF($C$2:$C$801,C147)</f>
        <v>1</v>
      </c>
      <c r="E147" s="10" t="s">
        <v>237</v>
      </c>
      <c r="F147" s="4" t="s">
        <v>730</v>
      </c>
      <c r="G147" s="31" t="s">
        <v>6</v>
      </c>
      <c r="H147" s="31" t="s">
        <v>1084</v>
      </c>
      <c r="I147" s="10"/>
    </row>
    <row r="148" spans="1:9" ht="23" customHeight="1" x14ac:dyDescent="0.15">
      <c r="A148" s="4" t="s">
        <v>28</v>
      </c>
      <c r="B148" s="6" t="s">
        <v>406</v>
      </c>
      <c r="C148" s="13" t="str">
        <f>SUBSTITUTE(REPLACE(REPLACE(B148,1,IFERROR(FIND("//",B148,1)+1,0),"")&amp;"/",FIND("/",REPLACE(B148,1,IFERROR(FIND("//",B148,1)+1,0),"")&amp;"/",1),LEN(B148),""),"www.","",1)</f>
        <v>cosmeddicted.com</v>
      </c>
      <c r="D148" s="13">
        <f>COUNTIF($C$2:$C$801,C148)</f>
        <v>1</v>
      </c>
      <c r="E148" s="10" t="s">
        <v>295</v>
      </c>
      <c r="F148" s="4" t="s">
        <v>730</v>
      </c>
      <c r="G148" s="31" t="s">
        <v>5</v>
      </c>
      <c r="H148" s="31" t="s">
        <v>965</v>
      </c>
      <c r="I148" s="10" t="s">
        <v>981</v>
      </c>
    </row>
    <row r="149" spans="1:9" ht="23" customHeight="1" x14ac:dyDescent="0.15">
      <c r="A149" s="4" t="s">
        <v>28</v>
      </c>
      <c r="B149" s="6" t="s">
        <v>223</v>
      </c>
      <c r="C149" s="13" t="str">
        <f>SUBSTITUTE(REPLACE(REPLACE(B149,1,IFERROR(FIND("//",B149,1)+1,0),"")&amp;"/",FIND("/",REPLACE(B149,1,IFERROR(FIND("//",B149,1)+1,0),"")&amp;"/",1),LEN(B149),""),"www.","",1)</f>
        <v>cvjm-roedinghausen-sport.de</v>
      </c>
      <c r="D149" s="13">
        <f>COUNTIF($C$2:$C$801,C149)</f>
        <v>1</v>
      </c>
      <c r="E149" s="10" t="s">
        <v>12</v>
      </c>
      <c r="F149" s="4" t="s">
        <v>13</v>
      </c>
      <c r="G149" s="31" t="s">
        <v>5</v>
      </c>
      <c r="H149" s="31" t="s">
        <v>965</v>
      </c>
      <c r="I149" s="10" t="s">
        <v>981</v>
      </c>
    </row>
    <row r="150" spans="1:9" ht="23" customHeight="1" x14ac:dyDescent="0.15">
      <c r="A150" s="4" t="s">
        <v>28</v>
      </c>
      <c r="B150" s="6" t="s">
        <v>357</v>
      </c>
      <c r="C150" s="13" t="str">
        <f>SUBSTITUTE(REPLACE(REPLACE(B150,1,IFERROR(FIND("//",B150,1)+1,0),"")&amp;"/",FIND("/",REPLACE(B150,1,IFERROR(FIND("//",B150,1)+1,0),"")&amp;"/",1),LEN(B150),""),"www.","",1)</f>
        <v>cylex-branchenbuch-braunschweig.de</v>
      </c>
      <c r="D150" s="13">
        <f>COUNTIF($C$2:$C$801,C150)</f>
        <v>1</v>
      </c>
      <c r="E150" s="10" t="s">
        <v>358</v>
      </c>
      <c r="F150" s="4" t="s">
        <v>25</v>
      </c>
      <c r="G150" s="31" t="s">
        <v>5</v>
      </c>
      <c r="H150" s="31" t="s">
        <v>965</v>
      </c>
      <c r="I150" s="10" t="s">
        <v>981</v>
      </c>
    </row>
    <row r="151" spans="1:9" ht="23" customHeight="1" x14ac:dyDescent="0.15">
      <c r="A151" s="4" t="s">
        <v>28</v>
      </c>
      <c r="B151" s="6" t="s">
        <v>934</v>
      </c>
      <c r="C151" s="13" t="str">
        <f>SUBSTITUTE(REPLACE(REPLACE(B151,1,IFERROR(FIND("//",B151,1)+1,0),"")&amp;"/",FIND("/",REPLACE(B151,1,IFERROR(FIND("//",B151,1)+1,0),"")&amp;"/",1),LEN(B151),""),"www.","",1)</f>
        <v>d1mi357fofxv7j.cloudfront.net</v>
      </c>
      <c r="D151" s="13">
        <f>COUNTIF($C$2:$C$801,C151)</f>
        <v>1</v>
      </c>
      <c r="E151" s="10" t="s">
        <v>942</v>
      </c>
      <c r="F151" s="4" t="s">
        <v>13</v>
      </c>
      <c r="G151" s="31" t="s">
        <v>4</v>
      </c>
      <c r="H151" s="31" t="s">
        <v>965</v>
      </c>
      <c r="I151" s="10" t="s">
        <v>977</v>
      </c>
    </row>
    <row r="152" spans="1:9" ht="23" customHeight="1" x14ac:dyDescent="0.15">
      <c r="A152" s="4" t="s">
        <v>28</v>
      </c>
      <c r="B152" s="6" t="s">
        <v>1059</v>
      </c>
      <c r="C152" s="13" t="str">
        <f>SUBSTITUTE(REPLACE(REPLACE(B152,1,IFERROR(FIND("//",B152,1)+1,0),"")&amp;"/",FIND("/",REPLACE(B152,1,IFERROR(FIND("//",B152,1)+1,0),"")&amp;"/",1),LEN(B152),""),"www.","",1)</f>
        <v>daisymckenzie.blogspot.com</v>
      </c>
      <c r="D152" s="13">
        <f>COUNTIF($C$2:$C$801,C152)</f>
        <v>1</v>
      </c>
      <c r="E152" s="10" t="s">
        <v>918</v>
      </c>
      <c r="F152" s="4" t="s">
        <v>730</v>
      </c>
      <c r="G152" s="31" t="s">
        <v>6</v>
      </c>
      <c r="H152" s="31" t="s">
        <v>1084</v>
      </c>
      <c r="I152" s="10"/>
    </row>
    <row r="153" spans="1:9" ht="23" customHeight="1" x14ac:dyDescent="0.15">
      <c r="A153" s="4" t="s">
        <v>28</v>
      </c>
      <c r="B153" s="6" t="s">
        <v>761</v>
      </c>
      <c r="C153" s="35" t="str">
        <f>SUBSTITUTE(REPLACE(REPLACE(B153,1,IFERROR(FIND("//",B153,1)+1,0),"")&amp;"/",FIND("/",REPLACE(B153,1,IFERROR(FIND("//",B153,1)+1,0),"")&amp;"/",1),LEN(B153),""),"www.","",1)</f>
        <v>das-unternehmerhandbuch.de</v>
      </c>
      <c r="D153" s="13">
        <f>COUNTIF($C$2:$C$801,C153)</f>
        <v>1</v>
      </c>
      <c r="E153" s="10" t="s">
        <v>897</v>
      </c>
      <c r="F153" s="4" t="s">
        <v>732</v>
      </c>
      <c r="G153" s="31" t="s">
        <v>4</v>
      </c>
      <c r="H153" s="31" t="s">
        <v>965</v>
      </c>
      <c r="I153" s="10" t="s">
        <v>977</v>
      </c>
    </row>
    <row r="154" spans="1:9" ht="23" customHeight="1" x14ac:dyDescent="0.15">
      <c r="A154" s="4" t="s">
        <v>28</v>
      </c>
      <c r="B154" s="6" t="s">
        <v>130</v>
      </c>
      <c r="C154" s="13" t="str">
        <f>SUBSTITUTE(REPLACE(REPLACE(B154,1,IFERROR(FIND("//",B154,1)+1,0),"")&amp;"/",FIND("/",REPLACE(B154,1,IFERROR(FIND("//",B154,1)+1,0),"")&amp;"/",1),LEN(B154),""),"www.","",1)</f>
        <v>de.askpins.com</v>
      </c>
      <c r="D154" s="13">
        <f>COUNTIF($C$2:$C$801,C154)</f>
        <v>1</v>
      </c>
      <c r="E154" s="10" t="s">
        <v>705</v>
      </c>
      <c r="F154" s="4"/>
      <c r="G154" s="31" t="s">
        <v>5</v>
      </c>
      <c r="H154" s="31" t="s">
        <v>965</v>
      </c>
      <c r="I154" s="10" t="s">
        <v>981</v>
      </c>
    </row>
    <row r="155" spans="1:9" ht="23" customHeight="1" x14ac:dyDescent="0.15">
      <c r="A155" s="4" t="s">
        <v>28</v>
      </c>
      <c r="B155" s="6" t="s">
        <v>767</v>
      </c>
      <c r="C155" s="13" t="str">
        <f>SUBSTITUTE(REPLACE(REPLACE(B155,1,IFERROR(FIND("//",B155,1)+1,0),"")&amp;"/",FIND("/",REPLACE(B155,1,IFERROR(FIND("//",B155,1)+1,0),"")&amp;"/",1),LEN(B155),""),"www.","",1)</f>
        <v>de.buildup.group</v>
      </c>
      <c r="D155" s="13">
        <f>COUNTIF($C$2:$C$801,C155)</f>
        <v>1</v>
      </c>
      <c r="E155" s="10" t="s">
        <v>900</v>
      </c>
      <c r="F155" s="4" t="s">
        <v>25</v>
      </c>
      <c r="G155" s="31" t="s">
        <v>4</v>
      </c>
      <c r="H155" s="31" t="s">
        <v>965</v>
      </c>
      <c r="I155" s="10" t="s">
        <v>977</v>
      </c>
    </row>
    <row r="156" spans="1:9" ht="23" customHeight="1" x14ac:dyDescent="0.15">
      <c r="A156" s="4" t="s">
        <v>28</v>
      </c>
      <c r="B156" s="6" t="s">
        <v>155</v>
      </c>
      <c r="C156" s="13" t="str">
        <f>SUBSTITUTE(REPLACE(REPLACE(B156,1,IFERROR(FIND("//",B156,1)+1,0),"")&amp;"/",FIND("/",REPLACE(B156,1,IFERROR(FIND("//",B156,1)+1,0),"")&amp;"/",1),LEN(B156),""),"www.","",1)</f>
        <v>de.itsbetter.com</v>
      </c>
      <c r="D156" s="13">
        <f>COUNTIF($C$2:$C$801,C156)</f>
        <v>1</v>
      </c>
      <c r="E156" s="10" t="s">
        <v>246</v>
      </c>
      <c r="F156" s="4" t="s">
        <v>25</v>
      </c>
      <c r="G156" s="31" t="s">
        <v>5</v>
      </c>
      <c r="H156" s="31" t="s">
        <v>965</v>
      </c>
      <c r="I156" s="10" t="s">
        <v>981</v>
      </c>
    </row>
    <row r="157" spans="1:9" ht="23" customHeight="1" x14ac:dyDescent="0.15">
      <c r="A157" s="4" t="s">
        <v>28</v>
      </c>
      <c r="B157" s="6" t="s">
        <v>407</v>
      </c>
      <c r="C157" s="13" t="str">
        <f>SUBSTITUTE(REPLACE(REPLACE(B157,1,IFERROR(FIND("//",B157,1)+1,0),"")&amp;"/",FIND("/",REPLACE(B157,1,IFERROR(FIND("//",B157,1)+1,0),"")&amp;"/",1),LEN(B157),""),"www.","",1)</f>
        <v>dealforaliving.com</v>
      </c>
      <c r="D157" s="13">
        <f>COUNTIF($C$2:$C$801,C157)</f>
        <v>1</v>
      </c>
      <c r="E157" s="10"/>
      <c r="F157" s="4" t="s">
        <v>730</v>
      </c>
      <c r="G157" s="31" t="s">
        <v>5</v>
      </c>
      <c r="H157" s="31" t="s">
        <v>965</v>
      </c>
      <c r="I157" s="10" t="s">
        <v>981</v>
      </c>
    </row>
    <row r="158" spans="1:9" ht="23" customHeight="1" x14ac:dyDescent="0.15">
      <c r="A158" s="4" t="s">
        <v>28</v>
      </c>
      <c r="B158" s="6" t="s">
        <v>657</v>
      </c>
      <c r="C158" s="13" t="str">
        <f>SUBSTITUTE(REPLACE(REPLACE(B158,1,IFERROR(FIND("//",B158,1)+1,0),"")&amp;"/",FIND("/",REPLACE(B158,1,IFERROR(FIND("//",B158,1)+1,0),"")&amp;"/",1),LEN(B158),""),"www.","",1)</f>
        <v>dein-jeans-sessel.com</v>
      </c>
      <c r="D158" s="13">
        <f>COUNTIF($C$2:$C$801,C158)</f>
        <v>1</v>
      </c>
      <c r="E158" s="10" t="s">
        <v>635</v>
      </c>
      <c r="F158" s="4"/>
      <c r="G158" s="31" t="s">
        <v>5</v>
      </c>
      <c r="H158" s="31" t="s">
        <v>965</v>
      </c>
      <c r="I158" s="10" t="s">
        <v>981</v>
      </c>
    </row>
    <row r="159" spans="1:9" ht="23" customHeight="1" x14ac:dyDescent="0.15">
      <c r="A159" s="4" t="s">
        <v>28</v>
      </c>
      <c r="B159" s="6" t="s">
        <v>408</v>
      </c>
      <c r="C159" s="13" t="str">
        <f>SUBSTITUTE(REPLACE(REPLACE(B159,1,IFERROR(FIND("//",B159,1)+1,0),"")&amp;"/",FIND("/",REPLACE(B159,1,IFERROR(FIND("//",B159,1)+1,0),"")&amp;"/",1),LEN(B159),""),"www.","",1)</f>
        <v>dekor.intsbanglabook.com</v>
      </c>
      <c r="D159" s="13">
        <f>COUNTIF($C$2:$C$801,C159)</f>
        <v>1</v>
      </c>
      <c r="E159" s="10" t="s">
        <v>409</v>
      </c>
      <c r="F159" s="4" t="s">
        <v>730</v>
      </c>
      <c r="G159" s="31" t="s">
        <v>5</v>
      </c>
      <c r="H159" s="31" t="s">
        <v>965</v>
      </c>
      <c r="I159" s="10" t="s">
        <v>981</v>
      </c>
    </row>
    <row r="160" spans="1:9" ht="23" customHeight="1" x14ac:dyDescent="0.15">
      <c r="A160" s="4" t="s">
        <v>28</v>
      </c>
      <c r="B160" s="6" t="s">
        <v>215</v>
      </c>
      <c r="C160" s="13" t="str">
        <f>SUBSTITUTE(REPLACE(REPLACE(B160,1,IFERROR(FIND("//",B160,1)+1,0),"")&amp;"/",FIND("/",REPLACE(B160,1,IFERROR(FIND("//",B160,1)+1,0),"")&amp;"/",1),LEN(B160),""),"www.","",1)</f>
        <v>dekra-award.de</v>
      </c>
      <c r="D160" s="13">
        <f>COUNTIF($C$2:$C$801,C160)</f>
        <v>1</v>
      </c>
      <c r="E160" s="10" t="s">
        <v>246</v>
      </c>
      <c r="F160" s="4" t="s">
        <v>13</v>
      </c>
      <c r="G160" s="31" t="s">
        <v>5</v>
      </c>
      <c r="H160" s="31" t="s">
        <v>965</v>
      </c>
      <c r="I160" s="10" t="s">
        <v>981</v>
      </c>
    </row>
    <row r="161" spans="1:9" ht="23" customHeight="1" x14ac:dyDescent="0.15">
      <c r="A161" s="4" t="s">
        <v>28</v>
      </c>
      <c r="B161" s="6" t="s">
        <v>118</v>
      </c>
      <c r="C161" s="13" t="str">
        <f>SUBSTITUTE(REPLACE(REPLACE(B161,1,IFERROR(FIND("//",B161,1)+1,0),"")&amp;"/",FIND("/",REPLACE(B161,1,IFERROR(FIND("//",B161,1)+1,0),"")&amp;"/",1),LEN(B161),""),"www.","",1)</f>
        <v>delfs-buerosys.de</v>
      </c>
      <c r="D161" s="13">
        <f>COUNTIF($C$2:$C$801,C161)</f>
        <v>1</v>
      </c>
      <c r="E161" s="10" t="s">
        <v>27</v>
      </c>
      <c r="F161" s="4" t="s">
        <v>729</v>
      </c>
      <c r="G161" s="31" t="s">
        <v>5</v>
      </c>
      <c r="H161" s="31" t="s">
        <v>965</v>
      </c>
      <c r="I161" s="10" t="s">
        <v>981</v>
      </c>
    </row>
    <row r="162" spans="1:9" ht="23" customHeight="1" x14ac:dyDescent="0.15">
      <c r="A162" s="4" t="s">
        <v>28</v>
      </c>
      <c r="B162" s="6" t="s">
        <v>410</v>
      </c>
      <c r="C162" s="13" t="str">
        <f>SUBSTITUTE(REPLACE(REPLACE(B162,1,IFERROR(FIND("//",B162,1)+1,0),"")&amp;"/",FIND("/",REPLACE(B162,1,IFERROR(FIND("//",B162,1)+1,0),"")&amp;"/",1),LEN(B162),""),"www.","",1)</f>
        <v>demadridhastaelcielo.com</v>
      </c>
      <c r="D162" s="13">
        <f>COUNTIF($C$2:$C$801,C162)</f>
        <v>1</v>
      </c>
      <c r="E162" s="10" t="s">
        <v>411</v>
      </c>
      <c r="F162" s="4" t="s">
        <v>730</v>
      </c>
      <c r="G162" s="31" t="s">
        <v>5</v>
      </c>
      <c r="H162" s="31" t="s">
        <v>965</v>
      </c>
      <c r="I162" s="10" t="s">
        <v>981</v>
      </c>
    </row>
    <row r="163" spans="1:9" ht="23" customHeight="1" x14ac:dyDescent="0.15">
      <c r="A163" s="4" t="s">
        <v>28</v>
      </c>
      <c r="B163" s="6" t="s">
        <v>987</v>
      </c>
      <c r="C163" s="13" t="str">
        <f>SUBSTITUTE(REPLACE(REPLACE(B163,1,IFERROR(FIND("//",B163,1)+1,0),"")&amp;"/",FIND("/",REPLACE(B163,1,IFERROR(FIND("//",B163,1)+1,0),"")&amp;"/",1),LEN(B163),""),"www.","",1)</f>
        <v>demografieagentur.de</v>
      </c>
      <c r="D163" s="13">
        <f>COUNTIF($C$2:$C$801,C163)</f>
        <v>1</v>
      </c>
      <c r="E163" s="10" t="s">
        <v>237</v>
      </c>
      <c r="F163" s="4" t="s">
        <v>739</v>
      </c>
      <c r="G163" s="31" t="s">
        <v>4</v>
      </c>
      <c r="H163" s="31" t="s">
        <v>1084</v>
      </c>
      <c r="I163" s="10"/>
    </row>
    <row r="164" spans="1:9" ht="23" customHeight="1" x14ac:dyDescent="0.15">
      <c r="A164" s="4" t="s">
        <v>28</v>
      </c>
      <c r="B164" s="6" t="s">
        <v>1058</v>
      </c>
      <c r="C164" s="13" t="str">
        <f>SUBSTITUTE(REPLACE(REPLACE(B164,1,IFERROR(FIND("//",B164,1)+1,0),"")&amp;"/",FIND("/",REPLACE(B164,1,IFERROR(FIND("//",B164,1)+1,0),"")&amp;"/",1),LEN(B164),""),"www.","",1)</f>
        <v>denholm-maria-pia.firebaseapp.com</v>
      </c>
      <c r="D164" s="13">
        <f>COUNTIF($C$2:$C$801,C164)</f>
        <v>1</v>
      </c>
      <c r="E164" s="10" t="s">
        <v>922</v>
      </c>
      <c r="F164" s="4" t="s">
        <v>730</v>
      </c>
      <c r="G164" s="31" t="s">
        <v>6</v>
      </c>
      <c r="H164" s="31" t="s">
        <v>1084</v>
      </c>
      <c r="I164" s="10"/>
    </row>
    <row r="165" spans="1:9" ht="23" customHeight="1" x14ac:dyDescent="0.15">
      <c r="A165" s="4" t="s">
        <v>28</v>
      </c>
      <c r="B165" s="6" t="s">
        <v>948</v>
      </c>
      <c r="C165" s="13" t="str">
        <f>SUBSTITUTE(REPLACE(REPLACE(B165,1,IFERROR(FIND("//",B165,1)+1,0),"")&amp;"/",FIND("/",REPLACE(B165,1,IFERROR(FIND("//",B165,1)+1,0),"")&amp;"/",1),LEN(B165),""),"www.","",1)</f>
        <v>der-ergoshop.de</v>
      </c>
      <c r="D165" s="13">
        <f>COUNTIF($C$2:$C$801,C165)</f>
        <v>1</v>
      </c>
      <c r="E165" s="10" t="s">
        <v>237</v>
      </c>
      <c r="F165" s="4" t="s">
        <v>729</v>
      </c>
      <c r="G165" s="31" t="s">
        <v>5</v>
      </c>
      <c r="H165" s="31" t="s">
        <v>965</v>
      </c>
      <c r="I165" s="10" t="s">
        <v>981</v>
      </c>
    </row>
    <row r="166" spans="1:9" ht="23" customHeight="1" x14ac:dyDescent="0.15">
      <c r="A166" s="4" t="s">
        <v>28</v>
      </c>
      <c r="B166" s="6" t="s">
        <v>791</v>
      </c>
      <c r="C166" s="13" t="str">
        <f>SUBSTITUTE(REPLACE(REPLACE(B166,1,IFERROR(FIND("//",B166,1)+1,0),"")&amp;"/",FIND("/",REPLACE(B166,1,IFERROR(FIND("//",B166,1)+1,0),"")&amp;"/",1),LEN(B166),""),"www.","",1)</f>
        <v>der-schumacher.de</v>
      </c>
      <c r="D166" s="13">
        <f>COUNTIF($C$2:$C$801,C166)</f>
        <v>1</v>
      </c>
      <c r="E166" s="10" t="s">
        <v>913</v>
      </c>
      <c r="F166" s="4" t="s">
        <v>729</v>
      </c>
      <c r="G166" s="31" t="s">
        <v>4</v>
      </c>
      <c r="H166" s="31" t="s">
        <v>965</v>
      </c>
      <c r="I166" s="10" t="s">
        <v>977</v>
      </c>
    </row>
    <row r="167" spans="1:9" ht="23" customHeight="1" x14ac:dyDescent="0.15">
      <c r="A167" s="4" t="s">
        <v>28</v>
      </c>
      <c r="B167" s="6" t="s">
        <v>801</v>
      </c>
      <c r="C167" s="13" t="str">
        <f>SUBSTITUTE(REPLACE(REPLACE(B167,1,IFERROR(FIND("//",B167,1)+1,0),"")&amp;"/",FIND("/",REPLACE(B167,1,IFERROR(FIND("//",B167,1)+1,0),"")&amp;"/",1),LEN(B167),""),"www.","",1)</f>
        <v>derenet.de</v>
      </c>
      <c r="D167" s="13">
        <f>COUNTIF($C$2:$C$801,C167)</f>
        <v>1</v>
      </c>
      <c r="E167" s="10" t="s">
        <v>241</v>
      </c>
      <c r="F167" s="4" t="s">
        <v>729</v>
      </c>
      <c r="G167" s="31" t="s">
        <v>4</v>
      </c>
      <c r="H167" s="31" t="s">
        <v>965</v>
      </c>
      <c r="I167" s="10" t="s">
        <v>977</v>
      </c>
    </row>
    <row r="168" spans="1:9" ht="23" customHeight="1" x14ac:dyDescent="0.15">
      <c r="A168" s="4" t="s">
        <v>28</v>
      </c>
      <c r="B168" s="6" t="s">
        <v>477</v>
      </c>
      <c r="C168" s="13" t="str">
        <f>SUBSTITUTE(REPLACE(REPLACE(B168,1,IFERROR(FIND("//",B168,1)+1,0),"")&amp;"/",FIND("/",REPLACE(B168,1,IFERROR(FIND("//",B168,1)+1,0),"")&amp;"/",1),LEN(B168),""),"www.","",1)</f>
        <v>derergoshop.de</v>
      </c>
      <c r="D168" s="13">
        <f>COUNTIF($C$2:$C$801,C168)</f>
        <v>1</v>
      </c>
      <c r="E168" s="10" t="s">
        <v>237</v>
      </c>
      <c r="F168" s="4"/>
      <c r="G168" s="31" t="s">
        <v>5</v>
      </c>
      <c r="H168" s="31" t="s">
        <v>965</v>
      </c>
      <c r="I168" s="10" t="s">
        <v>981</v>
      </c>
    </row>
    <row r="169" spans="1:9" ht="23" customHeight="1" x14ac:dyDescent="0.15">
      <c r="A169" s="4" t="s">
        <v>28</v>
      </c>
      <c r="B169" s="6" t="s">
        <v>153</v>
      </c>
      <c r="C169" s="13" t="str">
        <f>SUBSTITUTE(REPLACE(REPLACE(B169,1,IFERROR(FIND("//",B169,1)+1,0),"")&amp;"/",FIND("/",REPLACE(B169,1,IFERROR(FIND("//",B169,1)+1,0),"")&amp;"/",1),LEN(B169),""),"www.","",1)</f>
        <v>derksen-kleve.de</v>
      </c>
      <c r="D169" s="13">
        <f>COUNTIF($C$2:$C$801,C169)</f>
        <v>1</v>
      </c>
      <c r="E169" s="10" t="s">
        <v>14</v>
      </c>
      <c r="F169" s="4"/>
      <c r="G169" s="31" t="s">
        <v>5</v>
      </c>
      <c r="H169" s="31" t="s">
        <v>965</v>
      </c>
      <c r="I169" s="10" t="s">
        <v>981</v>
      </c>
    </row>
    <row r="170" spans="1:9" ht="23" customHeight="1" x14ac:dyDescent="0.15">
      <c r="A170" s="4" t="s">
        <v>28</v>
      </c>
      <c r="B170" s="6" t="s">
        <v>762</v>
      </c>
      <c r="C170" s="35" t="str">
        <f>SUBSTITUTE(REPLACE(REPLACE(B170,1,IFERROR(FIND("//",B170,1)+1,0),"")&amp;"/",FIND("/",REPLACE(B170,1,IFERROR(FIND("//",B170,1)+1,0),"")&amp;"/",1),LEN(B170),""),"www.","",1)</f>
        <v>designmadeingermany.de</v>
      </c>
      <c r="D170" s="13">
        <f>COUNTIF($C$2:$C$801,C170)</f>
        <v>1</v>
      </c>
      <c r="E170" s="10" t="s">
        <v>274</v>
      </c>
      <c r="F170" s="4" t="s">
        <v>732</v>
      </c>
      <c r="G170" s="31" t="s">
        <v>4</v>
      </c>
      <c r="H170" s="31" t="s">
        <v>965</v>
      </c>
      <c r="I170" s="10" t="s">
        <v>977</v>
      </c>
    </row>
    <row r="171" spans="1:9" ht="23" customHeight="1" x14ac:dyDescent="0.15">
      <c r="A171" s="4" t="s">
        <v>28</v>
      </c>
      <c r="B171" s="6" t="s">
        <v>785</v>
      </c>
      <c r="C171" s="13" t="str">
        <f>SUBSTITUTE(REPLACE(REPLACE(B171,1,IFERROR(FIND("//",B171,1)+1,0),"")&amp;"/",FIND("/",REPLACE(B171,1,IFERROR(FIND("//",B171,1)+1,0),"")&amp;"/",1),LEN(B171),""),"www.","",1)</f>
        <v>designyouroffice.de</v>
      </c>
      <c r="D171" s="13">
        <f>COUNTIF($C$2:$C$801,C171)</f>
        <v>1</v>
      </c>
      <c r="E171" s="10" t="s">
        <v>908</v>
      </c>
      <c r="F171" s="4" t="s">
        <v>25</v>
      </c>
      <c r="G171" s="31" t="s">
        <v>5</v>
      </c>
      <c r="H171" s="31" t="s">
        <v>965</v>
      </c>
      <c r="I171" s="10" t="s">
        <v>981</v>
      </c>
    </row>
    <row r="172" spans="1:9" ht="23" customHeight="1" x14ac:dyDescent="0.15">
      <c r="A172" s="4" t="s">
        <v>28</v>
      </c>
      <c r="B172" s="6" t="s">
        <v>244</v>
      </c>
      <c r="C172" s="13" t="str">
        <f>SUBSTITUTE(REPLACE(REPLACE(B172,1,IFERROR(FIND("//",B172,1)+1,0),"")&amp;"/",FIND("/",REPLACE(B172,1,IFERROR(FIND("//",B172,1)+1,0),"")&amp;"/",1),LEN(B172),""),"www.","",1)</f>
        <v>detail.de</v>
      </c>
      <c r="D172" s="13">
        <f>COUNTIF($C$2:$C$801,C172)</f>
        <v>1</v>
      </c>
      <c r="E172" s="10" t="s">
        <v>237</v>
      </c>
      <c r="F172" s="4" t="s">
        <v>737</v>
      </c>
      <c r="G172" s="31" t="s">
        <v>4</v>
      </c>
      <c r="H172" s="31" t="s">
        <v>965</v>
      </c>
      <c r="I172" s="10" t="s">
        <v>977</v>
      </c>
    </row>
    <row r="173" spans="1:9" ht="23" customHeight="1" x14ac:dyDescent="0.15">
      <c r="A173" s="4" t="s">
        <v>28</v>
      </c>
      <c r="B173" s="6" t="s">
        <v>193</v>
      </c>
      <c r="C173" s="13" t="str">
        <f>SUBSTITUTE(REPLACE(REPLACE(B173,1,IFERROR(FIND("//",B173,1)+1,0),"")&amp;"/",FIND("/",REPLACE(B173,1,IFERROR(FIND("//",B173,1)+1,0),"")&amp;"/",1),LEN(B173),""),"www.","",1)</f>
        <v>deublerschulze.de</v>
      </c>
      <c r="D173" s="13">
        <f>COUNTIF($C$2:$C$801,C173)</f>
        <v>1</v>
      </c>
      <c r="E173" s="10" t="s">
        <v>539</v>
      </c>
      <c r="F173" s="4" t="s">
        <v>729</v>
      </c>
      <c r="G173" s="31" t="s">
        <v>5</v>
      </c>
      <c r="H173" s="31" t="s">
        <v>965</v>
      </c>
      <c r="I173" s="10" t="s">
        <v>981</v>
      </c>
    </row>
    <row r="174" spans="1:9" ht="23" customHeight="1" x14ac:dyDescent="0.15">
      <c r="A174" s="4" t="s">
        <v>28</v>
      </c>
      <c r="B174" s="6" t="s">
        <v>412</v>
      </c>
      <c r="C174" s="13" t="str">
        <f>SUBSTITUTE(REPLACE(REPLACE(B174,1,IFERROR(FIND("//",B174,1)+1,0),"")&amp;"/",FIND("/",REPLACE(B174,1,IFERROR(FIND("//",B174,1)+1,0),"")&amp;"/",1),LEN(B174),""),"www.","",1)</f>
        <v>dev.bueroco.eu</v>
      </c>
      <c r="D174" s="13">
        <f>COUNTIF($C$2:$C$801,C174)</f>
        <v>1</v>
      </c>
      <c r="E174" s="10" t="s">
        <v>354</v>
      </c>
      <c r="F174" s="4" t="s">
        <v>729</v>
      </c>
      <c r="G174" s="31" t="s">
        <v>4</v>
      </c>
      <c r="H174" s="31" t="s">
        <v>965</v>
      </c>
      <c r="I174" s="10" t="s">
        <v>977</v>
      </c>
    </row>
    <row r="175" spans="1:9" ht="23" customHeight="1" x14ac:dyDescent="0.15">
      <c r="A175" s="4" t="s">
        <v>28</v>
      </c>
      <c r="B175" s="6" t="s">
        <v>953</v>
      </c>
      <c r="C175" s="13" t="str">
        <f>SUBSTITUTE(REPLACE(REPLACE(B175,1,IFERROR(FIND("//",B175,1)+1,0),"")&amp;"/",FIND("/",REPLACE(B175,1,IFERROR(FIND("//",B175,1)+1,0),"")&amp;"/",1),LEN(B175),""),"www.","",1)</f>
        <v>dev.hain-gmbh.de</v>
      </c>
      <c r="D175" s="13">
        <f>COUNTIF($C$2:$C$801,C175)</f>
        <v>1</v>
      </c>
      <c r="E175" s="10" t="s">
        <v>250</v>
      </c>
      <c r="F175" s="4" t="s">
        <v>729</v>
      </c>
      <c r="G175" s="31" t="s">
        <v>5</v>
      </c>
      <c r="H175" s="31" t="s">
        <v>965</v>
      </c>
      <c r="I175" s="10" t="s">
        <v>981</v>
      </c>
    </row>
    <row r="176" spans="1:9" ht="23" customHeight="1" x14ac:dyDescent="0.15">
      <c r="A176" s="4" t="s">
        <v>28</v>
      </c>
      <c r="B176" s="6" t="s">
        <v>1057</v>
      </c>
      <c r="C176" s="13" t="str">
        <f>SUBSTITUTE(REPLACE(REPLACE(B176,1,IFERROR(FIND("//",B176,1)+1,0),"")&amp;"/",FIND("/",REPLACE(B176,1,IFERROR(FIND("//",B176,1)+1,0),"")&amp;"/",1),LEN(B176),""),"www.","",1)</f>
        <v>developmentmi.com</v>
      </c>
      <c r="D176" s="13">
        <f>COUNTIF($C$2:$C$801,C176)</f>
        <v>1</v>
      </c>
      <c r="E176" s="10" t="s">
        <v>928</v>
      </c>
      <c r="F176" s="4" t="s">
        <v>730</v>
      </c>
      <c r="G176" s="31" t="s">
        <v>6</v>
      </c>
      <c r="H176" s="31" t="s">
        <v>1084</v>
      </c>
      <c r="I176" s="10"/>
    </row>
    <row r="177" spans="1:9" ht="23" customHeight="1" x14ac:dyDescent="0.15">
      <c r="A177" s="4" t="s">
        <v>28</v>
      </c>
      <c r="B177" s="6" t="s">
        <v>100</v>
      </c>
      <c r="C177" s="13" t="str">
        <f>SUBSTITUTE(REPLACE(REPLACE(B177,1,IFERROR(FIND("//",B177,1)+1,0),"")&amp;"/",FIND("/",REPLACE(B177,1,IFERROR(FIND("//",B177,1)+1,0),"")&amp;"/",1),LEN(B177),""),"www.","",1)</f>
        <v>dingel-dongel.de</v>
      </c>
      <c r="D177" s="13">
        <f>COUNTIF($C$2:$C$801,C177)</f>
        <v>1</v>
      </c>
      <c r="E177" s="10" t="s">
        <v>237</v>
      </c>
      <c r="F177" s="4"/>
      <c r="G177" s="31" t="s">
        <v>5</v>
      </c>
      <c r="H177" s="31" t="s">
        <v>965</v>
      </c>
      <c r="I177" s="10" t="s">
        <v>981</v>
      </c>
    </row>
    <row r="178" spans="1:9" ht="23" customHeight="1" x14ac:dyDescent="0.15">
      <c r="A178" s="4" t="s">
        <v>28</v>
      </c>
      <c r="B178" s="6" t="s">
        <v>947</v>
      </c>
      <c r="C178" s="13" t="str">
        <f>SUBSTITUTE(REPLACE(REPLACE(B178,1,IFERROR(FIND("//",B178,1)+1,0),"")&amp;"/",FIND("/",REPLACE(B178,1,IFERROR(FIND("//",B178,1)+1,0),"")&amp;"/",1),LEN(B178),""),"www.","",1)</f>
        <v>dingeldongel.de</v>
      </c>
      <c r="D178" s="13">
        <f>COUNTIF($C$2:$C$801,C178)</f>
        <v>1</v>
      </c>
      <c r="E178" s="10" t="s">
        <v>237</v>
      </c>
      <c r="F178" s="4" t="s">
        <v>13</v>
      </c>
      <c r="G178" s="31" t="s">
        <v>5</v>
      </c>
      <c r="H178" s="31" t="s">
        <v>965</v>
      </c>
      <c r="I178" s="10" t="s">
        <v>981</v>
      </c>
    </row>
    <row r="179" spans="1:9" ht="23" customHeight="1" x14ac:dyDescent="0.15">
      <c r="A179" s="4" t="s">
        <v>28</v>
      </c>
      <c r="B179" s="6" t="s">
        <v>351</v>
      </c>
      <c r="C179" s="13" t="str">
        <f>SUBSTITUTE(REPLACE(REPLACE(B179,1,IFERROR(FIND("//",B179,1)+1,0),"")&amp;"/",FIND("/",REPLACE(B179,1,IFERROR(FIND("//",B179,1)+1,0),"")&amp;"/",1),LEN(B179),""),"www.","",1)</f>
        <v>direkt.sicherheits-berater.de</v>
      </c>
      <c r="D179" s="13">
        <f>COUNTIF($C$2:$C$801,C179)</f>
        <v>1</v>
      </c>
      <c r="E179" s="10" t="s">
        <v>352</v>
      </c>
      <c r="F179" s="4" t="s">
        <v>737</v>
      </c>
      <c r="G179" s="31" t="s">
        <v>10</v>
      </c>
      <c r="H179" s="31" t="s">
        <v>965</v>
      </c>
      <c r="I179" s="29" t="s">
        <v>982</v>
      </c>
    </row>
    <row r="180" spans="1:9" ht="23" customHeight="1" x14ac:dyDescent="0.15">
      <c r="A180" s="4" t="s">
        <v>28</v>
      </c>
      <c r="B180" s="6" t="s">
        <v>413</v>
      </c>
      <c r="C180" s="13" t="str">
        <f>SUBSTITUTE(REPLACE(REPLACE(B180,1,IFERROR(FIND("//",B180,1)+1,0),"")&amp;"/",FIND("/",REPLACE(B180,1,IFERROR(FIND("//",B180,1)+1,0),"")&amp;"/",1),LEN(B180),""),"www.","",1)</f>
        <v>distopialab.org</v>
      </c>
      <c r="D180" s="13">
        <f>COUNTIF($C$2:$C$801,C180)</f>
        <v>1</v>
      </c>
      <c r="E180" s="10"/>
      <c r="F180" s="4" t="s">
        <v>730</v>
      </c>
      <c r="G180" s="31" t="s">
        <v>6</v>
      </c>
      <c r="H180" s="31" t="s">
        <v>967</v>
      </c>
      <c r="I180" s="10" t="s">
        <v>979</v>
      </c>
    </row>
    <row r="181" spans="1:9" ht="23" customHeight="1" x14ac:dyDescent="0.15">
      <c r="A181" s="4" t="s">
        <v>28</v>
      </c>
      <c r="B181" s="6" t="s">
        <v>37</v>
      </c>
      <c r="C181" s="13" t="str">
        <f>SUBSTITUTE(REPLACE(REPLACE(B181,1,IFERROR(FIND("//",B181,1)+1,0),"")&amp;"/",FIND("/",REPLACE(B181,1,IFERROR(FIND("//",B181,1)+1,0),"")&amp;"/",1),LEN(B181),""),"www.","",1)</f>
        <v>dk-buerowohndesign.de</v>
      </c>
      <c r="D181" s="13">
        <f>COUNTIF($C$2:$C$801,C181)</f>
        <v>1</v>
      </c>
      <c r="E181" s="10"/>
      <c r="F181" s="4" t="s">
        <v>729</v>
      </c>
      <c r="G181" s="31" t="s">
        <v>4</v>
      </c>
      <c r="H181" s="31" t="s">
        <v>965</v>
      </c>
      <c r="I181" s="10" t="s">
        <v>977</v>
      </c>
    </row>
    <row r="182" spans="1:9" ht="23" customHeight="1" x14ac:dyDescent="0.15">
      <c r="A182" s="4" t="s">
        <v>28</v>
      </c>
      <c r="B182" s="6" t="s">
        <v>986</v>
      </c>
      <c r="C182" s="13" t="str">
        <f>SUBSTITUTE(REPLACE(REPLACE(B182,1,IFERROR(FIND("//",B182,1)+1,0),"")&amp;"/",FIND("/",REPLACE(B182,1,IFERROR(FIND("//",B182,1)+1,0),"")&amp;"/",1),LEN(B182),""),"www.","",1)</f>
        <v>doescher.de</v>
      </c>
      <c r="D182" s="13">
        <f>COUNTIF($C$2:$C$801,C182)</f>
        <v>1</v>
      </c>
      <c r="E182" s="10" t="s">
        <v>241</v>
      </c>
      <c r="F182" s="4" t="s">
        <v>729</v>
      </c>
      <c r="G182" s="31" t="s">
        <v>4</v>
      </c>
      <c r="H182" s="31" t="s">
        <v>1084</v>
      </c>
      <c r="I182" s="10"/>
    </row>
    <row r="183" spans="1:9" ht="23" customHeight="1" x14ac:dyDescent="0.15">
      <c r="A183" s="4" t="s">
        <v>28</v>
      </c>
      <c r="B183" s="6" t="s">
        <v>221</v>
      </c>
      <c r="C183" s="13" t="str">
        <f>SUBSTITUTE(REPLACE(REPLACE(B183,1,IFERROR(FIND("//",B183,1)+1,0),"")&amp;"/",FIND("/",REPLACE(B183,1,IFERROR(FIND("//",B183,1)+1,0),"")&amp;"/",1),LEN(B183),""),"www.","",1)</f>
        <v>domig.cc</v>
      </c>
      <c r="D183" s="13">
        <f>COUNTIF($C$2:$C$801,C183)</f>
        <v>1</v>
      </c>
      <c r="E183" s="10" t="s">
        <v>237</v>
      </c>
      <c r="F183" s="4"/>
      <c r="G183" s="31" t="s">
        <v>5</v>
      </c>
      <c r="H183" s="31" t="s">
        <v>965</v>
      </c>
      <c r="I183" s="10" t="s">
        <v>981</v>
      </c>
    </row>
    <row r="184" spans="1:9" ht="23" customHeight="1" x14ac:dyDescent="0.15">
      <c r="A184" s="4" t="s">
        <v>28</v>
      </c>
      <c r="B184" s="6" t="s">
        <v>162</v>
      </c>
      <c r="C184" s="13" t="str">
        <f>SUBSTITUTE(REPLACE(REPLACE(B184,1,IFERROR(FIND("//",B184,1)+1,0),"")&amp;"/",FIND("/",REPLACE(B184,1,IFERROR(FIND("//",B184,1)+1,0),"")&amp;"/",1),LEN(B184),""),"www.","",1)</f>
        <v>dp-peine.de</v>
      </c>
      <c r="D184" s="13">
        <f>COUNTIF($C$2:$C$801,C184)</f>
        <v>1</v>
      </c>
      <c r="E184" s="10" t="s">
        <v>14</v>
      </c>
      <c r="F184" s="4"/>
      <c r="G184" s="31" t="s">
        <v>5</v>
      </c>
      <c r="H184" s="31" t="s">
        <v>965</v>
      </c>
      <c r="I184" s="10" t="s">
        <v>981</v>
      </c>
    </row>
    <row r="185" spans="1:9" ht="23" customHeight="1" x14ac:dyDescent="0.15">
      <c r="A185" s="4" t="s">
        <v>28</v>
      </c>
      <c r="B185" s="6" t="s">
        <v>667</v>
      </c>
      <c r="C185" s="13" t="str">
        <f>SUBSTITUTE(REPLACE(REPLACE(B185,1,IFERROR(FIND("//",B185,1)+1,0),"")&amp;"/",FIND("/",REPLACE(B185,1,IFERROR(FIND("//",B185,1)+1,0),"")&amp;"/",1),LEN(B185),""),"www.","",1)</f>
        <v>drehstühl.de</v>
      </c>
      <c r="D185" s="13">
        <f>COUNTIF($C$2:$C$801,C185)</f>
        <v>1</v>
      </c>
      <c r="E185" s="10" t="s">
        <v>653</v>
      </c>
      <c r="F185" s="4"/>
      <c r="G185" s="31" t="s">
        <v>4</v>
      </c>
      <c r="H185" s="31" t="s">
        <v>965</v>
      </c>
      <c r="I185" s="10" t="s">
        <v>977</v>
      </c>
    </row>
    <row r="186" spans="1:9" ht="23" customHeight="1" x14ac:dyDescent="0.15">
      <c r="A186" s="4" t="s">
        <v>28</v>
      </c>
      <c r="B186" s="6" t="s">
        <v>214</v>
      </c>
      <c r="C186" s="13" t="str">
        <f>SUBSTITUTE(REPLACE(REPLACE(B186,1,IFERROR(FIND("//",B186,1)+1,0),"")&amp;"/",FIND("/",REPLACE(B186,1,IFERROR(FIND("//",B186,1)+1,0),"")&amp;"/",1),LEN(B186),""),"www.","",1)</f>
        <v>droege-einrichtungen.de</v>
      </c>
      <c r="D186" s="13">
        <f>COUNTIF($C$2:$C$801,C186)</f>
        <v>1</v>
      </c>
      <c r="E186" s="10" t="s">
        <v>237</v>
      </c>
      <c r="F186" s="4" t="s">
        <v>729</v>
      </c>
      <c r="G186" s="31" t="s">
        <v>4</v>
      </c>
      <c r="H186" s="31" t="s">
        <v>965</v>
      </c>
      <c r="I186" s="10" t="s">
        <v>977</v>
      </c>
    </row>
    <row r="187" spans="1:9" ht="23" customHeight="1" x14ac:dyDescent="0.15">
      <c r="A187" s="4" t="s">
        <v>28</v>
      </c>
      <c r="B187" s="6" t="s">
        <v>860</v>
      </c>
      <c r="C187" s="13" t="str">
        <f>SUBSTITUTE(REPLACE(REPLACE(B187,1,IFERROR(FIND("//",B187,1)+1,0),"")&amp;"/",FIND("/",REPLACE(B187,1,IFERROR(FIND("//",B187,1)+1,0),"")&amp;"/",1),LEN(B187),""),"www.","",1)</f>
        <v>duitse-kantoormeubelen.nl</v>
      </c>
      <c r="D187" s="13">
        <f>COUNTIF($C$2:$C$801,C187)</f>
        <v>1</v>
      </c>
      <c r="E187" s="10" t="s">
        <v>275</v>
      </c>
      <c r="F187" s="4" t="s">
        <v>729</v>
      </c>
      <c r="G187" s="31" t="s">
        <v>4</v>
      </c>
      <c r="H187" s="31" t="s">
        <v>965</v>
      </c>
      <c r="I187" s="10" t="s">
        <v>977</v>
      </c>
    </row>
    <row r="188" spans="1:9" ht="23" customHeight="1" x14ac:dyDescent="0.15">
      <c r="A188" s="4" t="s">
        <v>28</v>
      </c>
      <c r="B188" s="6" t="s">
        <v>827</v>
      </c>
      <c r="C188" s="13" t="str">
        <f>SUBSTITUTE(REPLACE(REPLACE(B188,1,IFERROR(FIND("//",B188,1)+1,0),"")&amp;"/",FIND("/",REPLACE(B188,1,IFERROR(FIND("//",B188,1)+1,0),"")&amp;"/",1),LEN(B188),""),"www.","",1)</f>
        <v>earntrickz.com</v>
      </c>
      <c r="D188" s="13">
        <f>COUNTIF($C$2:$C$801,C188)</f>
        <v>1</v>
      </c>
      <c r="E188" s="10" t="s">
        <v>923</v>
      </c>
      <c r="F188" s="4" t="s">
        <v>730</v>
      </c>
      <c r="G188" s="31" t="s">
        <v>6</v>
      </c>
      <c r="H188" s="31" t="s">
        <v>967</v>
      </c>
      <c r="I188" s="10" t="s">
        <v>979</v>
      </c>
    </row>
    <row r="189" spans="1:9" ht="23" customHeight="1" x14ac:dyDescent="0.15">
      <c r="A189" s="4" t="s">
        <v>28</v>
      </c>
      <c r="B189" s="6" t="s">
        <v>17</v>
      </c>
      <c r="C189" s="13" t="str">
        <f>SUBSTITUTE(REPLACE(REPLACE(B189,1,IFERROR(FIND("//",B189,1)+1,0),"")&amp;"/",FIND("/",REPLACE(B189,1,IFERROR(FIND("//",B189,1)+1,0),"")&amp;"/",1),LEN(B189),""),"www.","",1)</f>
        <v>easterngraphics.com</v>
      </c>
      <c r="D189" s="13">
        <f>COUNTIF($C$2:$C$801,C189)</f>
        <v>1</v>
      </c>
      <c r="E189" s="10" t="s">
        <v>539</v>
      </c>
      <c r="F189" s="4" t="s">
        <v>730</v>
      </c>
      <c r="G189" s="31" t="s">
        <v>5</v>
      </c>
      <c r="H189" s="31" t="s">
        <v>965</v>
      </c>
      <c r="I189" s="10" t="s">
        <v>981</v>
      </c>
    </row>
    <row r="190" spans="1:9" ht="23" customHeight="1" x14ac:dyDescent="0.15">
      <c r="A190" s="4" t="s">
        <v>28</v>
      </c>
      <c r="B190" s="6" t="s">
        <v>745</v>
      </c>
      <c r="C190" s="13" t="str">
        <f>SUBSTITUTE(REPLACE(REPLACE(B190,1,IFERROR(FIND("//",B190,1)+1,0),"")&amp;"/",FIND("/",REPLACE(B190,1,IFERROR(FIND("//",B190,1)+1,0),"")&amp;"/",1),LEN(B190),""),"www.","",1)</f>
        <v>ebe-elmshorn.de</v>
      </c>
      <c r="D190" s="13">
        <f>COUNTIF($C$2:$C$801,C190)</f>
        <v>1</v>
      </c>
      <c r="E190" s="10" t="s">
        <v>14</v>
      </c>
      <c r="F190" s="4" t="s">
        <v>729</v>
      </c>
      <c r="G190" s="31" t="s">
        <v>5</v>
      </c>
      <c r="H190" s="31" t="s">
        <v>965</v>
      </c>
      <c r="I190" s="10" t="s">
        <v>981</v>
      </c>
    </row>
    <row r="191" spans="1:9" ht="23" customHeight="1" x14ac:dyDescent="0.15">
      <c r="A191" s="4" t="s">
        <v>28</v>
      </c>
      <c r="B191" s="6" t="s">
        <v>769</v>
      </c>
      <c r="C191" s="35" t="str">
        <f>SUBSTITUTE(REPLACE(REPLACE(B191,1,IFERROR(FIND("//",B191,1)+1,0),"")&amp;"/",FIND("/",REPLACE(B191,1,IFERROR(FIND("//",B191,1)+1,0),"")&amp;"/",1),LEN(B191),""),"www.","",1)</f>
        <v>edle-bauelemente.de</v>
      </c>
      <c r="D191" s="13">
        <f>COUNTIF($C$2:$C$801,C191)</f>
        <v>1</v>
      </c>
      <c r="E191" s="10" t="s">
        <v>274</v>
      </c>
      <c r="F191" s="4" t="s">
        <v>737</v>
      </c>
      <c r="G191" s="31" t="s">
        <v>4</v>
      </c>
      <c r="H191" s="31" t="s">
        <v>965</v>
      </c>
      <c r="I191" s="10" t="s">
        <v>977</v>
      </c>
    </row>
    <row r="192" spans="1:9" ht="23" customHeight="1" x14ac:dyDescent="0.15">
      <c r="A192" s="4" t="s">
        <v>28</v>
      </c>
      <c r="B192" s="6" t="s">
        <v>881</v>
      </c>
      <c r="C192" s="13" t="str">
        <f>SUBSTITUTE(REPLACE(REPLACE(B192,1,IFERROR(FIND("//",B192,1)+1,0),"")&amp;"/",FIND("/",REPLACE(B192,1,IFERROR(FIND("//",B192,1)+1,0),"")&amp;"/",1),LEN(B192),""),"www.","",1)</f>
        <v>edle-bauelemente.tentakelfabrik.de</v>
      </c>
      <c r="D192" s="13">
        <f>COUNTIF($C$2:$C$801,C192)</f>
        <v>1</v>
      </c>
      <c r="E192" s="10" t="s">
        <v>274</v>
      </c>
      <c r="F192" s="4" t="s">
        <v>13</v>
      </c>
      <c r="G192" s="31" t="s">
        <v>5</v>
      </c>
      <c r="H192" s="31" t="s">
        <v>965</v>
      </c>
      <c r="I192" s="10" t="s">
        <v>981</v>
      </c>
    </row>
    <row r="193" spans="1:9" ht="23" customHeight="1" x14ac:dyDescent="0.15">
      <c r="A193" s="4" t="s">
        <v>28</v>
      </c>
      <c r="B193" s="6" t="s">
        <v>414</v>
      </c>
      <c r="C193" s="13" t="str">
        <f>SUBSTITUTE(REPLACE(REPLACE(B193,1,IFERROR(FIND("//",B193,1)+1,0),"")&amp;"/",FIND("/",REPLACE(B193,1,IFERROR(FIND("//",B193,1)+1,0),"")&amp;"/",1),LEN(B193),""),"www.","",1)</f>
        <v>eigenart-designstudio.de</v>
      </c>
      <c r="D193" s="13">
        <f>COUNTIF($C$2:$C$801,C193)</f>
        <v>1</v>
      </c>
      <c r="E193" s="10" t="s">
        <v>241</v>
      </c>
      <c r="F193" s="4" t="s">
        <v>729</v>
      </c>
      <c r="G193" s="31" t="s">
        <v>4</v>
      </c>
      <c r="H193" s="31" t="s">
        <v>965</v>
      </c>
      <c r="I193" s="10" t="s">
        <v>977</v>
      </c>
    </row>
    <row r="194" spans="1:9" ht="23" customHeight="1" x14ac:dyDescent="0.15">
      <c r="A194" s="4" t="s">
        <v>28</v>
      </c>
      <c r="B194" s="6" t="s">
        <v>109</v>
      </c>
      <c r="C194" s="13" t="str">
        <f>SUBSTITUTE(REPLACE(REPLACE(B194,1,IFERROR(FIND("//",B194,1)+1,0),"")&amp;"/",FIND("/",REPLACE(B194,1,IFERROR(FIND("//",B194,1)+1,0),"")&amp;"/",1),LEN(B194),""),"www.","",1)</f>
        <v>einkaufen-in-der-toscana.com</v>
      </c>
      <c r="D194" s="13">
        <f>COUNTIF($C$2:$C$801,C194)</f>
        <v>1</v>
      </c>
      <c r="E194" s="10" t="s">
        <v>237</v>
      </c>
      <c r="F194" s="4"/>
      <c r="G194" s="31" t="s">
        <v>5</v>
      </c>
      <c r="H194" s="31" t="s">
        <v>965</v>
      </c>
      <c r="I194" s="10" t="s">
        <v>981</v>
      </c>
    </row>
    <row r="195" spans="1:9" ht="23" customHeight="1" x14ac:dyDescent="0.15">
      <c r="A195" s="4" t="s">
        <v>28</v>
      </c>
      <c r="B195" s="6" t="s">
        <v>268</v>
      </c>
      <c r="C195" s="13" t="str">
        <f>SUBSTITUTE(REPLACE(REPLACE(B195,1,IFERROR(FIND("//",B195,1)+1,0),"")&amp;"/",FIND("/",REPLACE(B195,1,IFERROR(FIND("//",B195,1)+1,0),"")&amp;"/",1),LEN(B195),""),"www.","",1)</f>
        <v>einkaufsquellen.de</v>
      </c>
      <c r="D195" s="13">
        <f>COUNTIF($C$2:$C$801,C195)</f>
        <v>1</v>
      </c>
      <c r="E195" s="10" t="s">
        <v>269</v>
      </c>
      <c r="F195" s="4" t="s">
        <v>25</v>
      </c>
      <c r="G195" s="31" t="s">
        <v>4</v>
      </c>
      <c r="H195" s="31" t="s">
        <v>965</v>
      </c>
      <c r="I195" s="10" t="s">
        <v>977</v>
      </c>
    </row>
    <row r="196" spans="1:9" ht="23" customHeight="1" x14ac:dyDescent="0.15">
      <c r="A196" s="4" t="s">
        <v>28</v>
      </c>
      <c r="B196" s="6" t="s">
        <v>279</v>
      </c>
      <c r="C196" s="13" t="str">
        <f>SUBSTITUTE(REPLACE(REPLACE(B196,1,IFERROR(FIND("//",B196,1)+1,0),"")&amp;"/",FIND("/",REPLACE(B196,1,IFERROR(FIND("//",B196,1)+1,0),"")&amp;"/",1),LEN(B196),""),"www.","",1)</f>
        <v>ejh-schweicheln.de</v>
      </c>
      <c r="D196" s="13">
        <f>COUNTIF($C$2:$C$801,C196)</f>
        <v>1</v>
      </c>
      <c r="E196" s="10" t="s">
        <v>539</v>
      </c>
      <c r="F196" s="4" t="s">
        <v>743</v>
      </c>
      <c r="G196" s="31" t="s">
        <v>5</v>
      </c>
      <c r="H196" s="31" t="s">
        <v>965</v>
      </c>
      <c r="I196" s="10" t="s">
        <v>981</v>
      </c>
    </row>
    <row r="197" spans="1:9" ht="23" customHeight="1" x14ac:dyDescent="0.15">
      <c r="A197" s="4" t="s">
        <v>28</v>
      </c>
      <c r="B197" s="6" t="s">
        <v>478</v>
      </c>
      <c r="C197" s="13" t="str">
        <f>SUBSTITUTE(REPLACE(REPLACE(B197,1,IFERROR(FIND("//",B197,1)+1,0),"")&amp;"/",FIND("/",REPLACE(B197,1,IFERROR(FIND("//",B197,1)+1,0),"")&amp;"/",1),LEN(B197),""),"www.","",1)</f>
        <v>elbracht-beckum.de</v>
      </c>
      <c r="D197" s="13">
        <f>COUNTIF($C$2:$C$801,C197)</f>
        <v>1</v>
      </c>
      <c r="E197" s="10" t="s">
        <v>539</v>
      </c>
      <c r="F197" s="4" t="s">
        <v>729</v>
      </c>
      <c r="G197" s="31" t="s">
        <v>4</v>
      </c>
      <c r="H197" s="31" t="s">
        <v>965</v>
      </c>
      <c r="I197" s="10" t="s">
        <v>977</v>
      </c>
    </row>
    <row r="198" spans="1:9" ht="23" customHeight="1" x14ac:dyDescent="0.15">
      <c r="A198" s="4" t="s">
        <v>28</v>
      </c>
      <c r="B198" s="6" t="s">
        <v>334</v>
      </c>
      <c r="C198" s="13" t="str">
        <f>SUBSTITUTE(REPLACE(REPLACE(B198,1,IFERROR(FIND("//",B198,1)+1,0),"")&amp;"/",FIND("/",REPLACE(B198,1,IFERROR(FIND("//",B198,1)+1,0),"")&amp;"/",1),LEN(B198),""),"www.","",1)</f>
        <v>en.seokicks.de</v>
      </c>
      <c r="D198" s="13">
        <f>COUNTIF($C$2:$C$801,C198)</f>
        <v>1</v>
      </c>
      <c r="E198" s="10" t="s">
        <v>591</v>
      </c>
      <c r="F198" s="4" t="s">
        <v>13</v>
      </c>
      <c r="G198" s="31" t="s">
        <v>4</v>
      </c>
      <c r="H198" s="31" t="s">
        <v>965</v>
      </c>
      <c r="I198" s="10" t="s">
        <v>977</v>
      </c>
    </row>
    <row r="199" spans="1:9" ht="23" customHeight="1" x14ac:dyDescent="0.15">
      <c r="A199" s="4" t="s">
        <v>28</v>
      </c>
      <c r="B199" s="6" t="s">
        <v>808</v>
      </c>
      <c r="C199" s="13" t="str">
        <f>SUBSTITUTE(REPLACE(REPLACE(B199,1,IFERROR(FIND("//",B199,1)+1,0),"")&amp;"/",FIND("/",REPLACE(B199,1,IFERROR(FIND("//",B199,1)+1,0),"")&amp;"/",1),LEN(B199),""),"www.","",1)</f>
        <v>engine.presearch.org</v>
      </c>
      <c r="D199" s="13">
        <f>COUNTIF($C$2:$C$801,C199)</f>
        <v>1</v>
      </c>
      <c r="E199" s="10" t="s">
        <v>915</v>
      </c>
      <c r="F199" s="4" t="s">
        <v>13</v>
      </c>
      <c r="G199" s="31" t="s">
        <v>4</v>
      </c>
      <c r="H199" s="31" t="s">
        <v>965</v>
      </c>
      <c r="I199" s="10" t="s">
        <v>977</v>
      </c>
    </row>
    <row r="200" spans="1:9" ht="23" customHeight="1" x14ac:dyDescent="0.15">
      <c r="A200" s="4" t="s">
        <v>28</v>
      </c>
      <c r="B200" s="6" t="s">
        <v>179</v>
      </c>
      <c r="C200" s="13" t="str">
        <f>SUBSTITUTE(REPLACE(REPLACE(B200,1,IFERROR(FIND("//",B200,1)+1,0),"")&amp;"/",FIND("/",REPLACE(B200,1,IFERROR(FIND("//",B200,1)+1,0),"")&amp;"/",1),LEN(B200),""),"www.","",1)</f>
        <v>erdmannulrike.de</v>
      </c>
      <c r="D200" s="13">
        <f>COUNTIF($C$2:$C$801,C200)</f>
        <v>1</v>
      </c>
      <c r="E200" s="10" t="s">
        <v>711</v>
      </c>
      <c r="F200" s="4"/>
      <c r="G200" s="31" t="s">
        <v>5</v>
      </c>
      <c r="H200" s="31" t="s">
        <v>965</v>
      </c>
      <c r="I200" s="10" t="s">
        <v>981</v>
      </c>
    </row>
    <row r="201" spans="1:9" ht="23" customHeight="1" x14ac:dyDescent="0.15">
      <c r="A201" s="4" t="s">
        <v>28</v>
      </c>
      <c r="B201" s="6" t="s">
        <v>596</v>
      </c>
      <c r="C201" s="13" t="str">
        <f>SUBSTITUTE(REPLACE(REPLACE(B201,1,IFERROR(FIND("//",B201,1)+1,0),"")&amp;"/",FIND("/",REPLACE(B201,1,IFERROR(FIND("//",B201,1)+1,0),"")&amp;"/",1),LEN(B201),""),"www.","",1)</f>
        <v>ergo-office-design.de</v>
      </c>
      <c r="D201" s="13">
        <f>COUNTIF($C$2:$C$801,C201)</f>
        <v>1</v>
      </c>
      <c r="E201" s="10" t="s">
        <v>28</v>
      </c>
      <c r="F201" s="4" t="s">
        <v>729</v>
      </c>
      <c r="G201" s="31" t="s">
        <v>4</v>
      </c>
      <c r="H201" s="31" t="s">
        <v>965</v>
      </c>
      <c r="I201" s="10" t="s">
        <v>977</v>
      </c>
    </row>
    <row r="202" spans="1:9" ht="23" customHeight="1" x14ac:dyDescent="0.15">
      <c r="A202" s="4" t="s">
        <v>28</v>
      </c>
      <c r="B202" s="6" t="s">
        <v>950</v>
      </c>
      <c r="C202" s="13" t="str">
        <f>SUBSTITUTE(REPLACE(REPLACE(B202,1,IFERROR(FIND("//",B202,1)+1,0),"")&amp;"/",FIND("/",REPLACE(B202,1,IFERROR(FIND("//",B202,1)+1,0),"")&amp;"/",1),LEN(B202),""),"www.","",1)</f>
        <v>ergonomische-arbeitswelten.com</v>
      </c>
      <c r="D202" s="13">
        <f>COUNTIF($C$2:$C$801,C202)</f>
        <v>1</v>
      </c>
      <c r="E202" s="10" t="s">
        <v>237</v>
      </c>
      <c r="F202" s="4" t="s">
        <v>13</v>
      </c>
      <c r="G202" s="31" t="s">
        <v>5</v>
      </c>
      <c r="H202" s="31" t="s">
        <v>965</v>
      </c>
      <c r="I202" s="10" t="s">
        <v>981</v>
      </c>
    </row>
    <row r="203" spans="1:9" ht="23" customHeight="1" x14ac:dyDescent="0.15">
      <c r="A203" s="4" t="s">
        <v>28</v>
      </c>
      <c r="B203" s="6" t="s">
        <v>479</v>
      </c>
      <c r="C203" s="13" t="str">
        <f>SUBSTITUTE(REPLACE(REPLACE(B203,1,IFERROR(FIND("//",B203,1)+1,0),"")&amp;"/",FIND("/",REPLACE(B203,1,IFERROR(FIND("//",B203,1)+1,0),"")&amp;"/",1),LEN(B203),""),"www.","",1)</f>
        <v>ergonomischearbeitswelten.de</v>
      </c>
      <c r="D203" s="13">
        <f>COUNTIF($C$2:$C$801,C203)</f>
        <v>1</v>
      </c>
      <c r="E203" s="10" t="s">
        <v>237</v>
      </c>
      <c r="F203" s="4"/>
      <c r="G203" s="31" t="s">
        <v>5</v>
      </c>
      <c r="H203" s="31" t="s">
        <v>965</v>
      </c>
      <c r="I203" s="10" t="s">
        <v>981</v>
      </c>
    </row>
    <row r="204" spans="1:9" ht="23" customHeight="1" x14ac:dyDescent="0.15">
      <c r="A204" s="4" t="s">
        <v>28</v>
      </c>
      <c r="B204" s="6" t="s">
        <v>227</v>
      </c>
      <c r="C204" s="13" t="str">
        <f>SUBSTITUTE(REPLACE(REPLACE(B204,1,IFERROR(FIND("//",B204,1)+1,0),"")&amp;"/",FIND("/",REPLACE(B204,1,IFERROR(FIND("//",B204,1)+1,0),"")&amp;"/",1),LEN(B204),""),"www.","",1)</f>
        <v>ergowebshop.eu</v>
      </c>
      <c r="D204" s="13">
        <f>COUNTIF($C$2:$C$801,C204)</f>
        <v>1</v>
      </c>
      <c r="E204" s="10" t="s">
        <v>725</v>
      </c>
      <c r="F204" s="4" t="s">
        <v>729</v>
      </c>
      <c r="G204" s="31" t="s">
        <v>5</v>
      </c>
      <c r="H204" s="31" t="s">
        <v>965</v>
      </c>
      <c r="I204" s="10" t="s">
        <v>981</v>
      </c>
    </row>
    <row r="205" spans="1:9" ht="23" customHeight="1" x14ac:dyDescent="0.15">
      <c r="A205" s="4" t="s">
        <v>28</v>
      </c>
      <c r="B205" s="6" t="s">
        <v>936</v>
      </c>
      <c r="C205" s="13" t="str">
        <f>SUBSTITUTE(REPLACE(REPLACE(B205,1,IFERROR(FIND("//",B205,1)+1,0),"")&amp;"/",FIND("/",REPLACE(B205,1,IFERROR(FIND("//",B205,1)+1,0),"")&amp;"/",1),LEN(B205),""),"www.","",1)</f>
        <v>esszimmerdsgn.blogspot.com</v>
      </c>
      <c r="D205" s="13">
        <f>COUNTIF($C$2:$C$801,C205)</f>
        <v>1</v>
      </c>
      <c r="E205" s="10" t="s">
        <v>630</v>
      </c>
      <c r="F205" s="4" t="s">
        <v>730</v>
      </c>
      <c r="G205" s="31" t="s">
        <v>6</v>
      </c>
      <c r="H205" s="31" t="s">
        <v>970</v>
      </c>
      <c r="I205" s="16" t="s">
        <v>985</v>
      </c>
    </row>
    <row r="206" spans="1:9" ht="23" customHeight="1" x14ac:dyDescent="0.15">
      <c r="A206" s="4" t="s">
        <v>28</v>
      </c>
      <c r="B206" s="6" t="s">
        <v>622</v>
      </c>
      <c r="C206" s="13" t="str">
        <f>SUBSTITUTE(REPLACE(REPLACE(B206,1,IFERROR(FIND("//",B206,1)+1,0),"")&amp;"/",FIND("/",REPLACE(B206,1,IFERROR(FIND("//",B206,1)+1,0),"")&amp;"/",1),LEN(B206),""),"www.","",1)</f>
        <v>eudir21.com</v>
      </c>
      <c r="D206" s="13">
        <f>COUNTIF($C$2:$C$801,C206)</f>
        <v>1</v>
      </c>
      <c r="E206" s="10" t="s">
        <v>237</v>
      </c>
      <c r="F206" s="4" t="s">
        <v>25</v>
      </c>
      <c r="G206" s="31" t="s">
        <v>5</v>
      </c>
      <c r="H206" s="31" t="s">
        <v>965</v>
      </c>
      <c r="I206" s="10" t="s">
        <v>981</v>
      </c>
    </row>
    <row r="207" spans="1:9" ht="23" customHeight="1" x14ac:dyDescent="0.15">
      <c r="A207" s="4" t="s">
        <v>28</v>
      </c>
      <c r="B207" s="6" t="s">
        <v>289</v>
      </c>
      <c r="C207" s="13" t="str">
        <f>SUBSTITUTE(REPLACE(REPLACE(B207,1,IFERROR(FIND("//",B207,1)+1,0),"")&amp;"/",FIND("/",REPLACE(B207,1,IFERROR(FIND("//",B207,1)+1,0),"")&amp;"/",1),LEN(B207),""),"www.","",1)</f>
        <v>evensi.de</v>
      </c>
      <c r="D207" s="13">
        <f>COUNTIF($C$2:$C$801,C207)</f>
        <v>1</v>
      </c>
      <c r="E207" s="10" t="s">
        <v>290</v>
      </c>
      <c r="F207" s="4" t="s">
        <v>25</v>
      </c>
      <c r="G207" s="31" t="s">
        <v>5</v>
      </c>
      <c r="H207" s="31" t="s">
        <v>965</v>
      </c>
      <c r="I207" s="10" t="s">
        <v>981</v>
      </c>
    </row>
    <row r="208" spans="1:9" ht="23" customHeight="1" x14ac:dyDescent="0.15">
      <c r="A208" s="4" t="s">
        <v>28</v>
      </c>
      <c r="B208" s="6" t="s">
        <v>562</v>
      </c>
      <c r="C208" s="13" t="str">
        <f>SUBSTITUTE(REPLACE(REPLACE(B208,1,IFERROR(FIND("//",B208,1)+1,0),"")&amp;"/",FIND("/",REPLACE(B208,1,IFERROR(FIND("//",B208,1)+1,0),"")&amp;"/",1),LEN(B208),""),"www.","",1)</f>
        <v>existenzgruenderinnen.de</v>
      </c>
      <c r="D208" s="13">
        <f>COUNTIF($C$2:$C$801,C208)</f>
        <v>1</v>
      </c>
      <c r="E208" s="10" t="s">
        <v>563</v>
      </c>
      <c r="F208" s="4" t="s">
        <v>737</v>
      </c>
      <c r="G208" s="31" t="s">
        <v>5</v>
      </c>
      <c r="H208" s="31" t="s">
        <v>965</v>
      </c>
      <c r="I208" s="10" t="s">
        <v>981</v>
      </c>
    </row>
    <row r="209" spans="1:9" ht="23" customHeight="1" x14ac:dyDescent="0.15">
      <c r="A209" s="4" t="s">
        <v>28</v>
      </c>
      <c r="B209" s="6" t="s">
        <v>204</v>
      </c>
      <c r="C209" s="13" t="str">
        <f>SUBSTITUTE(REPLACE(REPLACE(B209,1,IFERROR(FIND("//",B209,1)+1,0),"")&amp;"/",FIND("/",REPLACE(B209,1,IFERROR(FIND("//",B209,1)+1,0),"")&amp;"/",1),LEN(B209),""),"www.","",1)</f>
        <v>existenzgruendungstag.de</v>
      </c>
      <c r="D209" s="13">
        <f>COUNTIF($C$2:$C$801,C209)</f>
        <v>1</v>
      </c>
      <c r="E209" s="10" t="s">
        <v>237</v>
      </c>
      <c r="F209" s="4"/>
      <c r="G209" s="31" t="s">
        <v>5</v>
      </c>
      <c r="H209" s="31" t="s">
        <v>965</v>
      </c>
      <c r="I209" s="10" t="s">
        <v>981</v>
      </c>
    </row>
    <row r="210" spans="1:9" ht="23" customHeight="1" x14ac:dyDescent="0.15">
      <c r="A210" s="4" t="s">
        <v>28</v>
      </c>
      <c r="B210" s="6" t="s">
        <v>996</v>
      </c>
      <c r="C210" s="35" t="str">
        <f>SUBSTITUTE(REPLACE(REPLACE(B210,1,IFERROR(FIND("//",B210,1)+1,0),"")&amp;"/",FIND("/",REPLACE(B210,1,IFERROR(FIND("//",B210,1)+1,0),"")&amp;"/",1),LEN(B210),""),"www.","",1)</f>
        <v>experte-fuer.de</v>
      </c>
      <c r="D210" s="13">
        <f>COUNTIF($C$2:$C$801,C210)</f>
        <v>1</v>
      </c>
      <c r="E210" s="10" t="s">
        <v>1069</v>
      </c>
      <c r="F210" s="4" t="s">
        <v>732</v>
      </c>
      <c r="G210" s="31" t="s">
        <v>4</v>
      </c>
      <c r="H210" s="31" t="s">
        <v>1084</v>
      </c>
      <c r="I210" s="10"/>
    </row>
    <row r="211" spans="1:9" ht="23" customHeight="1" x14ac:dyDescent="0.15">
      <c r="A211" s="4" t="s">
        <v>28</v>
      </c>
      <c r="B211" s="6" t="s">
        <v>480</v>
      </c>
      <c r="C211" s="13" t="str">
        <f>SUBSTITUTE(REPLACE(REPLACE(B211,1,IFERROR(FIND("//",B211,1)+1,0),"")&amp;"/",FIND("/",REPLACE(B211,1,IFERROR(FIND("//",B211,1)+1,0),"")&amp;"/",1),LEN(B211),""),"www.","",1)</f>
        <v>facts-office.com</v>
      </c>
      <c r="D211" s="13">
        <f>COUNTIF($C$2:$C$801,C211)</f>
        <v>1</v>
      </c>
      <c r="E211" s="10" t="s">
        <v>237</v>
      </c>
      <c r="F211" s="4" t="s">
        <v>732</v>
      </c>
      <c r="G211" s="31" t="s">
        <v>5</v>
      </c>
      <c r="H211" s="31" t="s">
        <v>965</v>
      </c>
      <c r="I211" s="10" t="s">
        <v>981</v>
      </c>
    </row>
    <row r="212" spans="1:9" ht="23" customHeight="1" x14ac:dyDescent="0.15">
      <c r="A212" s="4" t="s">
        <v>28</v>
      </c>
      <c r="B212" s="6" t="s">
        <v>886</v>
      </c>
      <c r="C212" s="13" t="str">
        <f>SUBSTITUTE(REPLACE(REPLACE(B212,1,IFERROR(FIND("//",B212,1)+1,0),"")&amp;"/",FIND("/",REPLACE(B212,1,IFERROR(FIND("//",B212,1)+1,0),"")&amp;"/",1),LEN(B212),""),"www.","",1)</f>
        <v>facts-office.de</v>
      </c>
      <c r="D212" s="13">
        <f>COUNTIF($C$2:$C$801,C212)</f>
        <v>1</v>
      </c>
      <c r="E212" s="10" t="s">
        <v>241</v>
      </c>
      <c r="F212" s="4" t="s">
        <v>732</v>
      </c>
      <c r="G212" s="31" t="s">
        <v>5</v>
      </c>
      <c r="H212" s="31" t="s">
        <v>965</v>
      </c>
      <c r="I212" s="10" t="s">
        <v>981</v>
      </c>
    </row>
    <row r="213" spans="1:9" ht="23" customHeight="1" x14ac:dyDescent="0.15">
      <c r="A213" s="4" t="s">
        <v>28</v>
      </c>
      <c r="B213" s="6" t="s">
        <v>383</v>
      </c>
      <c r="C213" s="13" t="str">
        <f>SUBSTITUTE(REPLACE(REPLACE(B213,1,IFERROR(FIND("//",B213,1)+1,0),"")&amp;"/",FIND("/",REPLACE(B213,1,IFERROR(FIND("//",B213,1)+1,0),"")&amp;"/",1),LEN(B213),""),"www.","",1)</f>
        <v>facts-online.de</v>
      </c>
      <c r="D213" s="13">
        <f>COUNTIF($C$2:$C$801,C213)</f>
        <v>1</v>
      </c>
      <c r="E213" s="10" t="s">
        <v>241</v>
      </c>
      <c r="F213" s="4" t="s">
        <v>732</v>
      </c>
      <c r="G213" s="31" t="s">
        <v>5</v>
      </c>
      <c r="H213" s="31" t="s">
        <v>965</v>
      </c>
      <c r="I213" s="10" t="s">
        <v>981</v>
      </c>
    </row>
    <row r="214" spans="1:9" ht="23" customHeight="1" x14ac:dyDescent="0.15">
      <c r="A214" s="4" t="s">
        <v>28</v>
      </c>
      <c r="B214" s="6" t="s">
        <v>481</v>
      </c>
      <c r="C214" s="13" t="str">
        <f>SUBSTITUTE(REPLACE(REPLACE(B214,1,IFERROR(FIND("//",B214,1)+1,0),"")&amp;"/",FIND("/",REPLACE(B214,1,IFERROR(FIND("//",B214,1)+1,0),"")&amp;"/",1),LEN(B214),""),"www.","",1)</f>
        <v>facts-verlag.de</v>
      </c>
      <c r="D214" s="13">
        <f>COUNTIF($C$2:$C$801,C214)</f>
        <v>1</v>
      </c>
      <c r="E214" s="10" t="s">
        <v>237</v>
      </c>
      <c r="F214" s="4" t="s">
        <v>732</v>
      </c>
      <c r="G214" s="31" t="s">
        <v>5</v>
      </c>
      <c r="H214" s="31" t="s">
        <v>965</v>
      </c>
      <c r="I214" s="10" t="s">
        <v>981</v>
      </c>
    </row>
    <row r="215" spans="1:9" ht="23" customHeight="1" x14ac:dyDescent="0.15">
      <c r="A215" s="4" t="s">
        <v>28</v>
      </c>
      <c r="B215" s="6" t="s">
        <v>642</v>
      </c>
      <c r="C215" s="13" t="str">
        <f>SUBSTITUTE(REPLACE(REPLACE(B215,1,IFERROR(FIND("//",B215,1)+1,0),"")&amp;"/",FIND("/",REPLACE(B215,1,IFERROR(FIND("//",B215,1)+1,0),"")&amp;"/",1),LEN(B215),""),"www.","",1)</f>
        <v>factsoffice.com</v>
      </c>
      <c r="D215" s="13">
        <f>COUNTIF($C$2:$C$801,C215)</f>
        <v>1</v>
      </c>
      <c r="E215" s="10" t="s">
        <v>28</v>
      </c>
      <c r="F215" s="4" t="s">
        <v>732</v>
      </c>
      <c r="G215" s="31" t="s">
        <v>5</v>
      </c>
      <c r="H215" s="31" t="s">
        <v>965</v>
      </c>
      <c r="I215" s="10" t="s">
        <v>981</v>
      </c>
    </row>
    <row r="216" spans="1:9" ht="23" customHeight="1" x14ac:dyDescent="0.15">
      <c r="A216" s="4" t="s">
        <v>28</v>
      </c>
      <c r="B216" s="6" t="s">
        <v>415</v>
      </c>
      <c r="C216" s="13" t="str">
        <f>SUBSTITUTE(REPLACE(REPLACE(B216,1,IFERROR(FIND("//",B216,1)+1,0),"")&amp;"/",FIND("/",REPLACE(B216,1,IFERROR(FIND("//",B216,1)+1,0),"")&amp;"/",1),LEN(B216),""),"www.","",1)</f>
        <v>factsoffice.de</v>
      </c>
      <c r="D216" s="13">
        <f>COUNTIF($C$2:$C$801,C216)</f>
        <v>1</v>
      </c>
      <c r="E216" s="10" t="s">
        <v>237</v>
      </c>
      <c r="F216" s="4" t="s">
        <v>732</v>
      </c>
      <c r="G216" s="31" t="s">
        <v>5</v>
      </c>
      <c r="H216" s="31" t="s">
        <v>965</v>
      </c>
      <c r="I216" s="10" t="s">
        <v>981</v>
      </c>
    </row>
    <row r="217" spans="1:9" ht="23" customHeight="1" x14ac:dyDescent="0.15">
      <c r="A217" s="4" t="s">
        <v>28</v>
      </c>
      <c r="B217" s="6" t="s">
        <v>312</v>
      </c>
      <c r="C217" s="13" t="str">
        <f>SUBSTITUTE(REPLACE(REPLACE(B217,1,IFERROR(FIND("//",B217,1)+1,0),"")&amp;"/",FIND("/",REPLACE(B217,1,IFERROR(FIND("//",B217,1)+1,0),"")&amp;"/",1),LEN(B217),""),"www.","",1)</f>
        <v>factsverlag.de</v>
      </c>
      <c r="D217" s="13">
        <f>COUNTIF($C$2:$C$801,C217)</f>
        <v>1</v>
      </c>
      <c r="E217" s="10" t="s">
        <v>241</v>
      </c>
      <c r="F217" s="4" t="s">
        <v>732</v>
      </c>
      <c r="G217" s="31" t="s">
        <v>5</v>
      </c>
      <c r="H217" s="31" t="s">
        <v>965</v>
      </c>
      <c r="I217" s="10" t="s">
        <v>981</v>
      </c>
    </row>
    <row r="218" spans="1:9" ht="23" customHeight="1" x14ac:dyDescent="0.15">
      <c r="A218" s="4" t="s">
        <v>28</v>
      </c>
      <c r="B218" s="6" t="s">
        <v>120</v>
      </c>
      <c r="C218" s="35" t="str">
        <f>SUBSTITUTE(REPLACE(REPLACE(B218,1,IFERROR(FIND("//",B218,1)+1,0),"")&amp;"/",FIND("/",REPLACE(B218,1,IFERROR(FIND("//",B218,1)+1,0),"")&amp;"/",1),LEN(B218),""),"www.","",1)</f>
        <v>faktwerk.de</v>
      </c>
      <c r="D218" s="13">
        <f>COUNTIF($C$2:$C$801,C218)</f>
        <v>1</v>
      </c>
      <c r="E218" s="10" t="s">
        <v>603</v>
      </c>
      <c r="F218" s="4" t="s">
        <v>732</v>
      </c>
      <c r="G218" s="31" t="s">
        <v>4</v>
      </c>
      <c r="H218" s="31" t="s">
        <v>965</v>
      </c>
      <c r="I218" s="10" t="s">
        <v>977</v>
      </c>
    </row>
    <row r="219" spans="1:9" ht="23" customHeight="1" x14ac:dyDescent="0.15">
      <c r="A219" s="4" t="s">
        <v>28</v>
      </c>
      <c r="B219" s="6" t="s">
        <v>840</v>
      </c>
      <c r="C219" s="13" t="str">
        <f>SUBSTITUTE(REPLACE(REPLACE(B219,1,IFERROR(FIND("//",B219,1)+1,0),"")&amp;"/",FIND("/",REPLACE(B219,1,IFERROR(FIND("//",B219,1)+1,0),"")&amp;"/",1),LEN(B219),""),"www.","",1)</f>
        <v>fazerartesanato.com</v>
      </c>
      <c r="D219" s="13">
        <f>COUNTIF($C$2:$C$801,C219)</f>
        <v>1</v>
      </c>
      <c r="E219" s="10"/>
      <c r="F219" s="4" t="s">
        <v>730</v>
      </c>
      <c r="G219" s="31" t="s">
        <v>5</v>
      </c>
      <c r="H219" s="31" t="s">
        <v>965</v>
      </c>
      <c r="I219" s="10" t="s">
        <v>981</v>
      </c>
    </row>
    <row r="220" spans="1:9" ht="23" customHeight="1" x14ac:dyDescent="0.15">
      <c r="A220" s="4" t="s">
        <v>28</v>
      </c>
      <c r="B220" s="6" t="s">
        <v>944</v>
      </c>
      <c r="C220" s="13" t="str">
        <f>SUBSTITUTE(REPLACE(REPLACE(B220,1,IFERROR(FIND("//",B220,1)+1,0),"")&amp;"/",FIND("/",REPLACE(B220,1,IFERROR(FIND("//",B220,1)+1,0),"")&amp;"/",1),LEN(B220),""),"www.","",1)</f>
        <v>feeds.feedburner.com</v>
      </c>
      <c r="D220" s="13">
        <f>COUNTIF($C$2:$C$801,C220)</f>
        <v>1</v>
      </c>
      <c r="E220" s="10" t="s">
        <v>955</v>
      </c>
      <c r="F220" s="4" t="s">
        <v>13</v>
      </c>
      <c r="G220" s="31" t="s">
        <v>4</v>
      </c>
      <c r="H220" s="31" t="s">
        <v>965</v>
      </c>
      <c r="I220" s="10" t="s">
        <v>977</v>
      </c>
    </row>
    <row r="221" spans="1:9" ht="23" customHeight="1" x14ac:dyDescent="0.15">
      <c r="A221" s="4" t="s">
        <v>28</v>
      </c>
      <c r="B221" s="6" t="s">
        <v>173</v>
      </c>
      <c r="C221" s="13" t="str">
        <f>SUBSTITUTE(REPLACE(REPLACE(B221,1,IFERROR(FIND("//",B221,1)+1,0),"")&amp;"/",FIND("/",REPLACE(B221,1,IFERROR(FIND("//",B221,1)+1,0),"")&amp;"/",1),LEN(B221),""),"www.","",1)</f>
        <v>feistauer-buerodesign.de</v>
      </c>
      <c r="D221" s="13">
        <f>COUNTIF($C$2:$C$801,C221)</f>
        <v>1</v>
      </c>
      <c r="E221" s="10" t="s">
        <v>14</v>
      </c>
      <c r="F221" s="4" t="s">
        <v>729</v>
      </c>
      <c r="G221" s="31" t="s">
        <v>5</v>
      </c>
      <c r="H221" s="31" t="s">
        <v>965</v>
      </c>
      <c r="I221" s="10" t="s">
        <v>981</v>
      </c>
    </row>
    <row r="222" spans="1:9" ht="23" customHeight="1" x14ac:dyDescent="0.15">
      <c r="A222" s="4" t="s">
        <v>28</v>
      </c>
      <c r="B222" s="6" t="s">
        <v>1016</v>
      </c>
      <c r="C222" s="13" t="str">
        <f>SUBSTITUTE(REPLACE(REPLACE(B222,1,IFERROR(FIND("//",B222,1)+1,0),"")&amp;"/",FIND("/",REPLACE(B222,1,IFERROR(FIND("//",B222,1)+1,0),"")&amp;"/",1),LEN(B222),""),"www.","",1)</f>
        <v>feld-werk.de</v>
      </c>
      <c r="D222" s="13">
        <f>COUNTIF($C$2:$C$801,C222)</f>
        <v>1</v>
      </c>
      <c r="E222" s="10" t="s">
        <v>1076</v>
      </c>
      <c r="F222" s="4" t="s">
        <v>739</v>
      </c>
      <c r="G222" s="31" t="s">
        <v>4</v>
      </c>
      <c r="H222" s="31" t="s">
        <v>1084</v>
      </c>
      <c r="I222" s="10"/>
    </row>
    <row r="223" spans="1:9" ht="23" customHeight="1" x14ac:dyDescent="0.15">
      <c r="A223" s="4" t="s">
        <v>28</v>
      </c>
      <c r="B223" s="6" t="s">
        <v>416</v>
      </c>
      <c r="C223" s="13" t="str">
        <f>SUBSTITUTE(REPLACE(REPLACE(B223,1,IFERROR(FIND("//",B223,1)+1,0),"")&amp;"/",FIND("/",REPLACE(B223,1,IFERROR(FIND("//",B223,1)+1,0),"")&amp;"/",1),LEN(B223),""),"www.","",1)</f>
        <v>femb.org</v>
      </c>
      <c r="D223" s="13">
        <f>COUNTIF($C$2:$C$801,C223)</f>
        <v>1</v>
      </c>
      <c r="E223" s="10" t="s">
        <v>551</v>
      </c>
      <c r="F223" s="4" t="s">
        <v>729</v>
      </c>
      <c r="G223" s="31" t="s">
        <v>4</v>
      </c>
      <c r="H223" s="31" t="s">
        <v>965</v>
      </c>
      <c r="I223" s="10" t="s">
        <v>977</v>
      </c>
    </row>
    <row r="224" spans="1:9" ht="23" customHeight="1" x14ac:dyDescent="0.15">
      <c r="A224" s="4" t="s">
        <v>28</v>
      </c>
      <c r="B224" s="6" t="s">
        <v>245</v>
      </c>
      <c r="C224" s="13" t="str">
        <f>SUBSTITUTE(REPLACE(REPLACE(B224,1,IFERROR(FIND("//",B224,1)+1,0),"")&amp;"/",FIND("/",REPLACE(B224,1,IFERROR(FIND("//",B224,1)+1,0),"")&amp;"/",1),LEN(B224),""),"www.","",1)</f>
        <v>feuertrutz.de</v>
      </c>
      <c r="D224" s="13">
        <f>COUNTIF($C$2:$C$801,C224)</f>
        <v>1</v>
      </c>
      <c r="E224" s="10" t="s">
        <v>246</v>
      </c>
      <c r="F224" s="4" t="s">
        <v>735</v>
      </c>
      <c r="G224" s="31" t="s">
        <v>4</v>
      </c>
      <c r="H224" s="31" t="s">
        <v>965</v>
      </c>
      <c r="I224" s="10" t="s">
        <v>977</v>
      </c>
    </row>
    <row r="225" spans="1:9" ht="23" customHeight="1" x14ac:dyDescent="0.15">
      <c r="A225" s="4" t="s">
        <v>28</v>
      </c>
      <c r="B225" s="6" t="s">
        <v>147</v>
      </c>
      <c r="C225" s="13" t="str">
        <f>SUBSTITUTE(REPLACE(REPLACE(B225,1,IFERROR(FIND("//",B225,1)+1,0),"")&amp;"/",FIND("/",REPLACE(B225,1,IFERROR(FIND("//",B225,1)+1,0),"")&amp;"/",1),LEN(B225),""),"www.","",1)</f>
        <v>fhdw.de</v>
      </c>
      <c r="D225" s="13">
        <f>COUNTIF($C$2:$C$801,C225)</f>
        <v>1</v>
      </c>
      <c r="E225" s="10" t="s">
        <v>11</v>
      </c>
      <c r="F225" s="4" t="s">
        <v>735</v>
      </c>
      <c r="G225" s="31" t="s">
        <v>5</v>
      </c>
      <c r="H225" s="31" t="s">
        <v>965</v>
      </c>
      <c r="I225" s="10" t="s">
        <v>981</v>
      </c>
    </row>
    <row r="226" spans="1:9" ht="23" customHeight="1" x14ac:dyDescent="0.15">
      <c r="A226" s="4" t="s">
        <v>28</v>
      </c>
      <c r="B226" s="6" t="s">
        <v>933</v>
      </c>
      <c r="C226" s="13" t="str">
        <f>SUBSTITUTE(REPLACE(REPLACE(B226,1,IFERROR(FIND("//",B226,1)+1,0),"")&amp;"/",FIND("/",REPLACE(B226,1,IFERROR(FIND("//",B226,1)+1,0),"")&amp;"/",1),LEN(B226),""),"www.","",1)</f>
        <v>finde-offen.de</v>
      </c>
      <c r="D226" s="13">
        <f>COUNTIF($C$2:$C$801,C226)</f>
        <v>1</v>
      </c>
      <c r="E226" s="10" t="s">
        <v>358</v>
      </c>
      <c r="F226" s="4" t="s">
        <v>25</v>
      </c>
      <c r="G226" s="31" t="s">
        <v>10</v>
      </c>
      <c r="H226" s="31" t="s">
        <v>965</v>
      </c>
      <c r="I226" s="10" t="s">
        <v>978</v>
      </c>
    </row>
    <row r="227" spans="1:9" ht="23" customHeight="1" x14ac:dyDescent="0.15">
      <c r="A227" s="4" t="s">
        <v>28</v>
      </c>
      <c r="B227" s="6" t="s">
        <v>264</v>
      </c>
      <c r="C227" s="13" t="str">
        <f>SUBSTITUTE(REPLACE(REPLACE(B227,1,IFERROR(FIND("//",B227,1)+1,0),"")&amp;"/",FIND("/",REPLACE(B227,1,IFERROR(FIND("//",B227,1)+1,0),"")&amp;"/",1),LEN(B227),""),"www.","",1)</f>
        <v>findfurniturestores.com</v>
      </c>
      <c r="D227" s="13">
        <f>COUNTIF($C$2:$C$801,C227)</f>
        <v>1</v>
      </c>
      <c r="E227" s="10" t="s">
        <v>265</v>
      </c>
      <c r="F227" s="4" t="s">
        <v>25</v>
      </c>
      <c r="G227" s="31" t="s">
        <v>4</v>
      </c>
      <c r="H227" s="31" t="s">
        <v>965</v>
      </c>
      <c r="I227" s="10" t="s">
        <v>977</v>
      </c>
    </row>
    <row r="228" spans="1:9" ht="23" customHeight="1" x14ac:dyDescent="0.15">
      <c r="A228" s="4" t="s">
        <v>28</v>
      </c>
      <c r="B228" s="6" t="s">
        <v>174</v>
      </c>
      <c r="C228" s="13" t="str">
        <f>SUBSTITUTE(REPLACE(REPLACE(B228,1,IFERROR(FIND("//",B228,1)+1,0),"")&amp;"/",FIND("/",REPLACE(B228,1,IFERROR(FIND("//",B228,1)+1,0),"")&amp;"/",1),LEN(B228),""),"www.","",1)</f>
        <v>fireball.de</v>
      </c>
      <c r="D228" s="13">
        <f>COUNTIF($C$2:$C$801,C228)</f>
        <v>1</v>
      </c>
      <c r="E228" s="10" t="s">
        <v>14</v>
      </c>
      <c r="F228" s="4"/>
      <c r="G228" s="31" t="s">
        <v>5</v>
      </c>
      <c r="H228" s="31" t="s">
        <v>965</v>
      </c>
      <c r="I228" s="10" t="s">
        <v>981</v>
      </c>
    </row>
    <row r="229" spans="1:9" ht="23" customHeight="1" x14ac:dyDescent="0.15">
      <c r="A229" s="4" t="s">
        <v>28</v>
      </c>
      <c r="B229" s="6" t="s">
        <v>990</v>
      </c>
      <c r="C229" s="13" t="str">
        <f>SUBSTITUTE(REPLACE(REPLACE(B229,1,IFERROR(FIND("//",B229,1)+1,0),"")&amp;"/",FIND("/",REPLACE(B229,1,IFERROR(FIND("//",B229,1)+1,0),"")&amp;"/",1),LEN(B229),""),"www.","",1)</f>
        <v>firmeneintrag.creditreform.de</v>
      </c>
      <c r="D229" s="13">
        <f>COUNTIF($C$2:$C$801,C229)</f>
        <v>1</v>
      </c>
      <c r="E229" s="10" t="s">
        <v>237</v>
      </c>
      <c r="F229" s="4" t="s">
        <v>25</v>
      </c>
      <c r="G229" s="31" t="s">
        <v>4</v>
      </c>
      <c r="H229" s="31" t="s">
        <v>1084</v>
      </c>
      <c r="I229" s="10"/>
    </row>
    <row r="230" spans="1:9" ht="23" customHeight="1" x14ac:dyDescent="0.15">
      <c r="A230" s="4" t="s">
        <v>28</v>
      </c>
      <c r="B230" s="6" t="s">
        <v>616</v>
      </c>
      <c r="C230" s="13" t="str">
        <f>SUBSTITUTE(REPLACE(REPLACE(B230,1,IFERROR(FIND("//",B230,1)+1,0),"")&amp;"/",FIND("/",REPLACE(B230,1,IFERROR(FIND("//",B230,1)+1,0),"")&amp;"/",1),LEN(B230),""),"www.","",1)</f>
        <v>firmenregister.de</v>
      </c>
      <c r="D230" s="13">
        <f>COUNTIF($C$2:$C$801,C230)</f>
        <v>1</v>
      </c>
      <c r="E230" s="10" t="s">
        <v>26</v>
      </c>
      <c r="F230" s="4" t="s">
        <v>25</v>
      </c>
      <c r="G230" s="31" t="s">
        <v>10</v>
      </c>
      <c r="H230" s="31" t="s">
        <v>964</v>
      </c>
      <c r="I230" s="10" t="s">
        <v>978</v>
      </c>
    </row>
    <row r="231" spans="1:9" ht="23" customHeight="1" x14ac:dyDescent="0.15">
      <c r="A231" s="4" t="s">
        <v>28</v>
      </c>
      <c r="B231" s="6" t="s">
        <v>52</v>
      </c>
      <c r="C231" s="13" t="str">
        <f>SUBSTITUTE(REPLACE(REPLACE(B231,1,IFERROR(FIND("//",B231,1)+1,0),"")&amp;"/",FIND("/",REPLACE(B231,1,IFERROR(FIND("//",B231,1)+1,0),"")&amp;"/",1),LEN(B231),""),"www.","",1)</f>
        <v>firmenschau.com</v>
      </c>
      <c r="D231" s="13">
        <f>COUNTIF($C$2:$C$801,C231)</f>
        <v>1</v>
      </c>
      <c r="E231" s="10" t="s">
        <v>246</v>
      </c>
      <c r="F231" s="4" t="s">
        <v>25</v>
      </c>
      <c r="G231" s="31" t="s">
        <v>10</v>
      </c>
      <c r="H231" s="31" t="s">
        <v>965</v>
      </c>
      <c r="I231" s="10" t="s">
        <v>978</v>
      </c>
    </row>
    <row r="232" spans="1:9" ht="23" customHeight="1" x14ac:dyDescent="0.15">
      <c r="A232" s="4" t="s">
        <v>28</v>
      </c>
      <c r="B232" s="6" t="s">
        <v>272</v>
      </c>
      <c r="C232" s="13" t="str">
        <f>SUBSTITUTE(REPLACE(REPLACE(B232,1,IFERROR(FIND("//",B232,1)+1,0),"")&amp;"/",FIND("/",REPLACE(B232,1,IFERROR(FIND("//",B232,1)+1,0),"")&amp;"/",1),LEN(B232),""),"www.","",1)</f>
        <v>firmenwissen.com</v>
      </c>
      <c r="D232" s="13">
        <f>COUNTIF($C$2:$C$801,C232)</f>
        <v>1</v>
      </c>
      <c r="E232" s="10" t="s">
        <v>237</v>
      </c>
      <c r="F232" s="4" t="s">
        <v>25</v>
      </c>
      <c r="G232" s="31" t="s">
        <v>4</v>
      </c>
      <c r="H232" s="31" t="s">
        <v>965</v>
      </c>
      <c r="I232" s="10" t="s">
        <v>977</v>
      </c>
    </row>
    <row r="233" spans="1:9" ht="23" customHeight="1" x14ac:dyDescent="0.15">
      <c r="A233" s="4" t="s">
        <v>28</v>
      </c>
      <c r="B233" s="6" t="s">
        <v>759</v>
      </c>
      <c r="C233" s="13" t="str">
        <f>SUBSTITUTE(REPLACE(REPLACE(B233,1,IFERROR(FIND("//",B233,1)+1,0),"")&amp;"/",FIND("/",REPLACE(B233,1,IFERROR(FIND("//",B233,1)+1,0),"")&amp;"/",1),LEN(B233),""),"www.","",1)</f>
        <v>firmenwissen.de</v>
      </c>
      <c r="D233" s="13">
        <f>COUNTIF($C$2:$C$801,C233)</f>
        <v>1</v>
      </c>
      <c r="E233" s="10" t="s">
        <v>237</v>
      </c>
      <c r="F233" s="4" t="s">
        <v>25</v>
      </c>
      <c r="G233" s="31" t="s">
        <v>4</v>
      </c>
      <c r="H233" s="31" t="s">
        <v>965</v>
      </c>
      <c r="I233" s="10" t="s">
        <v>977</v>
      </c>
    </row>
    <row r="234" spans="1:9" ht="23" customHeight="1" x14ac:dyDescent="0.15">
      <c r="A234" s="4" t="s">
        <v>28</v>
      </c>
      <c r="B234" s="6" t="s">
        <v>73</v>
      </c>
      <c r="C234" s="13" t="str">
        <f>SUBSTITUTE(REPLACE(REPLACE(B234,1,IFERROR(FIND("//",B234,1)+1,0),"")&amp;"/",FIND("/",REPLACE(B234,1,IFERROR(FIND("//",B234,1)+1,0),"")&amp;"/",1),LEN(B234),""),"www.","",1)</f>
        <v>firmex.biz</v>
      </c>
      <c r="D234" s="13">
        <f>COUNTIF($C$2:$C$801,C234)</f>
        <v>1</v>
      </c>
      <c r="E234" s="10" t="s">
        <v>237</v>
      </c>
      <c r="F234" s="4"/>
      <c r="G234" s="31" t="s">
        <v>5</v>
      </c>
      <c r="H234" s="31" t="s">
        <v>965</v>
      </c>
      <c r="I234" s="10" t="s">
        <v>981</v>
      </c>
    </row>
    <row r="235" spans="1:9" ht="23" customHeight="1" x14ac:dyDescent="0.15">
      <c r="A235" s="4" t="s">
        <v>28</v>
      </c>
      <c r="B235" s="6" t="s">
        <v>796</v>
      </c>
      <c r="C235" s="13" t="str">
        <f>SUBSTITUTE(REPLACE(REPLACE(B235,1,IFERROR(FIND("//",B235,1)+1,0),"")&amp;"/",FIND("/",REPLACE(B235,1,IFERROR(FIND("//",B235,1)+1,0),"")&amp;"/",1),LEN(B235),""),"www.","",1)</f>
        <v>fischer-bueromoebel.de</v>
      </c>
      <c r="D235" s="13">
        <f>COUNTIF($C$2:$C$801,C235)</f>
        <v>1</v>
      </c>
      <c r="E235" s="10"/>
      <c r="F235" s="4" t="s">
        <v>729</v>
      </c>
      <c r="G235" s="31" t="s">
        <v>4</v>
      </c>
      <c r="H235" s="31" t="s">
        <v>965</v>
      </c>
      <c r="I235" s="10" t="s">
        <v>977</v>
      </c>
    </row>
    <row r="236" spans="1:9" ht="23" customHeight="1" x14ac:dyDescent="0.15">
      <c r="A236" s="4" t="s">
        <v>28</v>
      </c>
      <c r="B236" s="6" t="s">
        <v>882</v>
      </c>
      <c r="C236" s="13" t="str">
        <f>SUBSTITUTE(REPLACE(REPLACE(B236,1,IFERROR(FIND("//",B236,1)+1,0),"")&amp;"/",FIND("/",REPLACE(B236,1,IFERROR(FIND("//",B236,1)+1,0),"")&amp;"/",1),LEN(B236),""),"www.","",1)</f>
        <v>flanjak.de</v>
      </c>
      <c r="D236" s="13">
        <f>COUNTIF($C$2:$C$801,C236)</f>
        <v>1</v>
      </c>
      <c r="E236" s="10" t="s">
        <v>241</v>
      </c>
      <c r="F236" s="4" t="s">
        <v>729</v>
      </c>
      <c r="G236" s="31" t="s">
        <v>4</v>
      </c>
      <c r="H236" s="31" t="s">
        <v>965</v>
      </c>
      <c r="I236" s="10" t="s">
        <v>977</v>
      </c>
    </row>
    <row r="237" spans="1:9" ht="23" customHeight="1" x14ac:dyDescent="0.15">
      <c r="A237" s="4" t="s">
        <v>28</v>
      </c>
      <c r="B237" s="6" t="s">
        <v>819</v>
      </c>
      <c r="C237" s="13" t="str">
        <f>SUBSTITUTE(REPLACE(REPLACE(B237,1,IFERROR(FIND("//",B237,1)+1,0),"")&amp;"/",FIND("/",REPLACE(B237,1,IFERROR(FIND("//",B237,1)+1,0),"")&amp;"/",1),LEN(B237),""),"www.","",1)</f>
        <v>flanjak.eu</v>
      </c>
      <c r="D237" s="13">
        <f>COUNTIF($C$2:$C$801,C237)</f>
        <v>1</v>
      </c>
      <c r="E237" s="10" t="s">
        <v>241</v>
      </c>
      <c r="F237" s="4" t="s">
        <v>729</v>
      </c>
      <c r="G237" s="31" t="s">
        <v>4</v>
      </c>
      <c r="H237" s="31" t="s">
        <v>965</v>
      </c>
      <c r="I237" s="10" t="s">
        <v>977</v>
      </c>
    </row>
    <row r="238" spans="1:9" ht="23" customHeight="1" x14ac:dyDescent="0.15">
      <c r="A238" s="4" t="s">
        <v>28</v>
      </c>
      <c r="B238" s="6" t="s">
        <v>208</v>
      </c>
      <c r="C238" s="13" t="str">
        <f>SUBSTITUTE(REPLACE(REPLACE(B238,1,IFERROR(FIND("//",B238,1)+1,0),"")&amp;"/",FIND("/",REPLACE(B238,1,IFERROR(FIND("//",B238,1)+1,0),"")&amp;"/",1),LEN(B238),""),"www.","",1)</f>
        <v>foelschow.de</v>
      </c>
      <c r="D238" s="13">
        <f>COUNTIF($C$2:$C$801,C238)</f>
        <v>1</v>
      </c>
      <c r="E238" s="10" t="s">
        <v>14</v>
      </c>
      <c r="F238" s="4" t="s">
        <v>729</v>
      </c>
      <c r="G238" s="31" t="s">
        <v>4</v>
      </c>
      <c r="H238" s="31" t="s">
        <v>965</v>
      </c>
      <c r="I238" s="10" t="s">
        <v>977</v>
      </c>
    </row>
    <row r="239" spans="1:9" ht="23" customHeight="1" x14ac:dyDescent="0.15">
      <c r="A239" s="4" t="s">
        <v>28</v>
      </c>
      <c r="B239" s="6" t="s">
        <v>581</v>
      </c>
      <c r="C239" s="13" t="str">
        <f>SUBSTITUTE(REPLACE(REPLACE(B239,1,IFERROR(FIND("//",B239,1)+1,0),"")&amp;"/",FIND("/",REPLACE(B239,1,IFERROR(FIND("//",B239,1)+1,0),"")&amp;"/",1),LEN(B239),""),"www.","",1)</f>
        <v>followsite.net</v>
      </c>
      <c r="D239" s="13">
        <f>COUNTIF($C$2:$C$801,C239)</f>
        <v>1</v>
      </c>
      <c r="E239" s="10" t="s">
        <v>250</v>
      </c>
      <c r="F239" s="4" t="s">
        <v>25</v>
      </c>
      <c r="G239" s="31" t="s">
        <v>4</v>
      </c>
      <c r="H239" s="31" t="s">
        <v>965</v>
      </c>
      <c r="I239" s="10" t="s">
        <v>977</v>
      </c>
    </row>
    <row r="240" spans="1:9" ht="23" customHeight="1" x14ac:dyDescent="0.15">
      <c r="A240" s="4" t="s">
        <v>28</v>
      </c>
      <c r="B240" s="6" t="s">
        <v>1019</v>
      </c>
      <c r="C240" s="13" t="str">
        <f>SUBSTITUTE(REPLACE(REPLACE(B240,1,IFERROR(FIND("//",B240,1)+1,0),"")&amp;"/",FIND("/",REPLACE(B240,1,IFERROR(FIND("//",B240,1)+1,0),"")&amp;"/",1),LEN(B240),""),"www.","",1)</f>
        <v>forstner-buero.de</v>
      </c>
      <c r="D240" s="13">
        <f>COUNTIF($C$2:$C$801,C240)</f>
        <v>1</v>
      </c>
      <c r="E240" s="10" t="s">
        <v>1077</v>
      </c>
      <c r="F240" s="4" t="s">
        <v>729</v>
      </c>
      <c r="G240" s="31" t="s">
        <v>4</v>
      </c>
      <c r="H240" s="31" t="s">
        <v>1084</v>
      </c>
      <c r="I240" s="10"/>
    </row>
    <row r="241" spans="1:9" ht="23" customHeight="1" x14ac:dyDescent="0.15">
      <c r="A241" s="4" t="s">
        <v>28</v>
      </c>
      <c r="B241" s="6" t="s">
        <v>192</v>
      </c>
      <c r="C241" s="13" t="str">
        <f>SUBSTITUTE(REPLACE(REPLACE(B241,1,IFERROR(FIND("//",B241,1)+1,0),"")&amp;"/",FIND("/",REPLACE(B241,1,IFERROR(FIND("//",B241,1)+1,0),"")&amp;"/",1),LEN(B241),""),"www.","",1)</f>
        <v>foto-treff-bielefeld.de</v>
      </c>
      <c r="D241" s="13">
        <f>COUNTIF($C$2:$C$801,C241)</f>
        <v>1</v>
      </c>
      <c r="E241" s="10" t="s">
        <v>719</v>
      </c>
      <c r="F241" s="4"/>
      <c r="G241" s="31" t="s">
        <v>5</v>
      </c>
      <c r="H241" s="31" t="s">
        <v>965</v>
      </c>
      <c r="I241" s="10" t="s">
        <v>981</v>
      </c>
    </row>
    <row r="242" spans="1:9" ht="23" customHeight="1" x14ac:dyDescent="0.15">
      <c r="A242" s="4" t="s">
        <v>28</v>
      </c>
      <c r="B242" s="6" t="s">
        <v>741</v>
      </c>
      <c r="C242" s="13" t="str">
        <f>SUBSTITUTE(REPLACE(REPLACE(B242,1,IFERROR(FIND("//",B242,1)+1,0),"")&amp;"/",FIND("/",REPLACE(B242,1,IFERROR(FIND("//",B242,1)+1,0),"")&amp;"/",1),LEN(B242),""),"www.","",1)</f>
        <v>frauenbranchenbuch-owl.de</v>
      </c>
      <c r="D242" s="13">
        <f>COUNTIF($C$2:$C$801,C242)</f>
        <v>1</v>
      </c>
      <c r="E242" s="10" t="s">
        <v>28</v>
      </c>
      <c r="F242" s="4" t="s">
        <v>732</v>
      </c>
      <c r="G242" s="31" t="s">
        <v>4</v>
      </c>
      <c r="H242" s="31" t="s">
        <v>965</v>
      </c>
      <c r="I242" s="10" t="s">
        <v>977</v>
      </c>
    </row>
    <row r="243" spans="1:9" ht="23" customHeight="1" x14ac:dyDescent="0.15">
      <c r="A243" s="4" t="s">
        <v>28</v>
      </c>
      <c r="B243" s="6" t="s">
        <v>597</v>
      </c>
      <c r="C243" s="13" t="str">
        <f>SUBSTITUTE(REPLACE(REPLACE(B243,1,IFERROR(FIND("//",B243,1)+1,0),"")&amp;"/",FIND("/",REPLACE(B243,1,IFERROR(FIND("//",B243,1)+1,0),"")&amp;"/",1),LEN(B243),""),"www.","",1)</f>
        <v>freizeit-store-diepers.de</v>
      </c>
      <c r="D243" s="13">
        <f>COUNTIF($C$2:$C$801,C243)</f>
        <v>1</v>
      </c>
      <c r="E243" s="10" t="s">
        <v>28</v>
      </c>
      <c r="F243" s="4" t="s">
        <v>729</v>
      </c>
      <c r="G243" s="31" t="s">
        <v>4</v>
      </c>
      <c r="H243" s="31" t="s">
        <v>965</v>
      </c>
      <c r="I243" s="10" t="s">
        <v>977</v>
      </c>
    </row>
    <row r="244" spans="1:9" ht="23" customHeight="1" x14ac:dyDescent="0.15">
      <c r="A244" s="4" t="s">
        <v>28</v>
      </c>
      <c r="B244" s="6" t="s">
        <v>186</v>
      </c>
      <c r="C244" s="13" t="str">
        <f>SUBSTITUTE(REPLACE(REPLACE(B244,1,IFERROR(FIND("//",B244,1)+1,0),"")&amp;"/",FIND("/",REPLACE(B244,1,IFERROR(FIND("//",B244,1)+1,0),"")&amp;"/",1),LEN(B244),""),"www.","",1)</f>
        <v>funktion-design-gmbh.de</v>
      </c>
      <c r="D244" s="13">
        <f>COUNTIF($C$2:$C$801,C244)</f>
        <v>1</v>
      </c>
      <c r="E244" s="10" t="s">
        <v>27</v>
      </c>
      <c r="F244" s="4" t="s">
        <v>729</v>
      </c>
      <c r="G244" s="31" t="s">
        <v>4</v>
      </c>
      <c r="H244" s="31" t="s">
        <v>965</v>
      </c>
      <c r="I244" s="10" t="s">
        <v>977</v>
      </c>
    </row>
    <row r="245" spans="1:9" ht="23" customHeight="1" x14ac:dyDescent="0.15">
      <c r="A245" s="4" t="s">
        <v>28</v>
      </c>
      <c r="B245" s="6" t="s">
        <v>107</v>
      </c>
      <c r="C245" s="13" t="str">
        <f>SUBSTITUTE(REPLACE(REPLACE(B245,1,IFERROR(FIND("//",B245,1)+1,0),"")&amp;"/",FIND("/",REPLACE(B245,1,IFERROR(FIND("//",B245,1)+1,0),"")&amp;"/",1),LEN(B245),""),"www.","",1)</f>
        <v>funktioneller-sitz-comfort.de</v>
      </c>
      <c r="D245" s="13">
        <f>COUNTIF($C$2:$C$801,C245)</f>
        <v>1</v>
      </c>
      <c r="E245" s="10" t="s">
        <v>237</v>
      </c>
      <c r="F245" s="4" t="s">
        <v>729</v>
      </c>
      <c r="G245" s="31" t="s">
        <v>5</v>
      </c>
      <c r="H245" s="31" t="s">
        <v>965</v>
      </c>
      <c r="I245" s="10" t="s">
        <v>981</v>
      </c>
    </row>
    <row r="246" spans="1:9" ht="23" customHeight="1" x14ac:dyDescent="0.15">
      <c r="A246" s="4" t="s">
        <v>28</v>
      </c>
      <c r="B246" s="6" t="s">
        <v>763</v>
      </c>
      <c r="C246" s="35" t="str">
        <f>SUBSTITUTE(REPLACE(REPLACE(B246,1,IFERROR(FIND("//",B246,1)+1,0),"")&amp;"/",FIND("/",REPLACE(B246,1,IFERROR(FIND("//",B246,1)+1,0),"")&amp;"/",1),LEN(B246),""),"www.","",1)</f>
        <v>g-wie-gastro.de</v>
      </c>
      <c r="D246" s="13">
        <f>COUNTIF($C$2:$C$801,C246)</f>
        <v>1</v>
      </c>
      <c r="E246" s="10" t="s">
        <v>898</v>
      </c>
      <c r="F246" s="4" t="s">
        <v>737</v>
      </c>
      <c r="G246" s="31" t="s">
        <v>4</v>
      </c>
      <c r="H246" s="31" t="s">
        <v>965</v>
      </c>
      <c r="I246" s="10" t="s">
        <v>977</v>
      </c>
    </row>
    <row r="247" spans="1:9" ht="23" customHeight="1" x14ac:dyDescent="0.15">
      <c r="A247" s="4" t="s">
        <v>28</v>
      </c>
      <c r="B247" s="6" t="s">
        <v>1056</v>
      </c>
      <c r="C247" s="13" t="str">
        <f>SUBSTITUTE(REPLACE(REPLACE(B247,1,IFERROR(FIND("//",B247,1)+1,0),"")&amp;"/",FIND("/",REPLACE(B247,1,IFERROR(FIND("//",B247,1)+1,0),"")&amp;"/",1),LEN(B247),""),"www.","",1)</f>
        <v>g-wie-gastro.squarenx.com</v>
      </c>
      <c r="D247" s="13">
        <f>COUNTIF($C$2:$C$801,C247)</f>
        <v>1</v>
      </c>
      <c r="E247" s="10" t="s">
        <v>1067</v>
      </c>
      <c r="F247" s="4" t="s">
        <v>732</v>
      </c>
      <c r="G247" s="31" t="s">
        <v>4</v>
      </c>
      <c r="H247" s="31" t="s">
        <v>1084</v>
      </c>
      <c r="I247" s="10"/>
    </row>
    <row r="248" spans="1:9" ht="23" customHeight="1" x14ac:dyDescent="0.15">
      <c r="A248" s="4" t="s">
        <v>28</v>
      </c>
      <c r="B248" s="6" t="s">
        <v>417</v>
      </c>
      <c r="C248" s="13" t="str">
        <f>SUBSTITUTE(REPLACE(REPLACE(B248,1,IFERROR(FIND("//",B248,1)+1,0),"")&amp;"/",FIND("/",REPLACE(B248,1,IFERROR(FIND("//",B248,1)+1,0),"")&amp;"/",1),LEN(B248),""),"www.","",1)</f>
        <v>gallery.designpreis.de</v>
      </c>
      <c r="D248" s="13">
        <f>COUNTIF($C$2:$C$801,C248)</f>
        <v>1</v>
      </c>
      <c r="E248" s="10" t="s">
        <v>274</v>
      </c>
      <c r="F248" s="4"/>
      <c r="G248" s="31" t="s">
        <v>5</v>
      </c>
      <c r="H248" s="31" t="s">
        <v>965</v>
      </c>
      <c r="I248" s="10" t="s">
        <v>981</v>
      </c>
    </row>
    <row r="249" spans="1:9" ht="23" customHeight="1" x14ac:dyDescent="0.15">
      <c r="A249" s="4" t="s">
        <v>28</v>
      </c>
      <c r="B249" s="6" t="s">
        <v>418</v>
      </c>
      <c r="C249" s="13" t="str">
        <f>SUBSTITUTE(REPLACE(REPLACE(B249,1,IFERROR(FIND("//",B249,1)+1,0),"")&amp;"/",FIND("/",REPLACE(B249,1,IFERROR(FIND("//",B249,1)+1,0),"")&amp;"/",1),LEN(B249),""),"www.","",1)</f>
        <v>gartenmobel.fioreriabarbiero.com</v>
      </c>
      <c r="D249" s="13">
        <f>COUNTIF($C$2:$C$801,C249)</f>
        <v>1</v>
      </c>
      <c r="E249" s="10" t="s">
        <v>419</v>
      </c>
      <c r="F249" s="4"/>
      <c r="G249" s="31" t="s">
        <v>5</v>
      </c>
      <c r="H249" s="31" t="s">
        <v>965</v>
      </c>
      <c r="I249" s="10" t="s">
        <v>981</v>
      </c>
    </row>
    <row r="250" spans="1:9" ht="23" customHeight="1" x14ac:dyDescent="0.15">
      <c r="A250" s="4" t="s">
        <v>28</v>
      </c>
      <c r="B250" s="6" t="s">
        <v>788</v>
      </c>
      <c r="C250" s="35" t="str">
        <f>SUBSTITUTE(REPLACE(REPLACE(B250,1,IFERROR(FIND("//",B250,1)+1,0),"")&amp;"/",FIND("/",REPLACE(B250,1,IFERROR(FIND("//",B250,1)+1,0),"")&amp;"/",1),LEN(B250),""),"www.","",1)</f>
        <v>gastroecho.de</v>
      </c>
      <c r="D250" s="13">
        <f>COUNTIF($C$2:$C$801,C250)</f>
        <v>1</v>
      </c>
      <c r="E250" s="10" t="s">
        <v>911</v>
      </c>
      <c r="F250" s="4" t="s">
        <v>732</v>
      </c>
      <c r="G250" s="31" t="s">
        <v>4</v>
      </c>
      <c r="H250" s="31" t="s">
        <v>965</v>
      </c>
      <c r="I250" s="10" t="s">
        <v>977</v>
      </c>
    </row>
    <row r="251" spans="1:9" ht="23" customHeight="1" x14ac:dyDescent="0.15">
      <c r="A251" s="4" t="s">
        <v>28</v>
      </c>
      <c r="B251" s="6" t="s">
        <v>547</v>
      </c>
      <c r="C251" s="13" t="str">
        <f>SUBSTITUTE(REPLACE(REPLACE(B251,1,IFERROR(FIND("//",B251,1)+1,0),"")&amp;"/",FIND("/",REPLACE(B251,1,IFERROR(FIND("//",B251,1)+1,0),"")&amp;"/",1),LEN(B251),""),"www.","",1)</f>
        <v>gbo-hp.wixsite.com</v>
      </c>
      <c r="D251" s="13">
        <f>COUNTIF($C$2:$C$801,C251)</f>
        <v>1</v>
      </c>
      <c r="E251" s="10"/>
      <c r="F251" s="4" t="s">
        <v>729</v>
      </c>
      <c r="G251" s="31" t="s">
        <v>4</v>
      </c>
      <c r="H251" s="31" t="s">
        <v>965</v>
      </c>
      <c r="I251" s="10" t="s">
        <v>977</v>
      </c>
    </row>
    <row r="252" spans="1:9" ht="23" customHeight="1" x14ac:dyDescent="0.15">
      <c r="A252" s="4" t="s">
        <v>28</v>
      </c>
      <c r="B252" s="6" t="s">
        <v>238</v>
      </c>
      <c r="C252" s="13" t="str">
        <f>SUBSTITUTE(REPLACE(REPLACE(B252,1,IFERROR(FIND("//",B252,1)+1,0),"")&amp;"/",FIND("/",REPLACE(B252,1,IFERROR(FIND("//",B252,1)+1,0),"")&amp;"/",1),LEN(B252),""),"www.","",1)</f>
        <v>gelbeseiten.de</v>
      </c>
      <c r="D252" s="13">
        <f>COUNTIF($C$2:$C$801,C252)</f>
        <v>2</v>
      </c>
      <c r="E252" s="10" t="s">
        <v>239</v>
      </c>
      <c r="F252" s="4" t="s">
        <v>25</v>
      </c>
      <c r="G252" s="31" t="s">
        <v>5</v>
      </c>
      <c r="H252" s="31" t="s">
        <v>965</v>
      </c>
      <c r="I252" s="10" t="s">
        <v>981</v>
      </c>
    </row>
    <row r="253" spans="1:9" ht="23" customHeight="1" x14ac:dyDescent="0.15">
      <c r="A253" s="4" t="s">
        <v>28</v>
      </c>
      <c r="B253" s="6" t="s">
        <v>235</v>
      </c>
      <c r="C253" s="13" t="str">
        <f>SUBSTITUTE(REPLACE(REPLACE(B253,1,IFERROR(FIND("//",B253,1)+1,0),"")&amp;"/",FIND("/",REPLACE(B253,1,IFERROR(FIND("//",B253,1)+1,0),"")&amp;"/",1),LEN(B253),""),"www.","",1)</f>
        <v>gelbeseiten.de</v>
      </c>
      <c r="D253" s="13">
        <f>COUNTIF($C$2:$C$801,C253)</f>
        <v>2</v>
      </c>
      <c r="E253" s="10" t="s">
        <v>15</v>
      </c>
      <c r="F253" s="4" t="s">
        <v>25</v>
      </c>
      <c r="G253" s="31" t="s">
        <v>4</v>
      </c>
      <c r="H253" s="31" t="s">
        <v>965</v>
      </c>
      <c r="I253" s="10" t="s">
        <v>977</v>
      </c>
    </row>
    <row r="254" spans="1:9" ht="23" customHeight="1" x14ac:dyDescent="0.15">
      <c r="A254" s="4" t="s">
        <v>28</v>
      </c>
      <c r="B254" s="6" t="s">
        <v>839</v>
      </c>
      <c r="C254" s="13" t="str">
        <f>SUBSTITUTE(REPLACE(REPLACE(B254,1,IFERROR(FIND("//",B254,1)+1,0),"")&amp;"/",FIND("/",REPLACE(B254,1,IFERROR(FIND("//",B254,1)+1,0),"")&amp;"/",1),LEN(B254),""),"www.","",1)</f>
        <v>generation-wonder.com</v>
      </c>
      <c r="D254" s="13">
        <f>COUNTIF($C$2:$C$801,C254)</f>
        <v>1</v>
      </c>
      <c r="E254" s="10" t="s">
        <v>923</v>
      </c>
      <c r="F254" s="4" t="s">
        <v>730</v>
      </c>
      <c r="G254" s="31" t="s">
        <v>6</v>
      </c>
      <c r="H254" s="31" t="s">
        <v>965</v>
      </c>
      <c r="I254" s="10" t="s">
        <v>979</v>
      </c>
    </row>
    <row r="255" spans="1:9" ht="23" customHeight="1" x14ac:dyDescent="0.15">
      <c r="A255" s="4" t="s">
        <v>28</v>
      </c>
      <c r="B255" s="6" t="s">
        <v>835</v>
      </c>
      <c r="C255" s="13" t="str">
        <f>SUBSTITUTE(REPLACE(REPLACE(B255,1,IFERROR(FIND("//",B255,1)+1,0),"")&amp;"/",FIND("/",REPLACE(B255,1,IFERROR(FIND("//",B255,1)+1,0),"")&amp;"/",1),LEN(B255),""),"www.","",1)</f>
        <v>gerberapartmentproperties.com</v>
      </c>
      <c r="D255" s="13">
        <f>COUNTIF($C$2:$C$801,C255)</f>
        <v>1</v>
      </c>
      <c r="E255" s="10" t="s">
        <v>923</v>
      </c>
      <c r="F255" s="4" t="s">
        <v>730</v>
      </c>
      <c r="G255" s="31" t="s">
        <v>6</v>
      </c>
      <c r="H255" s="31" t="s">
        <v>967</v>
      </c>
      <c r="I255" s="10" t="s">
        <v>979</v>
      </c>
    </row>
    <row r="256" spans="1:9" ht="23" customHeight="1" x14ac:dyDescent="0.15">
      <c r="A256" s="4" t="s">
        <v>28</v>
      </c>
      <c r="B256" s="6" t="s">
        <v>773</v>
      </c>
      <c r="C256" s="13" t="str">
        <f>SUBSTITUTE(REPLACE(REPLACE(B256,1,IFERROR(FIND("//",B256,1)+1,0),"")&amp;"/",FIND("/",REPLACE(B256,1,IFERROR(FIND("//",B256,1)+1,0),"")&amp;"/",1),LEN(B256),""),"www.","",1)</f>
        <v>german-brand-award.com</v>
      </c>
      <c r="D256" s="13">
        <f>COUNTIF($C$2:$C$801,C256)</f>
        <v>1</v>
      </c>
      <c r="E256" s="10" t="s">
        <v>274</v>
      </c>
      <c r="F256" s="4" t="s">
        <v>735</v>
      </c>
      <c r="G256" s="31" t="s">
        <v>4</v>
      </c>
      <c r="H256" s="31" t="s">
        <v>965</v>
      </c>
      <c r="I256" s="10" t="s">
        <v>977</v>
      </c>
    </row>
    <row r="257" spans="1:9" ht="23" customHeight="1" x14ac:dyDescent="0.15">
      <c r="A257" s="4" t="s">
        <v>28</v>
      </c>
      <c r="B257" s="6" t="s">
        <v>273</v>
      </c>
      <c r="C257" s="13" t="str">
        <f>SUBSTITUTE(REPLACE(REPLACE(B257,1,IFERROR(FIND("//",B257,1)+1,0),"")&amp;"/",FIND("/",REPLACE(B257,1,IFERROR(FIND("//",B257,1)+1,0),"")&amp;"/",1),LEN(B257),""),"www.","",1)</f>
        <v>german-design-award.com</v>
      </c>
      <c r="D257" s="13">
        <f>COUNTIF($C$2:$C$801,C257)</f>
        <v>1</v>
      </c>
      <c r="E257" s="10" t="s">
        <v>274</v>
      </c>
      <c r="F257" s="4" t="s">
        <v>13</v>
      </c>
      <c r="G257" s="31" t="s">
        <v>4</v>
      </c>
      <c r="H257" s="31" t="s">
        <v>965</v>
      </c>
      <c r="I257" s="10" t="s">
        <v>977</v>
      </c>
    </row>
    <row r="258" spans="1:9" ht="23" customHeight="1" x14ac:dyDescent="0.15">
      <c r="A258" s="4" t="s">
        <v>28</v>
      </c>
      <c r="B258" s="6" t="s">
        <v>326</v>
      </c>
      <c r="C258" s="13" t="str">
        <f>SUBSTITUTE(REPLACE(REPLACE(B258,1,IFERROR(FIND("//",B258,1)+1,0),"")&amp;"/",FIND("/",REPLACE(B258,1,IFERROR(FIND("//",B258,1)+1,0),"")&amp;"/",1),LEN(B258),""),"www.","",1)</f>
        <v>getcompanyinfo.com</v>
      </c>
      <c r="D258" s="13">
        <f>COUNTIF($C$2:$C$801,C258)</f>
        <v>1</v>
      </c>
      <c r="E258" s="10" t="s">
        <v>246</v>
      </c>
      <c r="F258" s="4" t="s">
        <v>25</v>
      </c>
      <c r="G258" s="31" t="s">
        <v>4</v>
      </c>
      <c r="H258" s="31" t="s">
        <v>965</v>
      </c>
      <c r="I258" s="10" t="s">
        <v>977</v>
      </c>
    </row>
    <row r="259" spans="1:9" ht="23" customHeight="1" x14ac:dyDescent="0.15">
      <c r="A259" s="4" t="s">
        <v>28</v>
      </c>
      <c r="B259" s="6" t="s">
        <v>285</v>
      </c>
      <c r="C259" s="13" t="str">
        <f>SUBSTITUTE(REPLACE(REPLACE(B259,1,IFERROR(FIND("//",B259,1)+1,0),"")&amp;"/",FIND("/",REPLACE(B259,1,IFERROR(FIND("//",B259,1)+1,0),"")&amp;"/",1),LEN(B259),""),"www.","",1)</f>
        <v>gewerbeauskunft.com</v>
      </c>
      <c r="D259" s="13">
        <f>COUNTIF($C$2:$C$801,C259)</f>
        <v>1</v>
      </c>
      <c r="E259" s="10" t="s">
        <v>246</v>
      </c>
      <c r="F259" s="4" t="s">
        <v>25</v>
      </c>
      <c r="G259" s="31" t="s">
        <v>10</v>
      </c>
      <c r="H259" s="31" t="s">
        <v>972</v>
      </c>
      <c r="I259" s="10" t="s">
        <v>978</v>
      </c>
    </row>
    <row r="260" spans="1:9" ht="23" customHeight="1" x14ac:dyDescent="0.15">
      <c r="A260" s="4" t="s">
        <v>28</v>
      </c>
      <c r="B260" s="6" t="s">
        <v>420</v>
      </c>
      <c r="C260" s="13" t="str">
        <f>SUBSTITUTE(REPLACE(REPLACE(B260,1,IFERROR(FIND("//",B260,1)+1,0),"")&amp;"/",FIND("/",REPLACE(B260,1,IFERROR(FIND("//",B260,1)+1,0),"")&amp;"/",1),LEN(B260),""),"www.","",1)</f>
        <v>giftcertificates4u.com</v>
      </c>
      <c r="D260" s="13">
        <f>COUNTIF($C$2:$C$801,C260)</f>
        <v>1</v>
      </c>
      <c r="E260" s="10" t="s">
        <v>421</v>
      </c>
      <c r="F260" s="4" t="s">
        <v>730</v>
      </c>
      <c r="G260" s="31" t="s">
        <v>5</v>
      </c>
      <c r="H260" s="31" t="s">
        <v>965</v>
      </c>
      <c r="I260" s="10" t="s">
        <v>981</v>
      </c>
    </row>
    <row r="261" spans="1:9" ht="23" customHeight="1" x14ac:dyDescent="0.15">
      <c r="A261" s="4" t="s">
        <v>28</v>
      </c>
      <c r="B261" s="6" t="s">
        <v>344</v>
      </c>
      <c r="C261" s="13" t="str">
        <f>SUBSTITUTE(REPLACE(REPLACE(B261,1,IFERROR(FIND("//",B261,1)+1,0),"")&amp;"/",FIND("/",REPLACE(B261,1,IFERROR(FIND("//",B261,1)+1,0),"")&amp;"/",1),LEN(B261),""),"www.","",1)</f>
        <v>gk-buerodesign.de</v>
      </c>
      <c r="D261" s="13">
        <f>COUNTIF($C$2:$C$801,C261)</f>
        <v>1</v>
      </c>
      <c r="E261" s="10" t="s">
        <v>28</v>
      </c>
      <c r="F261" s="4" t="s">
        <v>729</v>
      </c>
      <c r="G261" s="31" t="s">
        <v>4</v>
      </c>
      <c r="H261" s="31" t="s">
        <v>965</v>
      </c>
      <c r="I261" s="10" t="s">
        <v>977</v>
      </c>
    </row>
    <row r="262" spans="1:9" ht="23" customHeight="1" x14ac:dyDescent="0.15">
      <c r="A262" s="4" t="s">
        <v>28</v>
      </c>
      <c r="B262" s="6" t="s">
        <v>299</v>
      </c>
      <c r="C262" s="13" t="str">
        <f>SUBSTITUTE(REPLACE(REPLACE(B262,1,IFERROR(FIND("//",B262,1)+1,0),"")&amp;"/",FIND("/",REPLACE(B262,1,IFERROR(FIND("//",B262,1)+1,0),"")&amp;"/",1),LEN(B262),""),"www.","",1)</f>
        <v>glagla.de</v>
      </c>
      <c r="D262" s="13">
        <f>COUNTIF($C$2:$C$801,C262)</f>
        <v>1</v>
      </c>
      <c r="E262" s="10" t="s">
        <v>27</v>
      </c>
      <c r="F262" s="4" t="s">
        <v>729</v>
      </c>
      <c r="G262" s="31" t="s">
        <v>4</v>
      </c>
      <c r="H262" s="31" t="s">
        <v>965</v>
      </c>
      <c r="I262" s="10" t="s">
        <v>977</v>
      </c>
    </row>
    <row r="263" spans="1:9" ht="23" customHeight="1" x14ac:dyDescent="0.15">
      <c r="A263" s="4" t="s">
        <v>28</v>
      </c>
      <c r="B263" s="6" t="s">
        <v>316</v>
      </c>
      <c r="C263" s="13" t="str">
        <f>SUBSTITUTE(REPLACE(REPLACE(B263,1,IFERROR(FIND("//",B263,1)+1,0),"")&amp;"/",FIND("/",REPLACE(B263,1,IFERROR(FIND("//",B263,1)+1,0),"")&amp;"/",1),LEN(B263),""),"www.","",1)</f>
        <v>glequip.com</v>
      </c>
      <c r="D263" s="13">
        <f>COUNTIF($C$2:$C$801,C263)</f>
        <v>1</v>
      </c>
      <c r="E263" s="10" t="s">
        <v>317</v>
      </c>
      <c r="F263" s="4" t="s">
        <v>729</v>
      </c>
      <c r="G263" s="31" t="s">
        <v>4</v>
      </c>
      <c r="H263" s="31" t="s">
        <v>965</v>
      </c>
      <c r="I263" s="10" t="s">
        <v>977</v>
      </c>
    </row>
    <row r="264" spans="1:9" ht="23" customHeight="1" x14ac:dyDescent="0.15">
      <c r="A264" s="4" t="s">
        <v>28</v>
      </c>
      <c r="B264" s="6" t="s">
        <v>740</v>
      </c>
      <c r="C264" s="13" t="str">
        <f>SUBSTITUTE(REPLACE(REPLACE(B264,1,IFERROR(FIND("//",B264,1)+1,0),"")&amp;"/",FIND("/",REPLACE(B264,1,IFERROR(FIND("//",B264,1)+1,0),"")&amp;"/",1),LEN(B264),""),"www.","",1)</f>
        <v>goppert-buero.de</v>
      </c>
      <c r="D264" s="13">
        <f>COUNTIF($C$2:$C$801,C264)</f>
        <v>1</v>
      </c>
      <c r="E264" s="10" t="s">
        <v>28</v>
      </c>
      <c r="F264" s="4" t="s">
        <v>729</v>
      </c>
      <c r="G264" s="31" t="s">
        <v>5</v>
      </c>
      <c r="H264" s="31" t="s">
        <v>965</v>
      </c>
      <c r="I264" s="10" t="s">
        <v>981</v>
      </c>
    </row>
    <row r="265" spans="1:9" ht="23" customHeight="1" x14ac:dyDescent="0.15">
      <c r="A265" s="4" t="s">
        <v>28</v>
      </c>
      <c r="B265" s="6" t="s">
        <v>1033</v>
      </c>
      <c r="C265" s="13" t="str">
        <f>SUBSTITUTE(REPLACE(REPLACE(B265,1,IFERROR(FIND("//",B265,1)+1,0),"")&amp;"/",FIND("/",REPLACE(B265,1,IFERROR(FIND("//",B265,1)+1,0),"")&amp;"/",1),LEN(B265),""),"www.","",1)</f>
        <v>grasenhiller.com</v>
      </c>
      <c r="D265" s="13">
        <f>COUNTIF($C$2:$C$801,C265)</f>
        <v>1</v>
      </c>
      <c r="E265" s="10" t="s">
        <v>283</v>
      </c>
      <c r="F265" s="4" t="s">
        <v>729</v>
      </c>
      <c r="G265" s="31" t="s">
        <v>4</v>
      </c>
      <c r="H265" s="31" t="s">
        <v>1084</v>
      </c>
      <c r="I265" s="10"/>
    </row>
    <row r="266" spans="1:9" ht="23" customHeight="1" x14ac:dyDescent="0.15">
      <c r="A266" s="4" t="s">
        <v>28</v>
      </c>
      <c r="B266" s="6" t="s">
        <v>282</v>
      </c>
      <c r="C266" s="13" t="str">
        <f>SUBSTITUTE(REPLACE(REPLACE(B266,1,IFERROR(FIND("//",B266,1)+1,0),"")&amp;"/",FIND("/",REPLACE(B266,1,IFERROR(FIND("//",B266,1)+1,0),"")&amp;"/",1),LEN(B266),""),"www.","",1)</f>
        <v>grasenhiller.de</v>
      </c>
      <c r="D266" s="13">
        <f>COUNTIF($C$2:$C$801,C266)</f>
        <v>1</v>
      </c>
      <c r="E266" s="10" t="s">
        <v>283</v>
      </c>
      <c r="F266" s="4" t="s">
        <v>729</v>
      </c>
      <c r="G266" s="31" t="s">
        <v>4</v>
      </c>
      <c r="H266" s="31" t="s">
        <v>965</v>
      </c>
      <c r="I266" s="10" t="s">
        <v>977</v>
      </c>
    </row>
    <row r="267" spans="1:9" ht="23" customHeight="1" x14ac:dyDescent="0.15">
      <c r="A267" s="4" t="s">
        <v>28</v>
      </c>
      <c r="B267" s="6" t="s">
        <v>1032</v>
      </c>
      <c r="C267" s="13" t="str">
        <f>SUBSTITUTE(REPLACE(REPLACE(B267,1,IFERROR(FIND("//",B267,1)+1,0),"")&amp;"/",FIND("/",REPLACE(B267,1,IFERROR(FIND("//",B267,1)+1,0),"")&amp;"/",1),LEN(B267),""),"www.","",1)</f>
        <v>grasenhiller.info</v>
      </c>
      <c r="D267" s="13">
        <f>COUNTIF($C$2:$C$801,C267)</f>
        <v>1</v>
      </c>
      <c r="E267" s="10" t="s">
        <v>283</v>
      </c>
      <c r="F267" s="4" t="s">
        <v>729</v>
      </c>
      <c r="G267" s="31" t="s">
        <v>4</v>
      </c>
      <c r="H267" s="31" t="s">
        <v>1084</v>
      </c>
      <c r="I267" s="10"/>
    </row>
    <row r="268" spans="1:9" ht="23" customHeight="1" x14ac:dyDescent="0.15">
      <c r="A268" s="4" t="s">
        <v>28</v>
      </c>
      <c r="B268" s="6" t="s">
        <v>1031</v>
      </c>
      <c r="C268" s="13" t="str">
        <f>SUBSTITUTE(REPLACE(REPLACE(B268,1,IFERROR(FIND("//",B268,1)+1,0),"")&amp;"/",FIND("/",REPLACE(B268,1,IFERROR(FIND("//",B268,1)+1,0),"")&amp;"/",1),LEN(B268),""),"www.","",1)</f>
        <v>grasenhiller.net</v>
      </c>
      <c r="D268" s="13">
        <f>COUNTIF($C$2:$C$801,C268)</f>
        <v>1</v>
      </c>
      <c r="E268" s="10" t="s">
        <v>283</v>
      </c>
      <c r="F268" s="4" t="s">
        <v>729</v>
      </c>
      <c r="G268" s="31" t="s">
        <v>4</v>
      </c>
      <c r="H268" s="31" t="s">
        <v>1084</v>
      </c>
      <c r="I268" s="10"/>
    </row>
    <row r="269" spans="1:9" ht="23" customHeight="1" x14ac:dyDescent="0.15">
      <c r="A269" s="4" t="s">
        <v>28</v>
      </c>
      <c r="B269" s="6" t="s">
        <v>51</v>
      </c>
      <c r="C269" s="13" t="str">
        <f>SUBSTITUTE(REPLACE(REPLACE(B269,1,IFERROR(FIND("//",B269,1)+1,0),"")&amp;"/",FIND("/",REPLACE(B269,1,IFERROR(FIND("//",B269,1)+1,0),"")&amp;"/",1),LEN(B269),""),"www.","",1)</f>
        <v>greabauer.de</v>
      </c>
      <c r="D269" s="13">
        <f>COUNTIF($C$2:$C$801,C269)</f>
        <v>1</v>
      </c>
      <c r="E269" s="10" t="s">
        <v>267</v>
      </c>
      <c r="F269" s="4" t="s">
        <v>729</v>
      </c>
      <c r="G269" s="31" t="s">
        <v>4</v>
      </c>
      <c r="H269" s="31" t="s">
        <v>965</v>
      </c>
      <c r="I269" s="10" t="s">
        <v>977</v>
      </c>
    </row>
    <row r="270" spans="1:9" ht="23" customHeight="1" x14ac:dyDescent="0.15">
      <c r="A270" s="4" t="s">
        <v>28</v>
      </c>
      <c r="B270" s="6" t="s">
        <v>771</v>
      </c>
      <c r="C270" s="35" t="str">
        <f>SUBSTITUTE(REPLACE(REPLACE(B270,1,IFERROR(FIND("//",B270,1)+1,0),"")&amp;"/",FIND("/",REPLACE(B270,1,IFERROR(FIND("//",B270,1)+1,0),"")&amp;"/",1),LEN(B270),""),"www.","",1)</f>
        <v>greenya.de</v>
      </c>
      <c r="D270" s="13">
        <f>COUNTIF($C$2:$C$801,C270)</f>
        <v>2</v>
      </c>
      <c r="E270" s="10" t="s">
        <v>274</v>
      </c>
      <c r="F270" s="4" t="s">
        <v>732</v>
      </c>
      <c r="G270" s="31" t="s">
        <v>4</v>
      </c>
      <c r="H270" s="31" t="s">
        <v>965</v>
      </c>
      <c r="I270" s="10" t="s">
        <v>977</v>
      </c>
    </row>
    <row r="271" spans="1:9" ht="23" customHeight="1" x14ac:dyDescent="0.15">
      <c r="A271" s="4" t="s">
        <v>28</v>
      </c>
      <c r="B271" s="6" t="s">
        <v>770</v>
      </c>
      <c r="C271" s="13" t="str">
        <f>SUBSTITUTE(REPLACE(REPLACE(B271,1,IFERROR(FIND("//",B271,1)+1,0),"")&amp;"/",FIND("/",REPLACE(B271,1,IFERROR(FIND("//",B271,1)+1,0),"")&amp;"/",1),LEN(B271),""),"www.","",1)</f>
        <v>greenya.de</v>
      </c>
      <c r="D271" s="13">
        <f>COUNTIF($C$2:$C$801,C271)</f>
        <v>2</v>
      </c>
      <c r="E271" s="10" t="s">
        <v>269</v>
      </c>
      <c r="F271" s="4" t="s">
        <v>737</v>
      </c>
      <c r="G271" s="31" t="s">
        <v>4</v>
      </c>
      <c r="H271" s="31" t="s">
        <v>965</v>
      </c>
      <c r="I271" s="10" t="s">
        <v>977</v>
      </c>
    </row>
    <row r="272" spans="1:9" ht="23" customHeight="1" x14ac:dyDescent="0.15">
      <c r="A272" s="4" t="s">
        <v>28</v>
      </c>
      <c r="B272" s="6" t="s">
        <v>482</v>
      </c>
      <c r="C272" s="13" t="str">
        <f>SUBSTITUTE(REPLACE(REPLACE(B272,1,IFERROR(FIND("//",B272,1)+1,0),"")&amp;"/",FIND("/",REPLACE(B272,1,IFERROR(FIND("//",B272,1)+1,0),"")&amp;"/",1),LEN(B272),""),"www.","",1)</f>
        <v>griebel-gmbh.de</v>
      </c>
      <c r="D272" s="13">
        <f>COUNTIF($C$2:$C$801,C272)</f>
        <v>1</v>
      </c>
      <c r="E272" s="10" t="s">
        <v>27</v>
      </c>
      <c r="F272" s="4" t="s">
        <v>729</v>
      </c>
      <c r="G272" s="31" t="s">
        <v>4</v>
      </c>
      <c r="H272" s="31" t="s">
        <v>965</v>
      </c>
      <c r="I272" s="10" t="s">
        <v>977</v>
      </c>
    </row>
    <row r="273" spans="1:9" ht="23" customHeight="1" x14ac:dyDescent="0.15">
      <c r="A273" s="4" t="s">
        <v>28</v>
      </c>
      <c r="B273" s="6" t="s">
        <v>338</v>
      </c>
      <c r="C273" s="13" t="str">
        <f>SUBSTITUTE(REPLACE(REPLACE(B273,1,IFERROR(FIND("//",B273,1)+1,0),"")&amp;"/",FIND("/",REPLACE(B273,1,IFERROR(FIND("//",B273,1)+1,0),"")&amp;"/",1),LEN(B273),""),"www.","",1)</f>
        <v>griebel-officedesign.de</v>
      </c>
      <c r="D273" s="13">
        <f>COUNTIF($C$2:$C$801,C273)</f>
        <v>1</v>
      </c>
      <c r="E273" s="10"/>
      <c r="F273" s="4" t="s">
        <v>729</v>
      </c>
      <c r="G273" s="31" t="s">
        <v>4</v>
      </c>
      <c r="H273" s="31" t="s">
        <v>965</v>
      </c>
      <c r="I273" s="10" t="s">
        <v>977</v>
      </c>
    </row>
    <row r="274" spans="1:9" ht="23" customHeight="1" x14ac:dyDescent="0.15">
      <c r="A274" s="4" t="s">
        <v>28</v>
      </c>
      <c r="B274" s="6" t="s">
        <v>876</v>
      </c>
      <c r="C274" s="13" t="str">
        <f>SUBSTITUTE(REPLACE(REPLACE(B274,1,IFERROR(FIND("//",B274,1)+1,0),"")&amp;"/",FIND("/",REPLACE(B274,1,IFERROR(FIND("//",B274,1)+1,0),"")&amp;"/",1),LEN(B274),""),"www.","",1)</f>
        <v>gruber-top.de</v>
      </c>
      <c r="D274" s="13">
        <f>COUNTIF($C$2:$C$801,C274)</f>
        <v>1</v>
      </c>
      <c r="E274" s="10" t="s">
        <v>237</v>
      </c>
      <c r="F274" s="4" t="s">
        <v>729</v>
      </c>
      <c r="G274" s="31" t="s">
        <v>10</v>
      </c>
      <c r="H274" s="31" t="s">
        <v>965</v>
      </c>
      <c r="I274" s="29" t="s">
        <v>984</v>
      </c>
    </row>
    <row r="275" spans="1:9" ht="23" customHeight="1" x14ac:dyDescent="0.15">
      <c r="A275" s="4" t="s">
        <v>28</v>
      </c>
      <c r="B275" s="6" t="s">
        <v>335</v>
      </c>
      <c r="C275" s="13" t="str">
        <f>SUBSTITUTE(REPLACE(REPLACE(B275,1,IFERROR(FIND("//",B275,1)+1,0),"")&amp;"/",FIND("/",REPLACE(B275,1,IFERROR(FIND("//",B275,1)+1,0),"")&amp;"/",1),LEN(B275),""),"www.","",1)</f>
        <v>gruenemay-abt.de</v>
      </c>
      <c r="D275" s="13">
        <f>COUNTIF($C$2:$C$801,C275)</f>
        <v>1</v>
      </c>
      <c r="E275" s="10" t="s">
        <v>27</v>
      </c>
      <c r="F275" s="4" t="s">
        <v>729</v>
      </c>
      <c r="G275" s="31" t="s">
        <v>4</v>
      </c>
      <c r="H275" s="31" t="s">
        <v>965</v>
      </c>
      <c r="I275" s="10" t="s">
        <v>977</v>
      </c>
    </row>
    <row r="276" spans="1:9" ht="23" customHeight="1" x14ac:dyDescent="0.15">
      <c r="A276" s="4" t="s">
        <v>28</v>
      </c>
      <c r="B276" s="6" t="s">
        <v>483</v>
      </c>
      <c r="C276" s="13" t="str">
        <f>SUBSTITUTE(REPLACE(REPLACE(B276,1,IFERROR(FIND("//",B276,1)+1,0),"")&amp;"/",FIND("/",REPLACE(B276,1,IFERROR(FIND("//",B276,1)+1,0),"")&amp;"/",1),LEN(B276),""),"www.","",1)</f>
        <v>gutabe.de</v>
      </c>
      <c r="D276" s="13">
        <f>COUNTIF($C$2:$C$801,C276)</f>
        <v>1</v>
      </c>
      <c r="E276" s="10" t="s">
        <v>638</v>
      </c>
      <c r="F276" s="4" t="s">
        <v>25</v>
      </c>
      <c r="G276" s="31" t="s">
        <v>4</v>
      </c>
      <c r="H276" s="31" t="s">
        <v>965</v>
      </c>
      <c r="I276" s="10" t="s">
        <v>977</v>
      </c>
    </row>
    <row r="277" spans="1:9" ht="23" customHeight="1" x14ac:dyDescent="0.15">
      <c r="A277" s="4" t="s">
        <v>28</v>
      </c>
      <c r="B277" s="6" t="s">
        <v>422</v>
      </c>
      <c r="C277" s="13" t="str">
        <f>SUBSTITUTE(REPLACE(REPLACE(B277,1,IFERROR(FIND("//",B277,1)+1,0),"")&amp;"/",FIND("/",REPLACE(B277,1,IFERROR(FIND("//",B277,1)+1,0),"")&amp;"/",1),LEN(B277),""),"www.","",1)</f>
        <v>gute-bueromoebel.com</v>
      </c>
      <c r="D277" s="13">
        <f>COUNTIF($C$2:$C$801,C277)</f>
        <v>1</v>
      </c>
      <c r="E277" s="10" t="s">
        <v>241</v>
      </c>
      <c r="F277" s="4" t="s">
        <v>25</v>
      </c>
      <c r="G277" s="31" t="s">
        <v>5</v>
      </c>
      <c r="H277" s="31" t="s">
        <v>965</v>
      </c>
      <c r="I277" s="10" t="s">
        <v>981</v>
      </c>
    </row>
    <row r="278" spans="1:9" ht="23" customHeight="1" x14ac:dyDescent="0.15">
      <c r="A278" s="4" t="s">
        <v>28</v>
      </c>
      <c r="B278" s="6" t="s">
        <v>484</v>
      </c>
      <c r="C278" s="13" t="str">
        <f>SUBSTITUTE(REPLACE(REPLACE(B278,1,IFERROR(FIND("//",B278,1)+1,0),"")&amp;"/",FIND("/",REPLACE(B278,1,IFERROR(FIND("//",B278,1)+1,0),"")&amp;"/",1),LEN(B278),""),"www.","",1)</f>
        <v>h-2-office.de</v>
      </c>
      <c r="D278" s="13">
        <f>COUNTIF($C$2:$C$801,C278)</f>
        <v>1</v>
      </c>
      <c r="E278" s="10" t="s">
        <v>614</v>
      </c>
      <c r="F278" s="4" t="s">
        <v>729</v>
      </c>
      <c r="G278" s="31" t="s">
        <v>4</v>
      </c>
      <c r="H278" s="31" t="s">
        <v>965</v>
      </c>
      <c r="I278" s="10" t="s">
        <v>977</v>
      </c>
    </row>
    <row r="279" spans="1:9" ht="23" customHeight="1" x14ac:dyDescent="0.15">
      <c r="A279" s="4" t="s">
        <v>28</v>
      </c>
      <c r="B279" s="6" t="s">
        <v>18</v>
      </c>
      <c r="C279" s="13" t="str">
        <f>SUBSTITUTE(REPLACE(REPLACE(B279,1,IFERROR(FIND("//",B279,1)+1,0),"")&amp;"/",FIND("/",REPLACE(B279,1,IFERROR(FIND("//",B279,1)+1,0),"")&amp;"/",1),LEN(B279),""),"www.","",1)</f>
        <v>h-und-k.de</v>
      </c>
      <c r="D279" s="13">
        <f>COUNTIF($C$2:$C$801,C279)</f>
        <v>1</v>
      </c>
      <c r="E279" s="10" t="s">
        <v>14</v>
      </c>
      <c r="F279" s="4"/>
      <c r="G279" s="31" t="s">
        <v>5</v>
      </c>
      <c r="H279" s="31" t="s">
        <v>965</v>
      </c>
      <c r="I279" s="10" t="s">
        <v>981</v>
      </c>
    </row>
    <row r="280" spans="1:9" ht="23" customHeight="1" x14ac:dyDescent="0.15">
      <c r="A280" s="4" t="s">
        <v>28</v>
      </c>
      <c r="B280" s="6" t="s">
        <v>607</v>
      </c>
      <c r="C280" s="13" t="str">
        <f>SUBSTITUTE(REPLACE(REPLACE(B280,1,IFERROR(FIND("//",B280,1)+1,0),"")&amp;"/",FIND("/",REPLACE(B280,1,IFERROR(FIND("//",B280,1)+1,0),"")&amp;"/",1),LEN(B280),""),"www.","",1)</f>
        <v>h3.sug-webservice.de</v>
      </c>
      <c r="D280" s="13">
        <f>COUNTIF($C$2:$C$801,C280)</f>
        <v>1</v>
      </c>
      <c r="E280" s="10" t="s">
        <v>28</v>
      </c>
      <c r="F280" s="4"/>
      <c r="G280" s="31" t="s">
        <v>5</v>
      </c>
      <c r="H280" s="31" t="s">
        <v>965</v>
      </c>
      <c r="I280" s="10" t="s">
        <v>981</v>
      </c>
    </row>
    <row r="281" spans="1:9" ht="23" customHeight="1" x14ac:dyDescent="0.15">
      <c r="A281" s="4" t="s">
        <v>28</v>
      </c>
      <c r="B281" s="6" t="s">
        <v>536</v>
      </c>
      <c r="C281" s="13" t="str">
        <f>SUBSTITUTE(REPLACE(REPLACE(B281,1,IFERROR(FIND("//",B281,1)+1,0),"")&amp;"/",FIND("/",REPLACE(B281,1,IFERROR(FIND("//",B281,1)+1,0),"")&amp;"/",1),LEN(B281),""),"www.","",1)</f>
        <v>haingmbh.de</v>
      </c>
      <c r="D281" s="13">
        <f>COUNTIF($C$2:$C$801,C281)</f>
        <v>1</v>
      </c>
      <c r="E281" s="10" t="s">
        <v>27</v>
      </c>
      <c r="F281" s="4" t="s">
        <v>729</v>
      </c>
      <c r="G281" s="31" t="s">
        <v>4</v>
      </c>
      <c r="H281" s="31" t="s">
        <v>965</v>
      </c>
      <c r="I281" s="10" t="s">
        <v>977</v>
      </c>
    </row>
    <row r="282" spans="1:9" ht="23" customHeight="1" x14ac:dyDescent="0.15">
      <c r="A282" s="4" t="s">
        <v>28</v>
      </c>
      <c r="B282" s="6" t="s">
        <v>96</v>
      </c>
      <c r="C282" s="13" t="str">
        <f>SUBSTITUTE(REPLACE(REPLACE(B282,1,IFERROR(FIND("//",B282,1)+1,0),"")&amp;"/",FIND("/",REPLACE(B282,1,IFERROR(FIND("//",B282,1)+1,0),"")&amp;"/",1),LEN(B282),""),"www.","",1)</f>
        <v>handwerker-in.de</v>
      </c>
      <c r="D282" s="13">
        <f>COUNTIF($C$2:$C$801,C282)</f>
        <v>1</v>
      </c>
      <c r="E282" s="10" t="s">
        <v>93</v>
      </c>
      <c r="F282" s="4" t="s">
        <v>25</v>
      </c>
      <c r="G282" s="31" t="s">
        <v>5</v>
      </c>
      <c r="H282" s="31" t="s">
        <v>965</v>
      </c>
      <c r="I282" s="10" t="s">
        <v>981</v>
      </c>
    </row>
    <row r="283" spans="1:9" ht="23" customHeight="1" x14ac:dyDescent="0.15">
      <c r="A283" s="4" t="s">
        <v>28</v>
      </c>
      <c r="B283" s="6" t="s">
        <v>202</v>
      </c>
      <c r="C283" s="13" t="str">
        <f>SUBSTITUTE(REPLACE(REPLACE(B283,1,IFERROR(FIND("//",B283,1)+1,0),"")&amp;"/",FIND("/",REPLACE(B283,1,IFERROR(FIND("//",B283,1)+1,0),"")&amp;"/",1),LEN(B283),""),"www.","",1)</f>
        <v>handwerkherford.de</v>
      </c>
      <c r="D283" s="13">
        <f>COUNTIF($C$2:$C$801,C283)</f>
        <v>1</v>
      </c>
      <c r="E283" s="10" t="s">
        <v>721</v>
      </c>
      <c r="F283" s="4" t="s">
        <v>25</v>
      </c>
      <c r="G283" s="31" t="s">
        <v>5</v>
      </c>
      <c r="H283" s="31" t="s">
        <v>965</v>
      </c>
      <c r="I283" s="10" t="s">
        <v>981</v>
      </c>
    </row>
    <row r="284" spans="1:9" ht="23" customHeight="1" x14ac:dyDescent="0.15">
      <c r="A284" s="4" t="s">
        <v>28</v>
      </c>
      <c r="B284" s="6" t="s">
        <v>485</v>
      </c>
      <c r="C284" s="13" t="str">
        <f>SUBSTITUTE(REPLACE(REPLACE(B284,1,IFERROR(FIND("//",B284,1)+1,0),"")&amp;"/",FIND("/",REPLACE(B284,1,IFERROR(FIND("//",B284,1)+1,0),"")&amp;"/",1),LEN(B284),""),"www.","",1)</f>
        <v>hanger18chicago.com</v>
      </c>
      <c r="D284" s="13">
        <f>COUNTIF($C$2:$C$801,C284)</f>
        <v>1</v>
      </c>
      <c r="E284" s="10" t="s">
        <v>393</v>
      </c>
      <c r="F284" s="4" t="s">
        <v>730</v>
      </c>
      <c r="G284" s="31" t="s">
        <v>5</v>
      </c>
      <c r="H284" s="31" t="s">
        <v>965</v>
      </c>
      <c r="I284" s="10" t="s">
        <v>981</v>
      </c>
    </row>
    <row r="285" spans="1:9" ht="23" customHeight="1" x14ac:dyDescent="0.15">
      <c r="A285" s="4" t="s">
        <v>28</v>
      </c>
      <c r="B285" s="6" t="s">
        <v>423</v>
      </c>
      <c r="C285" s="13" t="str">
        <f>SUBSTITUTE(REPLACE(REPLACE(B285,1,IFERROR(FIND("//",B285,1)+1,0),"")&amp;"/",FIND("/",REPLACE(B285,1,IFERROR(FIND("//",B285,1)+1,0),"")&amp;"/",1),LEN(B285),""),"www.","",1)</f>
        <v>haus.wfdesigngroup.com</v>
      </c>
      <c r="D285" s="13">
        <f>COUNTIF($C$2:$C$801,C285)</f>
        <v>1</v>
      </c>
      <c r="E285" s="10"/>
      <c r="F285" s="4"/>
      <c r="G285" s="31" t="s">
        <v>5</v>
      </c>
      <c r="H285" s="31" t="s">
        <v>965</v>
      </c>
      <c r="I285" s="10" t="s">
        <v>981</v>
      </c>
    </row>
    <row r="286" spans="1:9" ht="23" customHeight="1" x14ac:dyDescent="0.15">
      <c r="A286" s="4" t="s">
        <v>28</v>
      </c>
      <c r="B286" s="6" t="s">
        <v>787</v>
      </c>
      <c r="C286" s="35" t="str">
        <f>SUBSTITUTE(REPLACE(REPLACE(B286,1,IFERROR(FIND("//",B286,1)+1,0),"")&amp;"/",FIND("/",REPLACE(B286,1,IFERROR(FIND("//",B286,1)+1,0),"")&amp;"/",1),LEN(B286),""),"www.","",1)</f>
        <v>hausbau.net</v>
      </c>
      <c r="D286" s="13">
        <f>COUNTIF($C$2:$C$801,C286)</f>
        <v>1</v>
      </c>
      <c r="E286" s="10" t="s">
        <v>910</v>
      </c>
      <c r="F286" s="4" t="s">
        <v>732</v>
      </c>
      <c r="G286" s="31" t="s">
        <v>4</v>
      </c>
      <c r="H286" s="31" t="s">
        <v>965</v>
      </c>
      <c r="I286" s="10" t="s">
        <v>977</v>
      </c>
    </row>
    <row r="287" spans="1:9" ht="23" customHeight="1" x14ac:dyDescent="0.15">
      <c r="A287" s="4" t="s">
        <v>28</v>
      </c>
      <c r="B287" s="6" t="s">
        <v>424</v>
      </c>
      <c r="C287" s="13" t="str">
        <f>SUBSTITUTE(REPLACE(REPLACE(B287,1,IFERROR(FIND("//",B287,1)+1,0),"")&amp;"/",FIND("/",REPLACE(B287,1,IFERROR(FIND("//",B287,1)+1,0),"")&amp;"/",1),LEN(B287),""),"www.","",1)</f>
        <v>hds-buero.de</v>
      </c>
      <c r="D287" s="13">
        <f>COUNTIF($C$2:$C$801,C287)</f>
        <v>1</v>
      </c>
      <c r="E287" s="10" t="s">
        <v>14</v>
      </c>
      <c r="F287" s="4" t="s">
        <v>729</v>
      </c>
      <c r="G287" s="31" t="s">
        <v>4</v>
      </c>
      <c r="H287" s="31" t="s">
        <v>965</v>
      </c>
      <c r="I287" s="10" t="s">
        <v>977</v>
      </c>
    </row>
    <row r="288" spans="1:9" ht="23" customHeight="1" x14ac:dyDescent="0.15">
      <c r="A288" s="4" t="s">
        <v>28</v>
      </c>
      <c r="B288" s="6" t="s">
        <v>425</v>
      </c>
      <c r="C288" s="13" t="str">
        <f>SUBSTITUTE(REPLACE(REPLACE(B288,1,IFERROR(FIND("//",B288,1)+1,0),"")&amp;"/",FIND("/",REPLACE(B288,1,IFERROR(FIND("//",B288,1)+1,0),"")&amp;"/",1),LEN(B288),""),"www.","",1)</f>
        <v>hds-bueromoebel.de</v>
      </c>
      <c r="D288" s="13">
        <f>COUNTIF($C$2:$C$801,C288)</f>
        <v>1</v>
      </c>
      <c r="E288" s="10"/>
      <c r="F288" s="4" t="s">
        <v>729</v>
      </c>
      <c r="G288" s="31" t="s">
        <v>4</v>
      </c>
      <c r="H288" s="31" t="s">
        <v>965</v>
      </c>
      <c r="I288" s="10" t="s">
        <v>977</v>
      </c>
    </row>
    <row r="289" spans="1:9" ht="23" customHeight="1" x14ac:dyDescent="0.15">
      <c r="A289" s="4" t="s">
        <v>28</v>
      </c>
      <c r="B289" s="6" t="s">
        <v>649</v>
      </c>
      <c r="C289" s="13" t="str">
        <f>SUBSTITUTE(REPLACE(REPLACE(B289,1,IFERROR(FIND("//",B289,1)+1,0),"")&amp;"/",FIND("/",REPLACE(B289,1,IFERROR(FIND("//",B289,1)+1,0),"")&amp;"/",1),LEN(B289),""),"www.","",1)</f>
        <v>hds-büro.de</v>
      </c>
      <c r="D289" s="13">
        <f>COUNTIF($C$2:$C$801,C289)</f>
        <v>1</v>
      </c>
      <c r="E289" s="10"/>
      <c r="F289" s="4" t="s">
        <v>729</v>
      </c>
      <c r="G289" s="31" t="s">
        <v>4</v>
      </c>
      <c r="H289" s="31" t="s">
        <v>965</v>
      </c>
      <c r="I289" s="10" t="s">
        <v>977</v>
      </c>
    </row>
    <row r="290" spans="1:9" ht="23" customHeight="1" x14ac:dyDescent="0.15">
      <c r="A290" s="4" t="s">
        <v>28</v>
      </c>
      <c r="B290" s="6" t="s">
        <v>644</v>
      </c>
      <c r="C290" s="13" t="str">
        <f>SUBSTITUTE(REPLACE(REPLACE(B290,1,IFERROR(FIND("//",B290,1)+1,0),"")&amp;"/",FIND("/",REPLACE(B290,1,IFERROR(FIND("//",B290,1)+1,0),"")&amp;"/",1),LEN(B290),""),"www.","",1)</f>
        <v>hds-design.de</v>
      </c>
      <c r="D290" s="13">
        <f>COUNTIF($C$2:$C$801,C290)</f>
        <v>1</v>
      </c>
      <c r="E290" s="10"/>
      <c r="F290" s="4" t="s">
        <v>729</v>
      </c>
      <c r="G290" s="31" t="s">
        <v>4</v>
      </c>
      <c r="H290" s="31" t="s">
        <v>965</v>
      </c>
      <c r="I290" s="10" t="s">
        <v>977</v>
      </c>
    </row>
    <row r="291" spans="1:9" ht="23" customHeight="1" x14ac:dyDescent="0.15">
      <c r="A291" s="4" t="s">
        <v>28</v>
      </c>
      <c r="B291" s="6" t="s">
        <v>645</v>
      </c>
      <c r="C291" s="13" t="str">
        <f>SUBSTITUTE(REPLACE(REPLACE(B291,1,IFERROR(FIND("//",B291,1)+1,0),"")&amp;"/",FIND("/",REPLACE(B291,1,IFERROR(FIND("//",B291,1)+1,0),"")&amp;"/",1),LEN(B291),""),"www.","",1)</f>
        <v>hds1883.de</v>
      </c>
      <c r="D291" s="13">
        <f>COUNTIF($C$2:$C$801,C291)</f>
        <v>1</v>
      </c>
      <c r="E291" s="10"/>
      <c r="F291" s="4" t="s">
        <v>729</v>
      </c>
      <c r="G291" s="31" t="s">
        <v>4</v>
      </c>
      <c r="H291" s="31" t="s">
        <v>965</v>
      </c>
      <c r="I291" s="10" t="s">
        <v>977</v>
      </c>
    </row>
    <row r="292" spans="1:9" ht="23" customHeight="1" x14ac:dyDescent="0.15">
      <c r="A292" s="4" t="s">
        <v>28</v>
      </c>
      <c r="B292" s="6" t="s">
        <v>646</v>
      </c>
      <c r="C292" s="13" t="str">
        <f>SUBSTITUTE(REPLACE(REPLACE(B292,1,IFERROR(FIND("//",B292,1)+1,0),"")&amp;"/",FIND("/",REPLACE(B292,1,IFERROR(FIND("//",B292,1)+1,0),"")&amp;"/",1),LEN(B292),""),"www.","",1)</f>
        <v>hds24shop.de</v>
      </c>
      <c r="D292" s="13">
        <f>COUNTIF($C$2:$C$801,C292)</f>
        <v>1</v>
      </c>
      <c r="E292" s="10"/>
      <c r="F292" s="4" t="s">
        <v>729</v>
      </c>
      <c r="G292" s="31" t="s">
        <v>4</v>
      </c>
      <c r="H292" s="31" t="s">
        <v>965</v>
      </c>
      <c r="I292" s="10" t="s">
        <v>977</v>
      </c>
    </row>
    <row r="293" spans="1:9" ht="23" customHeight="1" x14ac:dyDescent="0.15">
      <c r="A293" s="4" t="s">
        <v>28</v>
      </c>
      <c r="B293" s="6" t="s">
        <v>647</v>
      </c>
      <c r="C293" s="13" t="str">
        <f>SUBSTITUTE(REPLACE(REPLACE(B293,1,IFERROR(FIND("//",B293,1)+1,0),"")&amp;"/",FIND("/",REPLACE(B293,1,IFERROR(FIND("//",B293,1)+1,0),"")&amp;"/",1),LEN(B293),""),"www.","",1)</f>
        <v>hdsbuero.de</v>
      </c>
      <c r="D293" s="13">
        <f>COUNTIF($C$2:$C$801,C293)</f>
        <v>1</v>
      </c>
      <c r="E293" s="10"/>
      <c r="F293" s="4" t="s">
        <v>729</v>
      </c>
      <c r="G293" s="31" t="s">
        <v>4</v>
      </c>
      <c r="H293" s="31" t="s">
        <v>965</v>
      </c>
      <c r="I293" s="10" t="s">
        <v>977</v>
      </c>
    </row>
    <row r="294" spans="1:9" ht="23" customHeight="1" x14ac:dyDescent="0.15">
      <c r="A294" s="4" t="s">
        <v>28</v>
      </c>
      <c r="B294" s="6" t="s">
        <v>1055</v>
      </c>
      <c r="C294" s="13" t="str">
        <f>SUBSTITUTE(REPLACE(REPLACE(B294,1,IFERROR(FIND("//",B294,1)+1,0),"")&amp;"/",FIND("/",REPLACE(B294,1,IFERROR(FIND("//",B294,1)+1,0),"")&amp;"/",1),LEN(B294),""),"www.","",1)</f>
        <v>heavenarticle.com</v>
      </c>
      <c r="D294" s="13">
        <f>COUNTIF($C$2:$C$801,C294)</f>
        <v>1</v>
      </c>
      <c r="E294" s="10" t="s">
        <v>928</v>
      </c>
      <c r="F294" s="4" t="s">
        <v>730</v>
      </c>
      <c r="G294" s="31" t="s">
        <v>6</v>
      </c>
      <c r="H294" s="31" t="s">
        <v>1084</v>
      </c>
      <c r="I294" s="10"/>
    </row>
    <row r="295" spans="1:9" ht="23" customHeight="1" x14ac:dyDescent="0.15">
      <c r="A295" s="4" t="s">
        <v>28</v>
      </c>
      <c r="B295" s="6" t="s">
        <v>802</v>
      </c>
      <c r="C295" s="13" t="str">
        <f>SUBSTITUTE(REPLACE(REPLACE(B295,1,IFERROR(FIND("//",B295,1)+1,0),"")&amp;"/",FIND("/",REPLACE(B295,1,IFERROR(FIND("//",B295,1)+1,0),"")&amp;"/",1),LEN(B295),""),"www.","",1)</f>
        <v>heimatfuermacher.de</v>
      </c>
      <c r="D295" s="13">
        <f>COUNTIF($C$2:$C$801,C295)</f>
        <v>1</v>
      </c>
      <c r="E295" s="10" t="s">
        <v>237</v>
      </c>
      <c r="F295" s="4" t="s">
        <v>737</v>
      </c>
      <c r="G295" s="31" t="s">
        <v>4</v>
      </c>
      <c r="H295" s="31" t="s">
        <v>965</v>
      </c>
      <c r="I295" s="10" t="s">
        <v>977</v>
      </c>
    </row>
    <row r="296" spans="1:9" ht="23" customHeight="1" x14ac:dyDescent="0.15">
      <c r="A296" s="4" t="s">
        <v>28</v>
      </c>
      <c r="B296" s="6" t="s">
        <v>661</v>
      </c>
      <c r="C296" s="13" t="str">
        <f>SUBSTITUTE(REPLACE(REPLACE(B296,1,IFERROR(FIND("//",B296,1)+1,0),"")&amp;"/",FIND("/",REPLACE(B296,1,IFERROR(FIND("//",B296,1)+1,0),"")&amp;"/",1),LEN(B296),""),"www.","",1)</f>
        <v>heinrichobjekt.de</v>
      </c>
      <c r="D296" s="13">
        <f>COUNTIF($C$2:$C$801,C296)</f>
        <v>1</v>
      </c>
      <c r="E296" s="10" t="s">
        <v>662</v>
      </c>
      <c r="F296" s="4" t="s">
        <v>729</v>
      </c>
      <c r="G296" s="31" t="s">
        <v>4</v>
      </c>
      <c r="H296" s="31" t="s">
        <v>965</v>
      </c>
      <c r="I296" s="10" t="s">
        <v>977</v>
      </c>
    </row>
    <row r="297" spans="1:9" ht="23" customHeight="1" x14ac:dyDescent="0.15">
      <c r="A297" s="4" t="s">
        <v>28</v>
      </c>
      <c r="B297" s="6" t="s">
        <v>242</v>
      </c>
      <c r="C297" s="35" t="str">
        <f>SUBSTITUTE(REPLACE(REPLACE(B297,1,IFERROR(FIND("//",B297,1)+1,0),"")&amp;"/",FIND("/",REPLACE(B297,1,IFERROR(FIND("//",B297,1)+1,0),"")&amp;"/",1),LEN(B297),""),"www.","",1)</f>
        <v>heinze.de</v>
      </c>
      <c r="D297" s="13">
        <f>COUNTIF($C$2:$C$801,C297)</f>
        <v>1</v>
      </c>
      <c r="E297" s="10" t="s">
        <v>237</v>
      </c>
      <c r="F297" s="4" t="s">
        <v>737</v>
      </c>
      <c r="G297" s="31" t="s">
        <v>4</v>
      </c>
      <c r="H297" s="31" t="s">
        <v>965</v>
      </c>
      <c r="I297" s="10" t="s">
        <v>977</v>
      </c>
    </row>
    <row r="298" spans="1:9" ht="23" customHeight="1" x14ac:dyDescent="0.15">
      <c r="A298" s="4" t="s">
        <v>28</v>
      </c>
      <c r="B298" s="6" t="s">
        <v>136</v>
      </c>
      <c r="C298" s="13" t="str">
        <f>SUBSTITUTE(REPLACE(REPLACE(B298,1,IFERROR(FIND("//",B298,1)+1,0),"")&amp;"/",FIND("/",REPLACE(B298,1,IFERROR(FIND("//",B298,1)+1,0),"")&amp;"/",1),LEN(B298),""),"www.","",1)</f>
        <v>herchenhahn.com</v>
      </c>
      <c r="D298" s="13">
        <f>COUNTIF($C$2:$C$801,C298)</f>
        <v>1</v>
      </c>
      <c r="E298" s="10" t="s">
        <v>14</v>
      </c>
      <c r="F298" s="4"/>
      <c r="G298" s="31" t="s">
        <v>5</v>
      </c>
      <c r="H298" s="31" t="s">
        <v>965</v>
      </c>
      <c r="I298" s="10" t="s">
        <v>981</v>
      </c>
    </row>
    <row r="299" spans="1:9" ht="23" customHeight="1" x14ac:dyDescent="0.15">
      <c r="A299" s="4" t="s">
        <v>28</v>
      </c>
      <c r="B299" s="6" t="s">
        <v>167</v>
      </c>
      <c r="C299" s="13" t="str">
        <f>SUBSTITUTE(REPLACE(REPLACE(B299,1,IFERROR(FIND("//",B299,1)+1,0),"")&amp;"/",FIND("/",REPLACE(B299,1,IFERROR(FIND("//",B299,1)+1,0),"")&amp;"/",1),LEN(B299),""),"www.","",1)</f>
        <v>herchenhahn.info</v>
      </c>
      <c r="D299" s="13">
        <f>COUNTIF($C$2:$C$801,C299)</f>
        <v>1</v>
      </c>
      <c r="E299" s="10" t="s">
        <v>14</v>
      </c>
      <c r="F299" s="4"/>
      <c r="G299" s="31" t="s">
        <v>5</v>
      </c>
      <c r="H299" s="31" t="s">
        <v>965</v>
      </c>
      <c r="I299" s="10" t="s">
        <v>981</v>
      </c>
    </row>
    <row r="300" spans="1:9" ht="23" customHeight="1" x14ac:dyDescent="0.15">
      <c r="A300" s="4" t="s">
        <v>28</v>
      </c>
      <c r="B300" s="6" t="s">
        <v>166</v>
      </c>
      <c r="C300" s="13" t="str">
        <f>SUBSTITUTE(REPLACE(REPLACE(B300,1,IFERROR(FIND("//",B300,1)+1,0),"")&amp;"/",FIND("/",REPLACE(B300,1,IFERROR(FIND("//",B300,1)+1,0),"")&amp;"/",1),LEN(B300),""),"www.","",1)</f>
        <v>herchenhahn.org</v>
      </c>
      <c r="D300" s="13">
        <f>COUNTIF($C$2:$C$801,C300)</f>
        <v>1</v>
      </c>
      <c r="E300" s="10" t="s">
        <v>14</v>
      </c>
      <c r="F300" s="4"/>
      <c r="G300" s="31" t="s">
        <v>5</v>
      </c>
      <c r="H300" s="31" t="s">
        <v>965</v>
      </c>
      <c r="I300" s="10" t="s">
        <v>981</v>
      </c>
    </row>
    <row r="301" spans="1:9" ht="23" customHeight="1" x14ac:dyDescent="0.15">
      <c r="A301" s="4" t="s">
        <v>28</v>
      </c>
      <c r="B301" s="6" t="s">
        <v>627</v>
      </c>
      <c r="C301" s="13" t="str">
        <f>SUBSTITUTE(REPLACE(REPLACE(B301,1,IFERROR(FIND("//",B301,1)+1,0),"")&amp;"/",FIND("/",REPLACE(B301,1,IFERROR(FIND("//",B301,1)+1,0),"")&amp;"/",1),LEN(B301),""),"www.","",1)</f>
        <v>herold-buerosysteme.de</v>
      </c>
      <c r="D301" s="13">
        <f>COUNTIF($C$2:$C$801,C301)</f>
        <v>1</v>
      </c>
      <c r="E301" s="10" t="s">
        <v>27</v>
      </c>
      <c r="F301" s="14" t="s">
        <v>729</v>
      </c>
      <c r="G301" s="32" t="s">
        <v>4</v>
      </c>
      <c r="H301" s="31" t="s">
        <v>965</v>
      </c>
      <c r="I301" s="10" t="s">
        <v>977</v>
      </c>
    </row>
    <row r="302" spans="1:9" ht="23" customHeight="1" x14ac:dyDescent="0.15">
      <c r="A302" s="4" t="s">
        <v>28</v>
      </c>
      <c r="B302" s="6" t="s">
        <v>486</v>
      </c>
      <c r="C302" s="13" t="str">
        <f>SUBSTITUTE(REPLACE(REPLACE(B302,1,IFERROR(FIND("//",B302,1)+1,0),"")&amp;"/",FIND("/",REPLACE(B302,1,IFERROR(FIND("//",B302,1)+1,0),"")&amp;"/",1),LEN(B302),""),"www.","",1)</f>
        <v>herzer-design.info</v>
      </c>
      <c r="D302" s="13">
        <f>COUNTIF($C$2:$C$801,C302)</f>
        <v>1</v>
      </c>
      <c r="E302" s="10" t="s">
        <v>27</v>
      </c>
      <c r="F302" s="14" t="s">
        <v>729</v>
      </c>
      <c r="G302" s="32" t="s">
        <v>4</v>
      </c>
      <c r="H302" s="31" t="s">
        <v>965</v>
      </c>
      <c r="I302" s="10" t="s">
        <v>977</v>
      </c>
    </row>
    <row r="303" spans="1:9" ht="23" customHeight="1" x14ac:dyDescent="0.15">
      <c r="A303" s="4" t="s">
        <v>28</v>
      </c>
      <c r="B303" s="6" t="s">
        <v>188</v>
      </c>
      <c r="C303" s="13" t="str">
        <f>SUBSTITUTE(REPLACE(REPLACE(B303,1,IFERROR(FIND("//",B303,1)+1,0),"")&amp;"/",FIND("/",REPLACE(B303,1,IFERROR(FIND("//",B303,1)+1,0),"")&amp;"/",1),LEN(B303),""),"www.","",1)</f>
        <v>hevis-berlin.de</v>
      </c>
      <c r="D303" s="13">
        <f>COUNTIF($C$2:$C$801,C303)</f>
        <v>2</v>
      </c>
      <c r="E303" s="10" t="s">
        <v>717</v>
      </c>
      <c r="F303" s="4" t="s">
        <v>729</v>
      </c>
      <c r="G303" s="31" t="s">
        <v>5</v>
      </c>
      <c r="H303" s="31" t="s">
        <v>965</v>
      </c>
      <c r="I303" s="10" t="s">
        <v>981</v>
      </c>
    </row>
    <row r="304" spans="1:9" ht="23" customHeight="1" x14ac:dyDescent="0.15">
      <c r="A304" s="4" t="s">
        <v>28</v>
      </c>
      <c r="B304" s="6" t="s">
        <v>342</v>
      </c>
      <c r="C304" s="13" t="str">
        <f>SUBSTITUTE(REPLACE(REPLACE(B304,1,IFERROR(FIND("//",B304,1)+1,0),"")&amp;"/",FIND("/",REPLACE(B304,1,IFERROR(FIND("//",B304,1)+1,0),"")&amp;"/",1),LEN(B304),""),"www.","",1)</f>
        <v>hevis-berlin.de</v>
      </c>
      <c r="D304" s="13">
        <f>COUNTIF($C$2:$C$801,C304)</f>
        <v>2</v>
      </c>
      <c r="E304" s="10" t="s">
        <v>27</v>
      </c>
      <c r="F304" s="4" t="s">
        <v>729</v>
      </c>
      <c r="G304" s="31" t="s">
        <v>4</v>
      </c>
      <c r="H304" s="31" t="s">
        <v>965</v>
      </c>
      <c r="I304" s="10" t="s">
        <v>977</v>
      </c>
    </row>
    <row r="305" spans="1:9" ht="23" customHeight="1" x14ac:dyDescent="0.15">
      <c r="A305" s="4" t="s">
        <v>28</v>
      </c>
      <c r="B305" s="6" t="s">
        <v>67</v>
      </c>
      <c r="C305" s="13" t="str">
        <f>SUBSTITUTE(REPLACE(REPLACE(B305,1,IFERROR(FIND("//",B305,1)+1,0),"")&amp;"/",FIND("/",REPLACE(B305,1,IFERROR(FIND("//",B305,1)+1,0),"")&amp;"/",1),LEN(B305),""),"www.","",1)</f>
        <v>hjw-online.de</v>
      </c>
      <c r="D305" s="13">
        <f>COUNTIF($C$2:$C$801,C305)</f>
        <v>1</v>
      </c>
      <c r="E305" s="10" t="s">
        <v>14</v>
      </c>
      <c r="F305" s="4" t="s">
        <v>729</v>
      </c>
      <c r="G305" s="31" t="s">
        <v>10</v>
      </c>
      <c r="H305" s="31" t="s">
        <v>965</v>
      </c>
      <c r="I305" s="29" t="s">
        <v>984</v>
      </c>
    </row>
    <row r="306" spans="1:9" ht="23" customHeight="1" x14ac:dyDescent="0.15">
      <c r="A306" s="4" t="s">
        <v>28</v>
      </c>
      <c r="B306" s="6" t="s">
        <v>66</v>
      </c>
      <c r="C306" s="13" t="str">
        <f>SUBSTITUTE(REPLACE(REPLACE(B306,1,IFERROR(FIND("//",B306,1)+1,0),"")&amp;"/",FIND("/",REPLACE(B306,1,IFERROR(FIND("//",B306,1)+1,0),"")&amp;"/",1),LEN(B306),""),"www.","",1)</f>
        <v>hjwbankundbuero.de</v>
      </c>
      <c r="D306" s="13">
        <f>COUNTIF($C$2:$C$801,C306)</f>
        <v>1</v>
      </c>
      <c r="E306" s="10" t="s">
        <v>14</v>
      </c>
      <c r="F306" s="4" t="s">
        <v>729</v>
      </c>
      <c r="G306" s="31" t="s">
        <v>10</v>
      </c>
      <c r="H306" s="31" t="s">
        <v>965</v>
      </c>
      <c r="I306" s="29" t="s">
        <v>984</v>
      </c>
    </row>
    <row r="307" spans="1:9" ht="23" customHeight="1" x14ac:dyDescent="0.15">
      <c r="A307" s="4" t="s">
        <v>28</v>
      </c>
      <c r="B307" s="6" t="s">
        <v>313</v>
      </c>
      <c r="C307" s="13" t="str">
        <f>SUBSTITUTE(REPLACE(REPLACE(B307,1,IFERROR(FIND("//",B307,1)+1,0),"")&amp;"/",FIND("/",REPLACE(B307,1,IFERROR(FIND("//",B307,1)+1,0),"")&amp;"/",1),LEN(B307),""),"www.","",1)</f>
        <v>hoch5.com</v>
      </c>
      <c r="D307" s="13">
        <f>COUNTIF($C$2:$C$801,C307)</f>
        <v>1</v>
      </c>
      <c r="E307" s="10" t="s">
        <v>237</v>
      </c>
      <c r="F307" s="4" t="s">
        <v>739</v>
      </c>
      <c r="G307" s="31" t="s">
        <v>4</v>
      </c>
      <c r="H307" s="31" t="s">
        <v>965</v>
      </c>
      <c r="I307" s="10" t="s">
        <v>977</v>
      </c>
    </row>
    <row r="308" spans="1:9" ht="23" customHeight="1" x14ac:dyDescent="0.15">
      <c r="A308" s="4" t="s">
        <v>28</v>
      </c>
      <c r="B308" s="6" t="s">
        <v>857</v>
      </c>
      <c r="C308" s="13" t="str">
        <f>SUBSTITUTE(REPLACE(REPLACE(B308,1,IFERROR(FIND("//",B308,1)+1,0),"")&amp;"/",FIND("/",REPLACE(B308,1,IFERROR(FIND("//",B308,1)+1,0),"")&amp;"/",1),LEN(B308),""),"www.","",1)</f>
        <v>holeybrewed.com</v>
      </c>
      <c r="D308" s="13">
        <f>COUNTIF($C$2:$C$801,C308)</f>
        <v>1</v>
      </c>
      <c r="E308" s="10" t="s">
        <v>237</v>
      </c>
      <c r="F308" s="4" t="s">
        <v>730</v>
      </c>
      <c r="G308" s="31" t="s">
        <v>5</v>
      </c>
      <c r="H308" s="31" t="s">
        <v>965</v>
      </c>
      <c r="I308" s="10" t="s">
        <v>981</v>
      </c>
    </row>
    <row r="309" spans="1:9" ht="23" customHeight="1" x14ac:dyDescent="0.15">
      <c r="A309" s="4" t="s">
        <v>28</v>
      </c>
      <c r="B309" s="6" t="s">
        <v>206</v>
      </c>
      <c r="C309" s="13" t="str">
        <f>SUBSTITUTE(REPLACE(REPLACE(B309,1,IFERROR(FIND("//",B309,1)+1,0),"")&amp;"/",FIND("/",REPLACE(B309,1,IFERROR(FIND("//",B309,1)+1,0),"")&amp;"/",1),LEN(B309),""),"www.","",1)</f>
        <v>home-and-more.de</v>
      </c>
      <c r="D309" s="13">
        <f>COUNTIF($C$2:$C$801,C309)</f>
        <v>1</v>
      </c>
      <c r="E309" s="10" t="s">
        <v>267</v>
      </c>
      <c r="F309" s="4"/>
      <c r="G309" s="31" t="s">
        <v>5</v>
      </c>
      <c r="H309" s="31" t="s">
        <v>965</v>
      </c>
      <c r="I309" s="10" t="s">
        <v>981</v>
      </c>
    </row>
    <row r="310" spans="1:9" ht="23" customHeight="1" x14ac:dyDescent="0.15">
      <c r="A310" s="4" t="s">
        <v>28</v>
      </c>
      <c r="B310" s="6" t="s">
        <v>47</v>
      </c>
      <c r="C310" s="13" t="str">
        <f>SUBSTITUTE(REPLACE(REPLACE(B310,1,IFERROR(FIND("//",B310,1)+1,0),"")&amp;"/",FIND("/",REPLACE(B310,1,IFERROR(FIND("//",B310,1)+1,0),"")&amp;"/",1),LEN(B310),""),"www.","",1)</f>
        <v>hompage-wert.de</v>
      </c>
      <c r="D310" s="13">
        <f>COUNTIF($C$2:$C$801,C310)</f>
        <v>1</v>
      </c>
      <c r="E310" s="10" t="s">
        <v>687</v>
      </c>
      <c r="F310" s="4"/>
      <c r="G310" s="31" t="s">
        <v>5</v>
      </c>
      <c r="H310" s="31" t="s">
        <v>965</v>
      </c>
      <c r="I310" s="10" t="s">
        <v>981</v>
      </c>
    </row>
    <row r="311" spans="1:9" ht="23" customHeight="1" x14ac:dyDescent="0.15">
      <c r="A311" s="4" t="s">
        <v>28</v>
      </c>
      <c r="B311" s="6" t="s">
        <v>992</v>
      </c>
      <c r="C311" s="35" t="str">
        <f>SUBSTITUTE(REPLACE(REPLACE(B311,1,IFERROR(FIND("//",B311,1)+1,0),"")&amp;"/",FIND("/",REPLACE(B311,1,IFERROR(FIND("//",B311,1)+1,0),"")&amp;"/",1),LEN(B311),""),"www.","",1)</f>
        <v>hotelier.de</v>
      </c>
      <c r="D311" s="13">
        <f>COUNTIF($C$2:$C$801,C311)</f>
        <v>1</v>
      </c>
      <c r="E311" s="10" t="s">
        <v>1066</v>
      </c>
      <c r="F311" s="4" t="s">
        <v>732</v>
      </c>
      <c r="G311" s="31" t="s">
        <v>4</v>
      </c>
      <c r="H311" s="31" t="s">
        <v>1084</v>
      </c>
      <c r="I311" s="10"/>
    </row>
    <row r="312" spans="1:9" ht="23" customHeight="1" x14ac:dyDescent="0.15">
      <c r="A312" s="4" t="s">
        <v>28</v>
      </c>
      <c r="B312" s="6" t="s">
        <v>49</v>
      </c>
      <c r="C312" s="13" t="str">
        <f>SUBSTITUTE(REPLACE(REPLACE(B312,1,IFERROR(FIND("//",B312,1)+1,0),"")&amp;"/",FIND("/",REPLACE(B312,1,IFERROR(FIND("//",B312,1)+1,0),"")&amp;"/",1),LEN(B312),""),"www.","",1)</f>
        <v>hrm-expo.com</v>
      </c>
      <c r="D312" s="13">
        <f>COUNTIF($C$2:$C$801,C312)</f>
        <v>1</v>
      </c>
      <c r="E312" s="10" t="s">
        <v>14</v>
      </c>
      <c r="F312" s="4" t="s">
        <v>735</v>
      </c>
      <c r="G312" s="31" t="s">
        <v>5</v>
      </c>
      <c r="H312" s="31" t="s">
        <v>965</v>
      </c>
      <c r="I312" s="10" t="s">
        <v>981</v>
      </c>
    </row>
    <row r="313" spans="1:9" ht="23" customHeight="1" x14ac:dyDescent="0.15">
      <c r="A313" s="4" t="s">
        <v>28</v>
      </c>
      <c r="B313" s="6" t="s">
        <v>189</v>
      </c>
      <c r="C313" s="13" t="str">
        <f>SUBSTITUTE(REPLACE(REPLACE(B313,1,IFERROR(FIND("//",B313,1)+1,0),"")&amp;"/",FIND("/",REPLACE(B313,1,IFERROR(FIND("//",B313,1)+1,0),"")&amp;"/",1),LEN(B313),""),"www.","",1)</f>
        <v>hs-buero.de</v>
      </c>
      <c r="D313" s="13">
        <f>COUNTIF($C$2:$C$801,C313)</f>
        <v>1</v>
      </c>
      <c r="E313" s="10" t="s">
        <v>246</v>
      </c>
      <c r="F313" s="4" t="s">
        <v>729</v>
      </c>
      <c r="G313" s="31" t="s">
        <v>4</v>
      </c>
      <c r="H313" s="31" t="s">
        <v>965</v>
      </c>
      <c r="I313" s="10" t="s">
        <v>977</v>
      </c>
    </row>
    <row r="314" spans="1:9" ht="23" customHeight="1" x14ac:dyDescent="0.15">
      <c r="A314" s="4" t="s">
        <v>28</v>
      </c>
      <c r="B314" s="6" t="s">
        <v>62</v>
      </c>
      <c r="C314" s="13" t="str">
        <f>SUBSTITUTE(REPLACE(REPLACE(B314,1,IFERROR(FIND("//",B314,1)+1,0),"")&amp;"/",FIND("/",REPLACE(B314,1,IFERROR(FIND("//",B314,1)+1,0),"")&amp;"/",1),LEN(B314),""),"www.","",1)</f>
        <v>hsvlimos.com</v>
      </c>
      <c r="D314" s="13">
        <f>COUNTIF($C$2:$C$801,C314)</f>
        <v>1</v>
      </c>
      <c r="E314" s="10" t="s">
        <v>93</v>
      </c>
      <c r="F314" s="4"/>
      <c r="G314" s="31" t="s">
        <v>5</v>
      </c>
      <c r="H314" s="31" t="s">
        <v>965</v>
      </c>
      <c r="I314" s="10" t="s">
        <v>981</v>
      </c>
    </row>
    <row r="315" spans="1:9" ht="23" customHeight="1" x14ac:dyDescent="0.15">
      <c r="A315" s="4" t="s">
        <v>28</v>
      </c>
      <c r="B315" s="6" t="s">
        <v>795</v>
      </c>
      <c r="C315" s="13" t="str">
        <f>SUBSTITUTE(REPLACE(REPLACE(B315,1,IFERROR(FIND("//",B315,1)+1,0),"")&amp;"/",FIND("/",REPLACE(B315,1,IFERROR(FIND("//",B315,1)+1,0),"")&amp;"/",1),LEN(B315),""),"www.","",1)</f>
        <v>iba-forum.expo-ip.com</v>
      </c>
      <c r="D315" s="13">
        <f>COUNTIF($C$2:$C$801,C315)</f>
        <v>1</v>
      </c>
      <c r="E315" s="10"/>
      <c r="F315" s="4" t="s">
        <v>735</v>
      </c>
      <c r="G315" s="31" t="s">
        <v>4</v>
      </c>
      <c r="H315" s="31" t="s">
        <v>965</v>
      </c>
      <c r="I315" s="10" t="s">
        <v>977</v>
      </c>
    </row>
    <row r="316" spans="1:9" ht="23" customHeight="1" x14ac:dyDescent="0.15">
      <c r="A316" s="4" t="s">
        <v>28</v>
      </c>
      <c r="B316" s="6" t="s">
        <v>587</v>
      </c>
      <c r="C316" s="13" t="str">
        <f>SUBSTITUTE(REPLACE(REPLACE(B316,1,IFERROR(FIND("//",B316,1)+1,0),"")&amp;"/",FIND("/",REPLACE(B316,1,IFERROR(FIND("//",B316,1)+1,0),"")&amp;"/",1),LEN(B316),""),"www.","",1)</f>
        <v>iba.online</v>
      </c>
      <c r="D316" s="13">
        <f>COUNTIF($C$2:$C$801,C316)</f>
        <v>1</v>
      </c>
      <c r="E316" s="10" t="s">
        <v>237</v>
      </c>
      <c r="F316" s="4" t="s">
        <v>25</v>
      </c>
      <c r="G316" s="31" t="s">
        <v>4</v>
      </c>
      <c r="H316" s="31" t="s">
        <v>965</v>
      </c>
      <c r="I316" s="10" t="s">
        <v>977</v>
      </c>
    </row>
    <row r="317" spans="1:9" ht="23" customHeight="1" x14ac:dyDescent="0.15">
      <c r="A317" s="4" t="s">
        <v>28</v>
      </c>
      <c r="B317" s="6" t="s">
        <v>775</v>
      </c>
      <c r="C317" s="13" t="str">
        <f>SUBSTITUTE(REPLACE(REPLACE(B317,1,IFERROR(FIND("//",B317,1)+1,0),"")&amp;"/",FIND("/",REPLACE(B317,1,IFERROR(FIND("//",B317,1)+1,0),"")&amp;"/",1),LEN(B317),""),"www.","",1)</f>
        <v>idcrawl.com</v>
      </c>
      <c r="D317" s="13">
        <f>COUNTIF($C$2:$C$801,C317)</f>
        <v>1</v>
      </c>
      <c r="E317" s="10" t="s">
        <v>904</v>
      </c>
      <c r="F317" s="4" t="s">
        <v>730</v>
      </c>
      <c r="G317" s="31" t="s">
        <v>5</v>
      </c>
      <c r="H317" s="31" t="s">
        <v>965</v>
      </c>
      <c r="I317" s="10" t="s">
        <v>981</v>
      </c>
    </row>
    <row r="318" spans="1:9" ht="23" customHeight="1" x14ac:dyDescent="0.15">
      <c r="A318" s="4" t="s">
        <v>28</v>
      </c>
      <c r="B318" s="6" t="s">
        <v>243</v>
      </c>
      <c r="C318" s="13" t="str">
        <f>SUBSTITUTE(REPLACE(REPLACE(B318,1,IFERROR(FIND("//",B318,1)+1,0),"")&amp;"/",FIND("/",REPLACE(B318,1,IFERROR(FIND("//",B318,1)+1,0),"")&amp;"/",1),LEN(B318),""),"www.","",1)</f>
        <v>ikz.de</v>
      </c>
      <c r="D318" s="13">
        <f>COUNTIF($C$2:$C$801,C318)</f>
        <v>1</v>
      </c>
      <c r="E318" s="10" t="s">
        <v>237</v>
      </c>
      <c r="F318" s="4" t="s">
        <v>737</v>
      </c>
      <c r="G318" s="31" t="s">
        <v>4</v>
      </c>
      <c r="H318" s="31" t="s">
        <v>965</v>
      </c>
      <c r="I318" s="10" t="s">
        <v>977</v>
      </c>
    </row>
    <row r="319" spans="1:9" ht="23" customHeight="1" x14ac:dyDescent="0.15">
      <c r="A319" s="4" t="s">
        <v>28</v>
      </c>
      <c r="B319" s="6" t="s">
        <v>487</v>
      </c>
      <c r="C319" s="13" t="str">
        <f>SUBSTITUTE(REPLACE(REPLACE(B319,1,IFERROR(FIND("//",B319,1)+1,0),"")&amp;"/",FIND("/",REPLACE(B319,1,IFERROR(FIND("//",B319,1)+1,0),"")&amp;"/",1),LEN(B319),""),"www.","",1)</f>
        <v>il-ca-po.de</v>
      </c>
      <c r="D319" s="13">
        <f>COUNTIF($C$2:$C$801,C319)</f>
        <v>1</v>
      </c>
      <c r="E319" s="10" t="s">
        <v>237</v>
      </c>
      <c r="F319" s="14" t="s">
        <v>729</v>
      </c>
      <c r="G319" s="32" t="s">
        <v>4</v>
      </c>
      <c r="H319" s="31" t="s">
        <v>965</v>
      </c>
      <c r="I319" s="10" t="s">
        <v>977</v>
      </c>
    </row>
    <row r="320" spans="1:9" ht="23" customHeight="1" x14ac:dyDescent="0.15">
      <c r="A320" s="4" t="s">
        <v>28</v>
      </c>
      <c r="B320" s="6" t="s">
        <v>738</v>
      </c>
      <c r="C320" s="13" t="str">
        <f>SUBSTITUTE(REPLACE(REPLACE(B320,1,IFERROR(FIND("//",B320,1)+1,0),"")&amp;"/",FIND("/",REPLACE(B320,1,IFERROR(FIND("//",B320,1)+1,0),"")&amp;"/",1),LEN(B320),""),"www.","",1)</f>
        <v>implisense.com</v>
      </c>
      <c r="D320" s="13">
        <f>COUNTIF($C$2:$C$801,C320)</f>
        <v>1</v>
      </c>
      <c r="E320" s="10"/>
      <c r="F320" s="4" t="s">
        <v>25</v>
      </c>
      <c r="G320" s="31" t="s">
        <v>4</v>
      </c>
      <c r="H320" s="31" t="s">
        <v>965</v>
      </c>
      <c r="I320" s="10" t="s">
        <v>977</v>
      </c>
    </row>
    <row r="321" spans="1:9" ht="23" customHeight="1" x14ac:dyDescent="0.15">
      <c r="A321" s="4" t="s">
        <v>28</v>
      </c>
      <c r="B321" s="6" t="s">
        <v>307</v>
      </c>
      <c r="C321" s="13" t="str">
        <f>SUBSTITUTE(REPLACE(REPLACE(B321,1,IFERROR(FIND("//",B321,1)+1,0),"")&amp;"/",FIND("/",REPLACE(B321,1,IFERROR(FIND("//",B321,1)+1,0),"")&amp;"/",1),LEN(B321),""),"www.","",1)</f>
        <v>improuse.com</v>
      </c>
      <c r="D321" s="13">
        <f>COUNTIF($C$2:$C$801,C321)</f>
        <v>1</v>
      </c>
      <c r="E321" s="10" t="s">
        <v>237</v>
      </c>
      <c r="F321" s="4" t="s">
        <v>25</v>
      </c>
      <c r="G321" s="31" t="s">
        <v>5</v>
      </c>
      <c r="H321" s="31" t="s">
        <v>965</v>
      </c>
      <c r="I321" s="10" t="s">
        <v>981</v>
      </c>
    </row>
    <row r="322" spans="1:9" ht="23" customHeight="1" x14ac:dyDescent="0.15">
      <c r="A322" s="4" t="s">
        <v>28</v>
      </c>
      <c r="B322" s="6" t="s">
        <v>742</v>
      </c>
      <c r="C322" s="13" t="str">
        <f>SUBSTITUTE(REPLACE(REPLACE(B322,1,IFERROR(FIND("//",B322,1)+1,0),"")&amp;"/",FIND("/",REPLACE(B322,1,IFERROR(FIND("//",B322,1)+1,0),"")&amp;"/",1),LEN(B322),""),"www.","",1)</f>
        <v>inbonova.de</v>
      </c>
      <c r="D322" s="13">
        <f>COUNTIF($C$2:$C$801,C322)</f>
        <v>1</v>
      </c>
      <c r="E322" s="10" t="s">
        <v>27</v>
      </c>
      <c r="F322" s="14" t="s">
        <v>729</v>
      </c>
      <c r="G322" s="32" t="s">
        <v>4</v>
      </c>
      <c r="H322" s="31" t="s">
        <v>965</v>
      </c>
      <c r="I322" s="10" t="s">
        <v>977</v>
      </c>
    </row>
    <row r="323" spans="1:9" ht="23" customHeight="1" x14ac:dyDescent="0.15">
      <c r="A323" s="4" t="s">
        <v>28</v>
      </c>
      <c r="B323" s="6" t="s">
        <v>359</v>
      </c>
      <c r="C323" s="13" t="str">
        <f>SUBSTITUTE(REPLACE(REPLACE(B323,1,IFERROR(FIND("//",B323,1)+1,0),"")&amp;"/",FIND("/",REPLACE(B323,1,IFERROR(FIND("//",B323,1)+1,0),"")&amp;"/",1),LEN(B323),""),"www.","",1)</f>
        <v>industrycat.com</v>
      </c>
      <c r="D323" s="13">
        <f>COUNTIF($C$2:$C$801,C323)</f>
        <v>1</v>
      </c>
      <c r="E323" s="10" t="s">
        <v>360</v>
      </c>
      <c r="F323" s="4" t="s">
        <v>25</v>
      </c>
      <c r="G323" s="31" t="s">
        <v>5</v>
      </c>
      <c r="H323" s="31" t="s">
        <v>965</v>
      </c>
      <c r="I323" s="10" t="s">
        <v>981</v>
      </c>
    </row>
    <row r="324" spans="1:9" ht="23" customHeight="1" x14ac:dyDescent="0.15">
      <c r="A324" s="4" t="s">
        <v>28</v>
      </c>
      <c r="B324" s="6" t="s">
        <v>98</v>
      </c>
      <c r="C324" s="13" t="str">
        <f>SUBSTITUTE(REPLACE(REPLACE(B324,1,IFERROR(FIND("//",B324,1)+1,0),"")&amp;"/",FIND("/",REPLACE(B324,1,IFERROR(FIND("//",B324,1)+1,0),"")&amp;"/",1),LEN(B324),""),"www.","",1)</f>
        <v>industrystock.ae</v>
      </c>
      <c r="D324" s="13">
        <f>COUNTIF($C$2:$C$801,C324)</f>
        <v>1</v>
      </c>
      <c r="E324" s="10" t="s">
        <v>539</v>
      </c>
      <c r="F324" s="4" t="s">
        <v>25</v>
      </c>
      <c r="G324" s="31" t="s">
        <v>5</v>
      </c>
      <c r="H324" s="31" t="s">
        <v>965</v>
      </c>
      <c r="I324" s="10" t="s">
        <v>981</v>
      </c>
    </row>
    <row r="325" spans="1:9" ht="23" customHeight="1" x14ac:dyDescent="0.15">
      <c r="A325" s="4" t="s">
        <v>28</v>
      </c>
      <c r="B325" s="6" t="s">
        <v>92</v>
      </c>
      <c r="C325" s="13" t="str">
        <f>SUBSTITUTE(REPLACE(REPLACE(B325,1,IFERROR(FIND("//",B325,1)+1,0),"")&amp;"/",FIND("/",REPLACE(B325,1,IFERROR(FIND("//",B325,1)+1,0),"")&amp;"/",1),LEN(B325),""),"www.","",1)</f>
        <v>industrystock.de</v>
      </c>
      <c r="D325" s="13">
        <f>COUNTIF($C$2:$C$801,C325)</f>
        <v>1</v>
      </c>
      <c r="E325" s="10" t="s">
        <v>539</v>
      </c>
      <c r="F325" s="4" t="s">
        <v>25</v>
      </c>
      <c r="G325" s="31" t="s">
        <v>5</v>
      </c>
      <c r="H325" s="31" t="s">
        <v>965</v>
      </c>
      <c r="I325" s="10" t="s">
        <v>981</v>
      </c>
    </row>
    <row r="326" spans="1:9" ht="23" customHeight="1" x14ac:dyDescent="0.15">
      <c r="A326" s="4" t="s">
        <v>28</v>
      </c>
      <c r="B326" s="6" t="s">
        <v>135</v>
      </c>
      <c r="C326" s="13" t="str">
        <f>SUBSTITUTE(REPLACE(REPLACE(B326,1,IFERROR(FIND("//",B326,1)+1,0),"")&amp;"/",FIND("/",REPLACE(B326,1,IFERROR(FIND("//",B326,1)+1,0),"")&amp;"/",1),LEN(B326),""),"www.","",1)</f>
        <v>industrystock.hu</v>
      </c>
      <c r="D326" s="13">
        <f>COUNTIF($C$2:$C$801,C326)</f>
        <v>1</v>
      </c>
      <c r="E326" s="10" t="s">
        <v>539</v>
      </c>
      <c r="F326" s="4" t="s">
        <v>25</v>
      </c>
      <c r="G326" s="31" t="s">
        <v>5</v>
      </c>
      <c r="H326" s="31" t="s">
        <v>965</v>
      </c>
      <c r="I326" s="10" t="s">
        <v>981</v>
      </c>
    </row>
    <row r="327" spans="1:9" ht="23" customHeight="1" x14ac:dyDescent="0.15">
      <c r="A327" s="4" t="s">
        <v>28</v>
      </c>
      <c r="B327" s="6" t="s">
        <v>89</v>
      </c>
      <c r="C327" s="13" t="str">
        <f>SUBSTITUTE(REPLACE(REPLACE(B327,1,IFERROR(FIND("//",B327,1)+1,0),"")&amp;"/",FIND("/",REPLACE(B327,1,IFERROR(FIND("//",B327,1)+1,0),"")&amp;"/",1),LEN(B327),""),"www.","",1)</f>
        <v>industrystock.jp</v>
      </c>
      <c r="D327" s="13">
        <f>COUNTIF($C$2:$C$801,C327)</f>
        <v>1</v>
      </c>
      <c r="E327" s="10" t="s">
        <v>237</v>
      </c>
      <c r="F327" s="4" t="s">
        <v>25</v>
      </c>
      <c r="G327" s="31" t="s">
        <v>5</v>
      </c>
      <c r="H327" s="31" t="s">
        <v>965</v>
      </c>
      <c r="I327" s="10" t="s">
        <v>981</v>
      </c>
    </row>
    <row r="328" spans="1:9" ht="23" customHeight="1" x14ac:dyDescent="0.15">
      <c r="A328" s="4" t="s">
        <v>28</v>
      </c>
      <c r="B328" s="6" t="s">
        <v>90</v>
      </c>
      <c r="C328" s="13" t="str">
        <f>SUBSTITUTE(REPLACE(REPLACE(B328,1,IFERROR(FIND("//",B328,1)+1,0),"")&amp;"/",FIND("/",REPLACE(B328,1,IFERROR(FIND("//",B328,1)+1,0),"")&amp;"/",1),LEN(B328),""),"www.","",1)</f>
        <v>industrystock.ru</v>
      </c>
      <c r="D328" s="13">
        <f>COUNTIF($C$2:$C$801,C328)</f>
        <v>1</v>
      </c>
      <c r="E328" s="10" t="s">
        <v>237</v>
      </c>
      <c r="F328" s="4" t="s">
        <v>25</v>
      </c>
      <c r="G328" s="31" t="s">
        <v>5</v>
      </c>
      <c r="H328" s="31" t="s">
        <v>965</v>
      </c>
      <c r="I328" s="10" t="s">
        <v>981</v>
      </c>
    </row>
    <row r="329" spans="1:9" ht="23" customHeight="1" x14ac:dyDescent="0.15">
      <c r="A329" s="4" t="s">
        <v>28</v>
      </c>
      <c r="B329" s="6" t="s">
        <v>426</v>
      </c>
      <c r="C329" s="13" t="str">
        <f>SUBSTITUTE(REPLACE(REPLACE(B329,1,IFERROR(FIND("//",B329,1)+1,0),"")&amp;"/",FIND("/",REPLACE(B329,1,IFERROR(FIND("//",B329,1)+1,0),"")&amp;"/",1),LEN(B329),""),"www.","",1)</f>
        <v>infoasik.com</v>
      </c>
      <c r="D329" s="13">
        <f>COUNTIF($C$2:$C$801,C329)</f>
        <v>1</v>
      </c>
      <c r="E329" s="10" t="s">
        <v>427</v>
      </c>
      <c r="F329" s="4" t="s">
        <v>730</v>
      </c>
      <c r="G329" s="31" t="s">
        <v>5</v>
      </c>
      <c r="H329" s="31" t="s">
        <v>965</v>
      </c>
      <c r="I329" s="10" t="s">
        <v>981</v>
      </c>
    </row>
    <row r="330" spans="1:9" ht="23" customHeight="1" x14ac:dyDescent="0.15">
      <c r="A330" s="4" t="s">
        <v>28</v>
      </c>
      <c r="B330" s="6" t="s">
        <v>833</v>
      </c>
      <c r="C330" s="13" t="str">
        <f>SUBSTITUTE(REPLACE(REPLACE(B330,1,IFERROR(FIND("//",B330,1)+1,0),"")&amp;"/",FIND("/",REPLACE(B330,1,IFERROR(FIND("//",B330,1)+1,0),"")&amp;"/",1),LEN(B330),""),"www.","",1)</f>
        <v>inhghs.com</v>
      </c>
      <c r="D330" s="13">
        <f>COUNTIF($C$2:$C$801,C330)</f>
        <v>1</v>
      </c>
      <c r="E330" s="10" t="s">
        <v>274</v>
      </c>
      <c r="F330" s="4" t="s">
        <v>730</v>
      </c>
      <c r="G330" s="31" t="s">
        <v>5</v>
      </c>
      <c r="H330" s="31" t="s">
        <v>965</v>
      </c>
      <c r="I330" s="10" t="s">
        <v>981</v>
      </c>
    </row>
    <row r="331" spans="1:9" ht="23" customHeight="1" x14ac:dyDescent="0.15">
      <c r="A331" s="4" t="s">
        <v>28</v>
      </c>
      <c r="B331" s="6" t="s">
        <v>828</v>
      </c>
      <c r="C331" s="13" t="str">
        <f>SUBSTITUTE(REPLACE(REPLACE(B331,1,IFERROR(FIND("//",B331,1)+1,0),"")&amp;"/",FIND("/",REPLACE(B331,1,IFERROR(FIND("//",B331,1)+1,0),"")&amp;"/",1),LEN(B331),""),"www.","",1)</f>
        <v>injustice-today.com</v>
      </c>
      <c r="D331" s="13">
        <f>COUNTIF($C$2:$C$801,C331)</f>
        <v>1</v>
      </c>
      <c r="E331" s="10"/>
      <c r="F331" s="4" t="s">
        <v>730</v>
      </c>
      <c r="G331" s="31" t="s">
        <v>5</v>
      </c>
      <c r="H331" s="31" t="s">
        <v>965</v>
      </c>
      <c r="I331" s="10" t="s">
        <v>981</v>
      </c>
    </row>
    <row r="332" spans="1:9" ht="23" customHeight="1" x14ac:dyDescent="0.15">
      <c r="A332" s="4" t="s">
        <v>28</v>
      </c>
      <c r="B332" s="6" t="s">
        <v>428</v>
      </c>
      <c r="C332" s="13" t="str">
        <f>SUBSTITUTE(REPLACE(REPLACE(B332,1,IFERROR(FIND("//",B332,1)+1,0),"")&amp;"/",FIND("/",REPLACE(B332,1,IFERROR(FIND("//",B332,1)+1,0),"")&amp;"/",1),LEN(B332),""),"www.","",1)</f>
        <v>innozent-owl.de</v>
      </c>
      <c r="D332" s="13">
        <f>COUNTIF($C$2:$C$801,C332)</f>
        <v>2</v>
      </c>
      <c r="E332" s="10" t="s">
        <v>250</v>
      </c>
      <c r="F332" s="4" t="s">
        <v>735</v>
      </c>
      <c r="G332" s="31" t="s">
        <v>5</v>
      </c>
      <c r="H332" s="31" t="s">
        <v>965</v>
      </c>
      <c r="I332" s="10" t="s">
        <v>981</v>
      </c>
    </row>
    <row r="333" spans="1:9" ht="23" customHeight="1" x14ac:dyDescent="0.15">
      <c r="A333" s="4" t="s">
        <v>28</v>
      </c>
      <c r="B333" s="6" t="s">
        <v>345</v>
      </c>
      <c r="C333" s="13" t="str">
        <f>SUBSTITUTE(REPLACE(REPLACE(B333,1,IFERROR(FIND("//",B333,1)+1,0),"")&amp;"/",FIND("/",REPLACE(B333,1,IFERROR(FIND("//",B333,1)+1,0),"")&amp;"/",1),LEN(B333),""),"www.","",1)</f>
        <v>innozent-owl.de</v>
      </c>
      <c r="D333" s="13">
        <f>COUNTIF($C$2:$C$801,C333)</f>
        <v>2</v>
      </c>
      <c r="E333" s="10"/>
      <c r="F333" s="4" t="s">
        <v>13</v>
      </c>
      <c r="G333" s="31" t="s">
        <v>4</v>
      </c>
      <c r="H333" s="31" t="s">
        <v>965</v>
      </c>
      <c r="I333" s="10" t="s">
        <v>977</v>
      </c>
    </row>
    <row r="334" spans="1:9" ht="23" customHeight="1" x14ac:dyDescent="0.15">
      <c r="A334" s="4" t="s">
        <v>28</v>
      </c>
      <c r="B334" s="6" t="s">
        <v>783</v>
      </c>
      <c r="C334" s="13" t="str">
        <f>SUBSTITUTE(REPLACE(REPLACE(B334,1,IFERROR(FIND("//",B334,1)+1,0),"")&amp;"/",FIND("/",REPLACE(B334,1,IFERROR(FIND("//",B334,1)+1,0),"")&amp;"/",1),LEN(B334),""),"www.","",1)</f>
        <v>inqa-audit.de</v>
      </c>
      <c r="D334" s="13">
        <f>COUNTIF($C$2:$C$801,C334)</f>
        <v>1</v>
      </c>
      <c r="E334" s="10" t="s">
        <v>237</v>
      </c>
      <c r="F334" s="4" t="s">
        <v>737</v>
      </c>
      <c r="G334" s="31" t="s">
        <v>5</v>
      </c>
      <c r="H334" s="31" t="s">
        <v>965</v>
      </c>
      <c r="I334" s="10" t="s">
        <v>981</v>
      </c>
    </row>
    <row r="335" spans="1:9" ht="23" customHeight="1" x14ac:dyDescent="0.15">
      <c r="A335" s="4" t="s">
        <v>28</v>
      </c>
      <c r="B335" s="6" t="s">
        <v>134</v>
      </c>
      <c r="C335" s="13" t="str">
        <f>SUBSTITUTE(REPLACE(REPLACE(B335,1,IFERROR(FIND("//",B335,1)+1,0),"")&amp;"/",FIND("/",REPLACE(B335,1,IFERROR(FIND("//",B335,1)+1,0),"")&amp;"/",1),LEN(B335),""),"www.","",1)</f>
        <v>inside-dd.com</v>
      </c>
      <c r="D335" s="13">
        <f>COUNTIF($C$2:$C$801,C335)</f>
        <v>1</v>
      </c>
      <c r="E335" s="10" t="s">
        <v>14</v>
      </c>
      <c r="F335" s="14" t="s">
        <v>729</v>
      </c>
      <c r="G335" s="32" t="s">
        <v>4</v>
      </c>
      <c r="H335" s="31" t="s">
        <v>965</v>
      </c>
      <c r="I335" s="10" t="s">
        <v>977</v>
      </c>
    </row>
    <row r="336" spans="1:9" ht="23" customHeight="1" x14ac:dyDescent="0.15">
      <c r="A336" s="4" t="s">
        <v>28</v>
      </c>
      <c r="B336" s="6" t="s">
        <v>826</v>
      </c>
      <c r="C336" s="13" t="str">
        <f>SUBSTITUTE(REPLACE(REPLACE(B336,1,IFERROR(FIND("//",B336,1)+1,0),"")&amp;"/",FIND("/",REPLACE(B336,1,IFERROR(FIND("//",B336,1)+1,0),"")&amp;"/",1),LEN(B336),""),"www.","",1)</f>
        <v>instantiate.co</v>
      </c>
      <c r="D336" s="13">
        <f>COUNTIF($C$2:$C$801,C336)</f>
        <v>1</v>
      </c>
      <c r="E336" s="10" t="s">
        <v>918</v>
      </c>
      <c r="F336" s="4" t="s">
        <v>13</v>
      </c>
      <c r="G336" s="31" t="s">
        <v>5</v>
      </c>
      <c r="H336" s="31" t="s">
        <v>965</v>
      </c>
      <c r="I336" s="10" t="s">
        <v>981</v>
      </c>
    </row>
    <row r="337" spans="1:9" ht="23" customHeight="1" x14ac:dyDescent="0.15">
      <c r="A337" s="4" t="s">
        <v>28</v>
      </c>
      <c r="B337" s="6" t="s">
        <v>311</v>
      </c>
      <c r="C337" s="13" t="str">
        <f>SUBSTITUTE(REPLACE(REPLACE(B337,1,IFERROR(FIND("//",B337,1)+1,0),"")&amp;"/",FIND("/",REPLACE(B337,1,IFERROR(FIND("//",B337,1)+1,0),"")&amp;"/",1),LEN(B337),""),"www.","",1)</f>
        <v>interiorfashion.de</v>
      </c>
      <c r="D337" s="13">
        <f>COUNTIF($C$2:$C$801,C337)</f>
        <v>1</v>
      </c>
      <c r="E337" s="10" t="s">
        <v>237</v>
      </c>
      <c r="F337" s="4" t="s">
        <v>732</v>
      </c>
      <c r="G337" s="31" t="s">
        <v>4</v>
      </c>
      <c r="H337" s="31" t="s">
        <v>965</v>
      </c>
      <c r="I337" s="10" t="s">
        <v>977</v>
      </c>
    </row>
    <row r="338" spans="1:9" ht="23" customHeight="1" x14ac:dyDescent="0.15">
      <c r="A338" s="4" t="s">
        <v>28</v>
      </c>
      <c r="B338" s="6" t="s">
        <v>429</v>
      </c>
      <c r="C338" s="13" t="str">
        <f>SUBSTITUTE(REPLACE(REPLACE(B338,1,IFERROR(FIND("//",B338,1)+1,0),"")&amp;"/",FIND("/",REPLACE(B338,1,IFERROR(FIND("//",B338,1)+1,0),"")&amp;"/",1),LEN(B338),""),"www.","",1)</f>
        <v>iqfit.info</v>
      </c>
      <c r="D338" s="13">
        <f>COUNTIF($C$2:$C$801,C338)</f>
        <v>1</v>
      </c>
      <c r="E338" s="10" t="s">
        <v>430</v>
      </c>
      <c r="F338" s="4" t="s">
        <v>730</v>
      </c>
      <c r="G338" s="31" t="s">
        <v>5</v>
      </c>
      <c r="H338" s="31" t="s">
        <v>965</v>
      </c>
      <c r="I338" s="10" t="s">
        <v>981</v>
      </c>
    </row>
    <row r="339" spans="1:9" ht="23" customHeight="1" x14ac:dyDescent="0.15">
      <c r="A339" s="4" t="s">
        <v>28</v>
      </c>
      <c r="B339" s="6" t="s">
        <v>852</v>
      </c>
      <c r="C339" s="13" t="str">
        <f>SUBSTITUTE(REPLACE(REPLACE(B339,1,IFERROR(FIND("//",B339,1)+1,0),"")&amp;"/",FIND("/",REPLACE(B339,1,IFERROR(FIND("//",B339,1)+1,0),"")&amp;"/",1),LEN(B339),""),"www.","",1)</f>
        <v>irockanytimeanywhere.com</v>
      </c>
      <c r="D339" s="13">
        <f>COUNTIF($C$2:$C$801,C339)</f>
        <v>1</v>
      </c>
      <c r="E339" s="10" t="s">
        <v>923</v>
      </c>
      <c r="F339" s="4" t="s">
        <v>730</v>
      </c>
      <c r="G339" s="31" t="s">
        <v>6</v>
      </c>
      <c r="H339" s="31" t="s">
        <v>967</v>
      </c>
      <c r="I339" s="10" t="s">
        <v>979</v>
      </c>
    </row>
    <row r="340" spans="1:9" ht="23" customHeight="1" x14ac:dyDescent="0.15">
      <c r="A340" s="4" t="s">
        <v>28</v>
      </c>
      <c r="B340" s="6" t="s">
        <v>349</v>
      </c>
      <c r="C340" s="13" t="str">
        <f>SUBSTITUTE(REPLACE(REPLACE(B340,1,IFERROR(FIND("//",B340,1)+1,0),"")&amp;"/",FIND("/",REPLACE(B340,1,IFERROR(FIND("//",B340,1)+1,0),"")&amp;"/",1),LEN(B340),""),"www.","",1)</f>
        <v>iwkh.de</v>
      </c>
      <c r="D340" s="13">
        <f>COUNTIF($C$2:$C$801,C340)</f>
        <v>1</v>
      </c>
      <c r="E340" s="10" t="s">
        <v>237</v>
      </c>
      <c r="F340" s="4" t="s">
        <v>25</v>
      </c>
      <c r="G340" s="31" t="s">
        <v>4</v>
      </c>
      <c r="H340" s="31" t="s">
        <v>965</v>
      </c>
      <c r="I340" s="10" t="s">
        <v>977</v>
      </c>
    </row>
    <row r="341" spans="1:9" ht="23" customHeight="1" x14ac:dyDescent="0.15">
      <c r="A341" s="4" t="s">
        <v>28</v>
      </c>
      <c r="B341" s="6" t="s">
        <v>19</v>
      </c>
      <c r="C341" s="13" t="str">
        <f>SUBSTITUTE(REPLACE(REPLACE(B341,1,IFERROR(FIND("//",B341,1)+1,0),"")&amp;"/",FIND("/",REPLACE(B341,1,IFERROR(FIND("//",B341,1)+1,0),"")&amp;"/",1),LEN(B341),""),"www.","",1)</f>
        <v>jabe-dresden.de</v>
      </c>
      <c r="D341" s="13">
        <f>COUNTIF($C$2:$C$801,C341)</f>
        <v>1</v>
      </c>
      <c r="E341" s="10" t="s">
        <v>14</v>
      </c>
      <c r="F341" s="4" t="s">
        <v>729</v>
      </c>
      <c r="G341" s="31" t="s">
        <v>5</v>
      </c>
      <c r="H341" s="31" t="s">
        <v>965</v>
      </c>
      <c r="I341" s="10" t="s">
        <v>981</v>
      </c>
    </row>
    <row r="342" spans="1:9" ht="23" customHeight="1" x14ac:dyDescent="0.15">
      <c r="A342" s="4" t="s">
        <v>28</v>
      </c>
      <c r="B342" s="6" t="s">
        <v>488</v>
      </c>
      <c r="C342" s="13" t="str">
        <f>SUBSTITUTE(REPLACE(REPLACE(B342,1,IFERROR(FIND("//",B342,1)+1,0),"")&amp;"/",FIND("/",REPLACE(B342,1,IFERROR(FIND("//",B342,1)+1,0),"")&amp;"/",1),LEN(B342),""),"www.","",1)</f>
        <v>jadeweser-versand.de</v>
      </c>
      <c r="D342" s="13">
        <f>COUNTIF($C$2:$C$801,C342)</f>
        <v>1</v>
      </c>
      <c r="E342" s="10" t="s">
        <v>237</v>
      </c>
      <c r="F342" s="14" t="s">
        <v>729</v>
      </c>
      <c r="G342" s="32" t="s">
        <v>4</v>
      </c>
      <c r="H342" s="31" t="s">
        <v>965</v>
      </c>
      <c r="I342" s="10" t="s">
        <v>977</v>
      </c>
    </row>
    <row r="343" spans="1:9" ht="23" customHeight="1" x14ac:dyDescent="0.15">
      <c r="A343" s="4" t="s">
        <v>28</v>
      </c>
      <c r="B343" s="6" t="s">
        <v>489</v>
      </c>
      <c r="C343" s="13" t="str">
        <f>SUBSTITUTE(REPLACE(REPLACE(B343,1,IFERROR(FIND("//",B343,1)+1,0),"")&amp;"/",FIND("/",REPLACE(B343,1,IFERROR(FIND("//",B343,1)+1,0),"")&amp;"/",1),LEN(B343),""),"www.","",1)</f>
        <v>jaeger-buero.de</v>
      </c>
      <c r="D343" s="13">
        <f>COUNTIF($C$2:$C$801,C343)</f>
        <v>1</v>
      </c>
      <c r="E343" s="10" t="s">
        <v>274</v>
      </c>
      <c r="F343" s="14" t="s">
        <v>729</v>
      </c>
      <c r="G343" s="32" t="s">
        <v>4</v>
      </c>
      <c r="H343" s="31" t="s">
        <v>965</v>
      </c>
      <c r="I343" s="10" t="s">
        <v>977</v>
      </c>
    </row>
    <row r="344" spans="1:9" ht="23" customHeight="1" x14ac:dyDescent="0.15">
      <c r="A344" s="4" t="s">
        <v>28</v>
      </c>
      <c r="B344" s="6" t="s">
        <v>658</v>
      </c>
      <c r="C344" s="13" t="str">
        <f>SUBSTITUTE(REPLACE(REPLACE(B344,1,IFERROR(FIND("//",B344,1)+1,0),"")&amp;"/",FIND("/",REPLACE(B344,1,IFERROR(FIND("//",B344,1)+1,0),"")&amp;"/",1),LEN(B344),""),"www.","",1)</f>
        <v>jeans-sessel.com</v>
      </c>
      <c r="D344" s="13">
        <f>COUNTIF($C$2:$C$801,C344)</f>
        <v>1</v>
      </c>
      <c r="E344" s="10" t="s">
        <v>635</v>
      </c>
      <c r="F344" s="4"/>
      <c r="G344" s="31" t="s">
        <v>5</v>
      </c>
      <c r="H344" s="31" t="s">
        <v>965</v>
      </c>
      <c r="I344" s="10" t="s">
        <v>981</v>
      </c>
    </row>
    <row r="345" spans="1:9" ht="23" customHeight="1" x14ac:dyDescent="0.15">
      <c r="A345" s="4" t="s">
        <v>28</v>
      </c>
      <c r="B345" s="6" t="s">
        <v>659</v>
      </c>
      <c r="C345" s="13" t="str">
        <f>SUBSTITUTE(REPLACE(REPLACE(B345,1,IFERROR(FIND("//",B345,1)+1,0),"")&amp;"/",FIND("/",REPLACE(B345,1,IFERROR(FIND("//",B345,1)+1,0),"")&amp;"/",1),LEN(B345),""),"www.","",1)</f>
        <v>jeanssessel.com</v>
      </c>
      <c r="D345" s="13">
        <f>COUNTIF($C$2:$C$801,C345)</f>
        <v>1</v>
      </c>
      <c r="E345" s="10" t="s">
        <v>635</v>
      </c>
      <c r="F345" s="4"/>
      <c r="G345" s="31" t="s">
        <v>5</v>
      </c>
      <c r="H345" s="31" t="s">
        <v>965</v>
      </c>
      <c r="I345" s="10" t="s">
        <v>981</v>
      </c>
    </row>
    <row r="346" spans="1:9" ht="23" customHeight="1" x14ac:dyDescent="0.15">
      <c r="A346" s="4" t="s">
        <v>28</v>
      </c>
      <c r="B346" s="6" t="s">
        <v>431</v>
      </c>
      <c r="C346" s="13" t="str">
        <f>SUBSTITUTE(REPLACE(REPLACE(B346,1,IFERROR(FIND("//",B346,1)+1,0),"")&amp;"/",FIND("/",REPLACE(B346,1,IFERROR(FIND("//",B346,1)+1,0),"")&amp;"/",1),LEN(B346),""),"www.","",1)</f>
        <v>jeanssessel.de</v>
      </c>
      <c r="D346" s="13">
        <f>COUNTIF($C$2:$C$801,C346)</f>
        <v>1</v>
      </c>
      <c r="E346" s="10"/>
      <c r="F346" s="4"/>
      <c r="G346" s="31" t="s">
        <v>5</v>
      </c>
      <c r="H346" s="31" t="s">
        <v>965</v>
      </c>
      <c r="I346" s="10" t="s">
        <v>981</v>
      </c>
    </row>
    <row r="347" spans="1:9" ht="23" customHeight="1" x14ac:dyDescent="0.15">
      <c r="A347" s="4" t="s">
        <v>28</v>
      </c>
      <c r="B347" s="6" t="s">
        <v>258</v>
      </c>
      <c r="C347" s="13" t="str">
        <f>SUBSTITUTE(REPLACE(REPLACE(B347,1,IFERROR(FIND("//",B347,1)+1,0),"")&amp;"/",FIND("/",REPLACE(B347,1,IFERROR(FIND("//",B347,1)+1,0),"")&amp;"/",1),LEN(B347),""),"www.","",1)</f>
        <v>jeanswelt.de</v>
      </c>
      <c r="D347" s="13">
        <f>COUNTIF($C$2:$C$801,C347)</f>
        <v>1</v>
      </c>
      <c r="E347" s="10" t="s">
        <v>259</v>
      </c>
      <c r="F347" s="4" t="s">
        <v>733</v>
      </c>
      <c r="G347" s="31" t="s">
        <v>4</v>
      </c>
      <c r="H347" s="31" t="s">
        <v>965</v>
      </c>
      <c r="I347" s="10" t="s">
        <v>977</v>
      </c>
    </row>
    <row r="348" spans="1:9" ht="23" customHeight="1" x14ac:dyDescent="0.15">
      <c r="A348" s="4" t="s">
        <v>28</v>
      </c>
      <c r="B348" s="6" t="s">
        <v>432</v>
      </c>
      <c r="C348" s="13" t="str">
        <f>SUBSTITUTE(REPLACE(REPLACE(B348,1,IFERROR(FIND("//",B348,1)+1,0),"")&amp;"/",FIND("/",REPLACE(B348,1,IFERROR(FIND("//",B348,1)+1,0),"")&amp;"/",1),LEN(B348),""),"www.","",1)</f>
        <v>jer.kocinas.com</v>
      </c>
      <c r="D348" s="13">
        <f>COUNTIF($C$2:$C$801,C348)</f>
        <v>1</v>
      </c>
      <c r="E348" s="10" t="s">
        <v>393</v>
      </c>
      <c r="F348" s="4" t="s">
        <v>730</v>
      </c>
      <c r="G348" s="31" t="s">
        <v>5</v>
      </c>
      <c r="H348" s="31" t="s">
        <v>965</v>
      </c>
      <c r="I348" s="10" t="s">
        <v>981</v>
      </c>
    </row>
    <row r="349" spans="1:9" ht="23" customHeight="1" x14ac:dyDescent="0.15">
      <c r="A349" s="4" t="s">
        <v>28</v>
      </c>
      <c r="B349" s="6" t="s">
        <v>87</v>
      </c>
      <c r="C349" s="13" t="str">
        <f>SUBSTITUTE(REPLACE(REPLACE(B349,1,IFERROR(FIND("//",B349,1)+1,0),"")&amp;"/",FIND("/",REPLACE(B349,1,IFERROR(FIND("//",B349,1)+1,0),"")&amp;"/",1),LEN(B349),""),"www.","",1)</f>
        <v>jobkicks.de</v>
      </c>
      <c r="D349" s="13">
        <f>COUNTIF($C$2:$C$801,C349)</f>
        <v>1</v>
      </c>
      <c r="E349" s="10" t="s">
        <v>694</v>
      </c>
      <c r="F349" s="4"/>
      <c r="G349" s="31" t="s">
        <v>5</v>
      </c>
      <c r="H349" s="31" t="s">
        <v>965</v>
      </c>
      <c r="I349" s="10" t="s">
        <v>981</v>
      </c>
    </row>
    <row r="350" spans="1:9" ht="23" customHeight="1" x14ac:dyDescent="0.15">
      <c r="A350" s="4" t="s">
        <v>28</v>
      </c>
      <c r="B350" s="6" t="s">
        <v>329</v>
      </c>
      <c r="C350" s="13" t="str">
        <f>SUBSTITUTE(REPLACE(REPLACE(B350,1,IFERROR(FIND("//",B350,1)+1,0),"")&amp;"/",FIND("/",REPLACE(B350,1,IFERROR(FIND("//",B350,1)+1,0),"")&amp;"/",1),LEN(B350),""),"www.","",1)</f>
        <v>jobs-detmold.de</v>
      </c>
      <c r="D350" s="13">
        <f>COUNTIF($C$2:$C$801,C350)</f>
        <v>1</v>
      </c>
      <c r="E350" s="10" t="s">
        <v>246</v>
      </c>
      <c r="F350" s="4" t="s">
        <v>743</v>
      </c>
      <c r="G350" s="31" t="s">
        <v>5</v>
      </c>
      <c r="H350" s="31" t="s">
        <v>965</v>
      </c>
      <c r="I350" s="10" t="s">
        <v>981</v>
      </c>
    </row>
    <row r="351" spans="1:9" ht="23" customHeight="1" x14ac:dyDescent="0.15">
      <c r="A351" s="4" t="s">
        <v>28</v>
      </c>
      <c r="B351" s="6" t="s">
        <v>339</v>
      </c>
      <c r="C351" s="13" t="str">
        <f>SUBSTITUTE(REPLACE(REPLACE(B351,1,IFERROR(FIND("//",B351,1)+1,0),"")&amp;"/",FIND("/",REPLACE(B351,1,IFERROR(FIND("//",B351,1)+1,0),"")&amp;"/",1),LEN(B351),""),"www.","",1)</f>
        <v>jobs-in-bielefeld.de</v>
      </c>
      <c r="D351" s="13">
        <f>COUNTIF($C$2:$C$801,C351)</f>
        <v>1</v>
      </c>
      <c r="E351" s="10" t="s">
        <v>246</v>
      </c>
      <c r="F351" s="4" t="s">
        <v>743</v>
      </c>
      <c r="G351" s="31" t="s">
        <v>5</v>
      </c>
      <c r="H351" s="31" t="s">
        <v>965</v>
      </c>
      <c r="I351" s="10" t="s">
        <v>981</v>
      </c>
    </row>
    <row r="352" spans="1:9" ht="23" customHeight="1" x14ac:dyDescent="0.15">
      <c r="A352" s="4" t="s">
        <v>28</v>
      </c>
      <c r="B352" s="6" t="s">
        <v>324</v>
      </c>
      <c r="C352" s="13" t="str">
        <f>SUBSTITUTE(REPLACE(REPLACE(B352,1,IFERROR(FIND("//",B352,1)+1,0),"")&amp;"/",FIND("/",REPLACE(B352,1,IFERROR(FIND("//",B352,1)+1,0),"")&amp;"/",1),LEN(B352),""),"www.","",1)</f>
        <v>jobs-in-hannover.com</v>
      </c>
      <c r="D352" s="13">
        <f>COUNTIF($C$2:$C$801,C352)</f>
        <v>1</v>
      </c>
      <c r="E352" s="10" t="s">
        <v>246</v>
      </c>
      <c r="F352" s="4" t="s">
        <v>743</v>
      </c>
      <c r="G352" s="31" t="s">
        <v>5</v>
      </c>
      <c r="H352" s="31" t="s">
        <v>965</v>
      </c>
      <c r="I352" s="10" t="s">
        <v>981</v>
      </c>
    </row>
    <row r="353" spans="1:9" ht="23" customHeight="1" x14ac:dyDescent="0.15">
      <c r="A353" s="4" t="s">
        <v>28</v>
      </c>
      <c r="B353" s="6" t="s">
        <v>315</v>
      </c>
      <c r="C353" s="13" t="str">
        <f>SUBSTITUTE(REPLACE(REPLACE(B353,1,IFERROR(FIND("//",B353,1)+1,0),"")&amp;"/",FIND("/",REPLACE(B353,1,IFERROR(FIND("//",B353,1)+1,0),"")&amp;"/",1),LEN(B353),""),"www.","",1)</f>
        <v>jobs-in-wilhelmshaven.de</v>
      </c>
      <c r="D353" s="13">
        <f>COUNTIF($C$2:$C$801,C353)</f>
        <v>1</v>
      </c>
      <c r="E353" s="10" t="s">
        <v>246</v>
      </c>
      <c r="F353" s="4" t="s">
        <v>743</v>
      </c>
      <c r="G353" s="31" t="s">
        <v>5</v>
      </c>
      <c r="H353" s="31" t="s">
        <v>965</v>
      </c>
      <c r="I353" s="10" t="s">
        <v>981</v>
      </c>
    </row>
    <row r="354" spans="1:9" ht="23" customHeight="1" x14ac:dyDescent="0.15">
      <c r="A354" s="4" t="s">
        <v>28</v>
      </c>
      <c r="B354" s="6" t="s">
        <v>320</v>
      </c>
      <c r="C354" s="13" t="str">
        <f>SUBSTITUTE(REPLACE(REPLACE(B354,1,IFERROR(FIND("//",B354,1)+1,0),"")&amp;"/",FIND("/",REPLACE(B354,1,IFERROR(FIND("//",B354,1)+1,0),"")&amp;"/",1),LEN(B354),""),"www.","",1)</f>
        <v>jobs-minden.de</v>
      </c>
      <c r="D354" s="13">
        <f>COUNTIF($C$2:$C$801,C354)</f>
        <v>1</v>
      </c>
      <c r="E354" s="10" t="s">
        <v>246</v>
      </c>
      <c r="F354" s="4" t="s">
        <v>743</v>
      </c>
      <c r="G354" s="31" t="s">
        <v>5</v>
      </c>
      <c r="H354" s="31" t="s">
        <v>965</v>
      </c>
      <c r="I354" s="10" t="s">
        <v>981</v>
      </c>
    </row>
    <row r="355" spans="1:9" ht="23" customHeight="1" x14ac:dyDescent="0.15">
      <c r="A355" s="4" t="s">
        <v>28</v>
      </c>
      <c r="B355" s="6" t="s">
        <v>314</v>
      </c>
      <c r="C355" s="13" t="str">
        <f>SUBSTITUTE(REPLACE(REPLACE(B355,1,IFERROR(FIND("//",B355,1)+1,0),"")&amp;"/",FIND("/",REPLACE(B355,1,IFERROR(FIND("//",B355,1)+1,0),"")&amp;"/",1),LEN(B355),""),"www.","",1)</f>
        <v>jobs-neumuenster.de</v>
      </c>
      <c r="D355" s="13">
        <f>COUNTIF($C$2:$C$801,C355)</f>
        <v>1</v>
      </c>
      <c r="E355" s="10" t="s">
        <v>246</v>
      </c>
      <c r="F355" s="4" t="s">
        <v>743</v>
      </c>
      <c r="G355" s="31" t="s">
        <v>5</v>
      </c>
      <c r="H355" s="31" t="s">
        <v>965</v>
      </c>
      <c r="I355" s="10" t="s">
        <v>981</v>
      </c>
    </row>
    <row r="356" spans="1:9" ht="23" customHeight="1" x14ac:dyDescent="0.15">
      <c r="A356" s="4" t="s">
        <v>28</v>
      </c>
      <c r="B356" s="6" t="s">
        <v>1030</v>
      </c>
      <c r="C356" s="13" t="str">
        <f>SUBSTITUTE(REPLACE(REPLACE(B356,1,IFERROR(FIND("//",B356,1)+1,0),"")&amp;"/",FIND("/",REPLACE(B356,1,IFERROR(FIND("//",B356,1)+1,0),"")&amp;"/",1),LEN(B356),""),"www.","",1)</f>
        <v>jobst-webdesign.de</v>
      </c>
      <c r="D356" s="13">
        <f>COUNTIF($C$2:$C$801,C356)</f>
        <v>1</v>
      </c>
      <c r="E356" s="10" t="s">
        <v>283</v>
      </c>
      <c r="F356" s="14" t="s">
        <v>729</v>
      </c>
      <c r="G356" s="32" t="s">
        <v>4</v>
      </c>
      <c r="H356" s="31" t="s">
        <v>1084</v>
      </c>
      <c r="I356" s="10"/>
    </row>
    <row r="357" spans="1:9" ht="23" customHeight="1" x14ac:dyDescent="0.15">
      <c r="A357" s="4" t="s">
        <v>28</v>
      </c>
      <c r="B357" s="6" t="s">
        <v>1029</v>
      </c>
      <c r="C357" s="13" t="str">
        <f>SUBSTITUTE(REPLACE(REPLACE(B357,1,IFERROR(FIND("//",B357,1)+1,0),"")&amp;"/",FIND("/",REPLACE(B357,1,IFERROR(FIND("//",B357,1)+1,0),"")&amp;"/",1),LEN(B357),""),"www.","",1)</f>
        <v>jobst-webhosting.de</v>
      </c>
      <c r="D357" s="13">
        <f>COUNTIF($C$2:$C$801,C357)</f>
        <v>1</v>
      </c>
      <c r="E357" s="10" t="s">
        <v>283</v>
      </c>
      <c r="F357" s="14" t="s">
        <v>729</v>
      </c>
      <c r="G357" s="32" t="s">
        <v>4</v>
      </c>
      <c r="H357" s="31" t="s">
        <v>1084</v>
      </c>
      <c r="I357" s="10"/>
    </row>
    <row r="358" spans="1:9" ht="23" customHeight="1" x14ac:dyDescent="0.15">
      <c r="A358" s="4" t="s">
        <v>28</v>
      </c>
      <c r="B358" s="6" t="s">
        <v>564</v>
      </c>
      <c r="C358" s="13" t="str">
        <f>SUBSTITUTE(REPLACE(REPLACE(B358,1,IFERROR(FIND("//",B358,1)+1,0),"")&amp;"/",FIND("/",REPLACE(B358,1,IFERROR(FIND("//",B358,1)+1,0),"")&amp;"/",1),LEN(B358),""),"www.","",1)</f>
        <v>johann-wilhelm.de</v>
      </c>
      <c r="D358" s="13">
        <f>COUNTIF($C$2:$C$801,C358)</f>
        <v>1</v>
      </c>
      <c r="E358" s="10"/>
      <c r="F358" s="4" t="s">
        <v>729</v>
      </c>
      <c r="G358" s="31" t="s">
        <v>4</v>
      </c>
      <c r="H358" s="31" t="s">
        <v>965</v>
      </c>
      <c r="I358" s="10" t="s">
        <v>977</v>
      </c>
    </row>
    <row r="359" spans="1:9" ht="23" customHeight="1" x14ac:dyDescent="0.15">
      <c r="A359" s="4" t="s">
        <v>28</v>
      </c>
      <c r="B359" s="6" t="s">
        <v>356</v>
      </c>
      <c r="C359" s="13" t="str">
        <f>SUBSTITUTE(REPLACE(REPLACE(B359,1,IFERROR(FIND("//",B359,1)+1,0),"")&amp;"/",FIND("/",REPLACE(B359,1,IFERROR(FIND("//",B359,1)+1,0),"")&amp;"/",1),LEN(B359),""),"www.","",1)</f>
        <v>jrbuero.de</v>
      </c>
      <c r="D359" s="13">
        <f>COUNTIF($C$2:$C$801,C359)</f>
        <v>1</v>
      </c>
      <c r="E359" s="10"/>
      <c r="F359" s="4" t="s">
        <v>729</v>
      </c>
      <c r="G359" s="31" t="s">
        <v>4</v>
      </c>
      <c r="H359" s="31" t="s">
        <v>965</v>
      </c>
      <c r="I359" s="10" t="s">
        <v>977</v>
      </c>
    </row>
    <row r="360" spans="1:9" ht="23" customHeight="1" x14ac:dyDescent="0.15">
      <c r="A360" s="4" t="s">
        <v>28</v>
      </c>
      <c r="B360" s="6" t="s">
        <v>490</v>
      </c>
      <c r="C360" s="13" t="str">
        <f>SUBSTITUTE(REPLACE(REPLACE(B360,1,IFERROR(FIND("//",B360,1)+1,0),"")&amp;"/",FIND("/",REPLACE(B360,1,IFERROR(FIND("//",B360,1)+1,0),"")&amp;"/",1),LEN(B360),""),"www.","",1)</f>
        <v>jtsent.com</v>
      </c>
      <c r="D360" s="13">
        <f>COUNTIF($C$2:$C$801,C360)</f>
        <v>1</v>
      </c>
      <c r="E360" s="10" t="s">
        <v>491</v>
      </c>
      <c r="F360" s="4"/>
      <c r="G360" s="31" t="s">
        <v>5</v>
      </c>
      <c r="H360" s="31" t="s">
        <v>965</v>
      </c>
      <c r="I360" s="10" t="s">
        <v>981</v>
      </c>
    </row>
    <row r="361" spans="1:9" ht="23" customHeight="1" x14ac:dyDescent="0.15">
      <c r="A361" s="4" t="s">
        <v>28</v>
      </c>
      <c r="B361" s="6" t="s">
        <v>813</v>
      </c>
      <c r="C361" s="13" t="str">
        <f>SUBSTITUTE(REPLACE(REPLACE(B361,1,IFERROR(FIND("//",B361,1)+1,0),"")&amp;"/",FIND("/",REPLACE(B361,1,IFERROR(FIND("//",B361,1)+1,0),"")&amp;"/",1),LEN(B361),""),"www.","",1)</f>
        <v>judgejimjordan.com</v>
      </c>
      <c r="D361" s="13">
        <f>COUNTIF($C$2:$C$801,C361)</f>
        <v>1</v>
      </c>
      <c r="E361" s="10"/>
      <c r="F361" s="4" t="s">
        <v>730</v>
      </c>
      <c r="G361" s="31" t="s">
        <v>5</v>
      </c>
      <c r="H361" s="31" t="s">
        <v>965</v>
      </c>
      <c r="I361" s="10" t="s">
        <v>981</v>
      </c>
    </row>
    <row r="362" spans="1:9" ht="23" customHeight="1" x14ac:dyDescent="0.15">
      <c r="A362" s="4" t="s">
        <v>28</v>
      </c>
      <c r="B362" s="6" t="s">
        <v>368</v>
      </c>
      <c r="C362" s="13" t="str">
        <f>SUBSTITUTE(REPLACE(REPLACE(B362,1,IFERROR(FIND("//",B362,1)+1,0),"")&amp;"/",FIND("/",REPLACE(B362,1,IFERROR(FIND("//",B362,1)+1,0),"")&amp;"/",1),LEN(B362),""),"www.","",1)</f>
        <v>julienjaffres.com</v>
      </c>
      <c r="D362" s="13">
        <f>COUNTIF($C$2:$C$801,C362)</f>
        <v>1</v>
      </c>
      <c r="E362" s="10"/>
      <c r="F362" s="4" t="s">
        <v>730</v>
      </c>
      <c r="G362" s="31" t="s">
        <v>6</v>
      </c>
      <c r="H362" s="31" t="s">
        <v>967</v>
      </c>
      <c r="I362" s="16" t="s">
        <v>985</v>
      </c>
    </row>
    <row r="363" spans="1:9" ht="23" customHeight="1" x14ac:dyDescent="0.15">
      <c r="A363" s="4" t="s">
        <v>28</v>
      </c>
      <c r="B363" s="6" t="s">
        <v>804</v>
      </c>
      <c r="C363" s="13" t="str">
        <f>SUBSTITUTE(REPLACE(REPLACE(B363,1,IFERROR(FIND("//",B363,1)+1,0),"")&amp;"/",FIND("/",REPLACE(B363,1,IFERROR(FIND("//",B363,1)+1,0),"")&amp;"/",1),LEN(B363),""),"www.","",1)</f>
        <v>kaechelen.de</v>
      </c>
      <c r="D363" s="13">
        <f>COUNTIF($C$2:$C$801,C363)</f>
        <v>1</v>
      </c>
      <c r="E363" s="10"/>
      <c r="F363" s="4" t="s">
        <v>729</v>
      </c>
      <c r="G363" s="31" t="s">
        <v>4</v>
      </c>
      <c r="H363" s="31" t="s">
        <v>965</v>
      </c>
      <c r="I363" s="10" t="s">
        <v>977</v>
      </c>
    </row>
    <row r="364" spans="1:9" ht="23" customHeight="1" x14ac:dyDescent="0.15">
      <c r="A364" s="4" t="s">
        <v>28</v>
      </c>
      <c r="B364" s="6" t="s">
        <v>620</v>
      </c>
      <c r="C364" s="13" t="str">
        <f>SUBSTITUTE(REPLACE(REPLACE(B364,1,IFERROR(FIND("//",B364,1)+1,0),"")&amp;"/",FIND("/",REPLACE(B364,1,IFERROR(FIND("//",B364,1)+1,0),"")&amp;"/",1),LEN(B364),""),"www.","",1)</f>
        <v>kanzlei-weberstrasse.de</v>
      </c>
      <c r="D364" s="13">
        <f>COUNTIF($C$2:$C$801,C364)</f>
        <v>1</v>
      </c>
      <c r="E364" s="10" t="s">
        <v>28</v>
      </c>
      <c r="F364" s="4" t="s">
        <v>737</v>
      </c>
      <c r="G364" s="31" t="s">
        <v>5</v>
      </c>
      <c r="H364" s="31" t="s">
        <v>965</v>
      </c>
      <c r="I364" s="10" t="s">
        <v>981</v>
      </c>
    </row>
    <row r="365" spans="1:9" ht="23" customHeight="1" x14ac:dyDescent="0.15">
      <c r="A365" s="4" t="s">
        <v>28</v>
      </c>
      <c r="B365" s="6" t="s">
        <v>492</v>
      </c>
      <c r="C365" s="13" t="str">
        <f>SUBSTITUTE(REPLACE(REPLACE(B365,1,IFERROR(FIND("//",B365,1)+1,0),"")&amp;"/",FIND("/",REPLACE(B365,1,IFERROR(FIND("//",B365,1)+1,0),"")&amp;"/",1),LEN(B365),""),"www.","",1)</f>
        <v>karolskitchen.com</v>
      </c>
      <c r="D365" s="13">
        <f>COUNTIF($C$2:$C$801,C365)</f>
        <v>1</v>
      </c>
      <c r="E365" s="10" t="s">
        <v>433</v>
      </c>
      <c r="F365" s="4" t="s">
        <v>730</v>
      </c>
      <c r="G365" s="31" t="s">
        <v>5</v>
      </c>
      <c r="H365" s="31" t="s">
        <v>965</v>
      </c>
      <c r="I365" s="10" t="s">
        <v>981</v>
      </c>
    </row>
    <row r="366" spans="1:9" ht="23" customHeight="1" x14ac:dyDescent="0.15">
      <c r="A366" s="4" t="s">
        <v>28</v>
      </c>
      <c r="B366" s="6" t="s">
        <v>331</v>
      </c>
      <c r="C366" s="13" t="str">
        <f>SUBSTITUTE(REPLACE(REPLACE(B366,1,IFERROR(FIND("//",B366,1)+1,0),"")&amp;"/",FIND("/",REPLACE(B366,1,IFERROR(FIND("//",B366,1)+1,0),"")&amp;"/",1),LEN(B366),""),"www.","",1)</f>
        <v>kastrup-recycling.de</v>
      </c>
      <c r="D366" s="13">
        <f>COUNTIF($C$2:$C$801,C366)</f>
        <v>1</v>
      </c>
      <c r="E366" s="10" t="s">
        <v>306</v>
      </c>
      <c r="F366" s="4"/>
      <c r="G366" s="31" t="s">
        <v>5</v>
      </c>
      <c r="H366" s="31" t="s">
        <v>965</v>
      </c>
      <c r="I366" s="10" t="s">
        <v>981</v>
      </c>
    </row>
    <row r="367" spans="1:9" ht="23" customHeight="1" x14ac:dyDescent="0.15">
      <c r="A367" s="4" t="s">
        <v>28</v>
      </c>
      <c r="B367" s="6" t="s">
        <v>41</v>
      </c>
      <c r="C367" s="13" t="str">
        <f>SUBSTITUTE(REPLACE(REPLACE(B367,1,IFERROR(FIND("//",B367,1)+1,0),"")&amp;"/",FIND("/",REPLACE(B367,1,IFERROR(FIND("//",B367,1)+1,0),"")&amp;"/",1),LEN(B367),""),"www.","",1)</f>
        <v>kathan-ergonomie.de</v>
      </c>
      <c r="D367" s="13">
        <f>COUNTIF($C$2:$C$801,C367)</f>
        <v>1</v>
      </c>
      <c r="E367" s="10" t="s">
        <v>565</v>
      </c>
      <c r="F367" s="4" t="s">
        <v>729</v>
      </c>
      <c r="G367" s="31" t="s">
        <v>4</v>
      </c>
      <c r="H367" s="31" t="s">
        <v>965</v>
      </c>
      <c r="I367" s="10" t="s">
        <v>977</v>
      </c>
    </row>
    <row r="368" spans="1:9" ht="23" customHeight="1" x14ac:dyDescent="0.15">
      <c r="A368" s="4" t="s">
        <v>28</v>
      </c>
      <c r="B368" s="6" t="s">
        <v>879</v>
      </c>
      <c r="C368" s="13" t="str">
        <f>SUBSTITUTE(REPLACE(REPLACE(B368,1,IFERROR(FIND("//",B368,1)+1,0),"")&amp;"/",FIND("/",REPLACE(B368,1,IFERROR(FIND("//",B368,1)+1,0),"")&amp;"/",1),LEN(B368),""),"www.","",1)</f>
        <v>kb-einrichtungen.de</v>
      </c>
      <c r="D368" s="13">
        <f>COUNTIF($C$2:$C$801,C368)</f>
        <v>1</v>
      </c>
      <c r="E368" s="10" t="s">
        <v>241</v>
      </c>
      <c r="F368" s="4" t="s">
        <v>729</v>
      </c>
      <c r="G368" s="31" t="s">
        <v>4</v>
      </c>
      <c r="H368" s="31" t="s">
        <v>965</v>
      </c>
      <c r="I368" s="10" t="s">
        <v>977</v>
      </c>
    </row>
    <row r="369" spans="1:9" ht="23" customHeight="1" x14ac:dyDescent="0.15">
      <c r="A369" s="4" t="s">
        <v>28</v>
      </c>
      <c r="B369" s="6" t="s">
        <v>744</v>
      </c>
      <c r="C369" s="13" t="str">
        <f>SUBSTITUTE(REPLACE(REPLACE(B369,1,IFERROR(FIND("//",B369,1)+1,0),"")&amp;"/",FIND("/",REPLACE(B369,1,IFERROR(FIND("//",B369,1)+1,0),"")&amp;"/",1),LEN(B369),""),"www.","",1)</f>
        <v>kempf-bueroeinrichtungen.de</v>
      </c>
      <c r="D369" s="13">
        <f>COUNTIF($C$2:$C$801,C369)</f>
        <v>1</v>
      </c>
      <c r="E369" s="10" t="s">
        <v>28</v>
      </c>
      <c r="F369" s="4" t="s">
        <v>729</v>
      </c>
      <c r="G369" s="31" t="s">
        <v>5</v>
      </c>
      <c r="H369" s="31" t="s">
        <v>965</v>
      </c>
      <c r="I369" s="10" t="s">
        <v>981</v>
      </c>
    </row>
    <row r="370" spans="1:9" ht="23" customHeight="1" x14ac:dyDescent="0.15">
      <c r="A370" s="4" t="s">
        <v>28</v>
      </c>
      <c r="B370" s="6" t="s">
        <v>150</v>
      </c>
      <c r="C370" s="13" t="str">
        <f>SUBSTITUTE(REPLACE(REPLACE(B370,1,IFERROR(FIND("//",B370,1)+1,0),"")&amp;"/",FIND("/",REPLACE(B370,1,IFERROR(FIND("//",B370,1)+1,0),"")&amp;"/",1),LEN(B370),""),"www.","",1)</f>
        <v>kiefel-bd.biz</v>
      </c>
      <c r="D370" s="13">
        <f>COUNTIF($C$2:$C$801,C370)</f>
        <v>1</v>
      </c>
      <c r="E370" s="10" t="s">
        <v>28</v>
      </c>
      <c r="F370" s="4" t="s">
        <v>729</v>
      </c>
      <c r="G370" s="31" t="s">
        <v>5</v>
      </c>
      <c r="H370" s="31" t="s">
        <v>965</v>
      </c>
      <c r="I370" s="10" t="s">
        <v>981</v>
      </c>
    </row>
    <row r="371" spans="1:9" ht="23" customHeight="1" x14ac:dyDescent="0.15">
      <c r="A371" s="4" t="s">
        <v>28</v>
      </c>
      <c r="B371" s="6" t="s">
        <v>1054</v>
      </c>
      <c r="C371" s="13" t="str">
        <f>SUBSTITUTE(REPLACE(REPLACE(B371,1,IFERROR(FIND("//",B371,1)+1,0),"")&amp;"/",FIND("/",REPLACE(B371,1,IFERROR(FIND("//",B371,1)+1,0),"")&amp;"/",1),LEN(B371),""),"www.","",1)</f>
        <v>kiefel-buerodesign.de</v>
      </c>
      <c r="D371" s="13">
        <f>COUNTIF($C$2:$C$801,C371)</f>
        <v>1</v>
      </c>
      <c r="E371" s="10"/>
      <c r="F371" s="14" t="s">
        <v>729</v>
      </c>
      <c r="G371" s="32" t="s">
        <v>4</v>
      </c>
      <c r="H371" s="31" t="s">
        <v>1084</v>
      </c>
      <c r="I371" s="10"/>
    </row>
    <row r="372" spans="1:9" ht="23" customHeight="1" x14ac:dyDescent="0.15">
      <c r="A372" s="4" t="s">
        <v>28</v>
      </c>
      <c r="B372" s="6" t="s">
        <v>610</v>
      </c>
      <c r="C372" s="13" t="str">
        <f>SUBSTITUTE(REPLACE(REPLACE(B372,1,IFERROR(FIND("//",B372,1)+1,0),"")&amp;"/",FIND("/",REPLACE(B372,1,IFERROR(FIND("//",B372,1)+1,0),"")&amp;"/",1),LEN(B372),""),"www.","",1)</f>
        <v>kiefel-büroeinrichtung.de</v>
      </c>
      <c r="D372" s="13">
        <f>COUNTIF($C$2:$C$801,C372)</f>
        <v>1</v>
      </c>
      <c r="E372" s="10" t="s">
        <v>611</v>
      </c>
      <c r="F372" s="4" t="s">
        <v>729</v>
      </c>
      <c r="G372" s="31" t="s">
        <v>4</v>
      </c>
      <c r="H372" s="31" t="s">
        <v>965</v>
      </c>
      <c r="I372" s="10" t="s">
        <v>977</v>
      </c>
    </row>
    <row r="373" spans="1:9" ht="23" customHeight="1" x14ac:dyDescent="0.15">
      <c r="A373" s="4" t="s">
        <v>28</v>
      </c>
      <c r="B373" s="6" t="s">
        <v>375</v>
      </c>
      <c r="C373" s="13" t="str">
        <f>SUBSTITUTE(REPLACE(REPLACE(B373,1,IFERROR(FIND("//",B373,1)+1,0),"")&amp;"/",FIND("/",REPLACE(B373,1,IFERROR(FIND("//",B373,1)+1,0),"")&amp;"/",1),LEN(B373),""),"www.","",1)</f>
        <v>kindersessel-999.de</v>
      </c>
      <c r="D373" s="13">
        <f>COUNTIF($C$2:$C$801,C373)</f>
        <v>1</v>
      </c>
      <c r="E373" s="10" t="s">
        <v>376</v>
      </c>
      <c r="F373" s="4" t="s">
        <v>730</v>
      </c>
      <c r="G373" s="31" t="s">
        <v>5</v>
      </c>
      <c r="H373" s="31" t="s">
        <v>965</v>
      </c>
      <c r="I373" s="10" t="s">
        <v>981</v>
      </c>
    </row>
    <row r="374" spans="1:9" ht="23" customHeight="1" x14ac:dyDescent="0.15">
      <c r="A374" s="4" t="s">
        <v>28</v>
      </c>
      <c r="B374" s="6" t="s">
        <v>1000</v>
      </c>
      <c r="C374" s="13" t="str">
        <f>SUBSTITUTE(REPLACE(REPLACE(B374,1,IFERROR(FIND("//",B374,1)+1,0),"")&amp;"/",FIND("/",REPLACE(B374,1,IFERROR(FIND("//",B374,1)+1,0),"")&amp;"/",1),LEN(B374),""),"www.","",1)</f>
        <v>km-kuechenmeile.de</v>
      </c>
      <c r="D374" s="13">
        <f>COUNTIF($C$2:$C$801,C374)</f>
        <v>1</v>
      </c>
      <c r="E374" s="10" t="s">
        <v>1072</v>
      </c>
      <c r="F374" s="14" t="s">
        <v>729</v>
      </c>
      <c r="G374" s="32" t="s">
        <v>10</v>
      </c>
      <c r="H374" s="31" t="s">
        <v>1084</v>
      </c>
      <c r="I374" s="10" t="s">
        <v>1085</v>
      </c>
    </row>
    <row r="375" spans="1:9" ht="23" customHeight="1" x14ac:dyDescent="0.15">
      <c r="A375" s="4" t="s">
        <v>28</v>
      </c>
      <c r="B375" s="6" t="s">
        <v>190</v>
      </c>
      <c r="C375" s="13" t="str">
        <f>SUBSTITUTE(REPLACE(REPLACE(B375,1,IFERROR(FIND("//",B375,1)+1,0),"")&amp;"/",FIND("/",REPLACE(B375,1,IFERROR(FIND("//",B375,1)+1,0),"")&amp;"/",1),LEN(B375),""),"www.","",1)</f>
        <v>knauer-bueroeinrichtungen.de</v>
      </c>
      <c r="D375" s="13">
        <f>COUNTIF($C$2:$C$801,C375)</f>
        <v>1</v>
      </c>
      <c r="E375" s="10" t="s">
        <v>237</v>
      </c>
      <c r="F375" s="4" t="s">
        <v>729</v>
      </c>
      <c r="G375" s="31" t="s">
        <v>4</v>
      </c>
      <c r="H375" s="31" t="s">
        <v>965</v>
      </c>
      <c r="I375" s="10" t="s">
        <v>977</v>
      </c>
    </row>
    <row r="376" spans="1:9" ht="23" customHeight="1" x14ac:dyDescent="0.15">
      <c r="A376" s="4" t="s">
        <v>28</v>
      </c>
      <c r="B376" s="6" t="s">
        <v>361</v>
      </c>
      <c r="C376" s="13" t="str">
        <f>SUBSTITUTE(REPLACE(REPLACE(B376,1,IFERROR(FIND("//",B376,1)+1,0),"")&amp;"/",FIND("/",REPLACE(B376,1,IFERROR(FIND("//",B376,1)+1,0),"")&amp;"/",1),LEN(B376),""),"www.","",1)</f>
        <v>knorz.de</v>
      </c>
      <c r="D376" s="13">
        <f>COUNTIF($C$2:$C$801,C376)</f>
        <v>1</v>
      </c>
      <c r="E376" s="10" t="s">
        <v>237</v>
      </c>
      <c r="F376" s="4" t="s">
        <v>729</v>
      </c>
      <c r="G376" s="31" t="s">
        <v>4</v>
      </c>
      <c r="H376" s="31" t="s">
        <v>965</v>
      </c>
      <c r="I376" s="10" t="s">
        <v>977</v>
      </c>
    </row>
    <row r="377" spans="1:9" ht="23" customHeight="1" x14ac:dyDescent="0.15">
      <c r="A377" s="4" t="s">
        <v>28</v>
      </c>
      <c r="B377" s="6" t="s">
        <v>540</v>
      </c>
      <c r="C377" s="13" t="str">
        <f>SUBSTITUTE(REPLACE(REPLACE(B377,1,IFERROR(FIND("//",B377,1)+1,0),"")&amp;"/",FIND("/",REPLACE(B377,1,IFERROR(FIND("//",B377,1)+1,0),"")&amp;"/",1),LEN(B377),""),"www.","",1)</f>
        <v>koch-walldorf.de</v>
      </c>
      <c r="D377" s="13">
        <f>COUNTIF($C$2:$C$801,C377)</f>
        <v>1</v>
      </c>
      <c r="E377" s="10"/>
      <c r="F377" s="4" t="s">
        <v>729</v>
      </c>
      <c r="G377" s="31" t="s">
        <v>4</v>
      </c>
      <c r="H377" s="31" t="s">
        <v>965</v>
      </c>
      <c r="I377" s="10" t="s">
        <v>977</v>
      </c>
    </row>
    <row r="378" spans="1:9" ht="23" customHeight="1" x14ac:dyDescent="0.15">
      <c r="A378" s="4" t="s">
        <v>28</v>
      </c>
      <c r="B378" s="6" t="s">
        <v>58</v>
      </c>
      <c r="C378" s="13" t="str">
        <f>SUBSTITUTE(REPLACE(REPLACE(B378,1,IFERROR(FIND("//",B378,1)+1,0),"")&amp;"/",FIND("/",REPLACE(B378,1,IFERROR(FIND("//",B378,1)+1,0),"")&amp;"/",1),LEN(B378),""),"www.","",1)</f>
        <v>kohlsmann.de</v>
      </c>
      <c r="D378" s="13">
        <f>COUNTIF($C$2:$C$801,C378)</f>
        <v>1</v>
      </c>
      <c r="E378" s="10" t="s">
        <v>539</v>
      </c>
      <c r="F378" s="4" t="s">
        <v>729</v>
      </c>
      <c r="G378" s="31" t="s">
        <v>5</v>
      </c>
      <c r="H378" s="31" t="s">
        <v>965</v>
      </c>
      <c r="I378" s="10" t="s">
        <v>981</v>
      </c>
    </row>
    <row r="379" spans="1:9" ht="23" customHeight="1" x14ac:dyDescent="0.15">
      <c r="A379" s="4" t="s">
        <v>28</v>
      </c>
      <c r="B379" s="6" t="s">
        <v>434</v>
      </c>
      <c r="C379" s="13" t="str">
        <f>SUBSTITUTE(REPLACE(REPLACE(B379,1,IFERROR(FIND("//",B379,1)+1,0),"")&amp;"/",FIND("/",REPLACE(B379,1,IFERROR(FIND("//",B379,1)+1,0),"")&amp;"/",1),LEN(B379),""),"www.","",1)</f>
        <v>koln.paperblog.fr</v>
      </c>
      <c r="D379" s="13">
        <f>COUNTIF($C$2:$C$801,C379)</f>
        <v>1</v>
      </c>
      <c r="E379" s="10" t="s">
        <v>435</v>
      </c>
      <c r="F379" s="4" t="s">
        <v>733</v>
      </c>
      <c r="G379" s="31" t="s">
        <v>5</v>
      </c>
      <c r="H379" s="31" t="s">
        <v>965</v>
      </c>
      <c r="I379" s="10" t="s">
        <v>981</v>
      </c>
    </row>
    <row r="380" spans="1:9" ht="23" customHeight="1" x14ac:dyDescent="0.15">
      <c r="A380" s="4" t="s">
        <v>28</v>
      </c>
      <c r="B380" s="6" t="s">
        <v>34</v>
      </c>
      <c r="C380" s="13" t="str">
        <f>SUBSTITUTE(REPLACE(REPLACE(B380,1,IFERROR(FIND("//",B380,1)+1,0),"")&amp;"/",FIND("/",REPLACE(B380,1,IFERROR(FIND("//",B380,1)+1,0),"")&amp;"/",1),LEN(B380),""),"www.","",1)</f>
        <v>kompass-nachhaltigkeit.de</v>
      </c>
      <c r="D380" s="13">
        <f>COUNTIF($C$2:$C$801,C380)</f>
        <v>1</v>
      </c>
      <c r="E380" s="10" t="s">
        <v>582</v>
      </c>
      <c r="F380" s="4" t="s">
        <v>25</v>
      </c>
      <c r="G380" s="31" t="s">
        <v>4</v>
      </c>
      <c r="H380" s="31" t="s">
        <v>965</v>
      </c>
      <c r="I380" s="10" t="s">
        <v>977</v>
      </c>
    </row>
    <row r="381" spans="1:9" ht="23" customHeight="1" x14ac:dyDescent="0.15">
      <c r="A381" s="4" t="s">
        <v>28</v>
      </c>
      <c r="B381" s="6" t="s">
        <v>197</v>
      </c>
      <c r="C381" s="13" t="str">
        <f>SUBSTITUTE(REPLACE(REPLACE(B381,1,IFERROR(FIND("//",B381,1)+1,0),"")&amp;"/",FIND("/",REPLACE(B381,1,IFERROR(FIND("//",B381,1)+1,0),"")&amp;"/",1),LEN(B381),""),"www.","",1)</f>
        <v>kompetenz-konferenzraum.de</v>
      </c>
      <c r="D381" s="13">
        <f>COUNTIF($C$2:$C$801,C381)</f>
        <v>1</v>
      </c>
      <c r="E381" s="10" t="s">
        <v>702</v>
      </c>
      <c r="F381" s="4"/>
      <c r="G381" s="31" t="s">
        <v>5</v>
      </c>
      <c r="H381" s="31" t="s">
        <v>965</v>
      </c>
      <c r="I381" s="10" t="s">
        <v>981</v>
      </c>
    </row>
    <row r="382" spans="1:9" ht="23" customHeight="1" x14ac:dyDescent="0.15">
      <c r="A382" s="4" t="s">
        <v>28</v>
      </c>
      <c r="B382" s="6" t="s">
        <v>172</v>
      </c>
      <c r="C382" s="13" t="str">
        <f>SUBSTITUTE(REPLACE(REPLACE(B382,1,IFERROR(FIND("//",B382,1)+1,0),"")&amp;"/",FIND("/",REPLACE(B382,1,IFERROR(FIND("//",B382,1)+1,0),"")&amp;"/",1),LEN(B382),""),"www.","",1)</f>
        <v>kontek-buero.de</v>
      </c>
      <c r="D382" s="13">
        <f>COUNTIF($C$2:$C$801,C382)</f>
        <v>1</v>
      </c>
      <c r="E382" s="10" t="s">
        <v>27</v>
      </c>
      <c r="F382" s="4" t="s">
        <v>729</v>
      </c>
      <c r="G382" s="31" t="s">
        <v>4</v>
      </c>
      <c r="H382" s="31" t="s">
        <v>965</v>
      </c>
      <c r="I382" s="10" t="s">
        <v>977</v>
      </c>
    </row>
    <row r="383" spans="1:9" ht="23" customHeight="1" x14ac:dyDescent="0.15">
      <c r="A383" s="4" t="s">
        <v>28</v>
      </c>
      <c r="B383" s="6" t="s">
        <v>196</v>
      </c>
      <c r="C383" s="13" t="str">
        <f>SUBSTITUTE(REPLACE(REPLACE(B383,1,IFERROR(FIND("//",B383,1)+1,0),"")&amp;"/",FIND("/",REPLACE(B383,1,IFERROR(FIND("//",B383,1)+1,0),"")&amp;"/",1),LEN(B383),""),"www.","",1)</f>
        <v>kontor-einrichtungen.de</v>
      </c>
      <c r="D383" s="13">
        <f>COUNTIF($C$2:$C$801,C383)</f>
        <v>1</v>
      </c>
      <c r="E383" s="10" t="s">
        <v>237</v>
      </c>
      <c r="F383" s="4" t="s">
        <v>729</v>
      </c>
      <c r="G383" s="31" t="s">
        <v>4</v>
      </c>
      <c r="H383" s="31" t="s">
        <v>965</v>
      </c>
      <c r="I383" s="10" t="s">
        <v>977</v>
      </c>
    </row>
    <row r="384" spans="1:9" ht="23" customHeight="1" x14ac:dyDescent="0.15">
      <c r="A384" s="4" t="s">
        <v>28</v>
      </c>
      <c r="B384" s="6" t="s">
        <v>631</v>
      </c>
      <c r="C384" s="13" t="str">
        <f>SUBSTITUTE(REPLACE(REPLACE(B384,1,IFERROR(FIND("//",B384,1)+1,0),"")&amp;"/",FIND("/",REPLACE(B384,1,IFERROR(FIND("//",B384,1)+1,0),"")&amp;"/",1),LEN(B384),""),"www.","",1)</f>
        <v>konzepta-siegen.de</v>
      </c>
      <c r="D384" s="13">
        <f>COUNTIF($C$2:$C$801,C384)</f>
        <v>1</v>
      </c>
      <c r="E384" s="10" t="s">
        <v>632</v>
      </c>
      <c r="F384" s="4" t="s">
        <v>729</v>
      </c>
      <c r="G384" s="31" t="s">
        <v>4</v>
      </c>
      <c r="H384" s="31" t="s">
        <v>965</v>
      </c>
      <c r="I384" s="10" t="s">
        <v>977</v>
      </c>
    </row>
    <row r="385" spans="1:9" ht="23" customHeight="1" x14ac:dyDescent="0.15">
      <c r="A385" s="4" t="s">
        <v>28</v>
      </c>
      <c r="B385" s="6" t="s">
        <v>436</v>
      </c>
      <c r="C385" s="13" t="str">
        <f>SUBSTITUTE(REPLACE(REPLACE(B385,1,IFERROR(FIND("//",B385,1)+1,0),"")&amp;"/",FIND("/",REPLACE(B385,1,IFERROR(FIND("//",B385,1)+1,0),"")&amp;"/",1),LEN(B385),""),"www.","",1)</f>
        <v>koro.me</v>
      </c>
      <c r="D385" s="13">
        <f>COUNTIF($C$2:$C$801,C385)</f>
        <v>1</v>
      </c>
      <c r="E385" s="10" t="s">
        <v>372</v>
      </c>
      <c r="F385" s="4" t="s">
        <v>730</v>
      </c>
      <c r="G385" s="31" t="s">
        <v>5</v>
      </c>
      <c r="H385" s="31" t="s">
        <v>965</v>
      </c>
      <c r="I385" s="10" t="s">
        <v>981</v>
      </c>
    </row>
    <row r="386" spans="1:9" ht="23" customHeight="1" x14ac:dyDescent="0.15">
      <c r="A386" s="4" t="s">
        <v>28</v>
      </c>
      <c r="B386" s="6" t="s">
        <v>176</v>
      </c>
      <c r="C386" s="13" t="str">
        <f>SUBSTITUTE(REPLACE(REPLACE(B386,1,IFERROR(FIND("//",B386,1)+1,0),"")&amp;"/",FIND("/",REPLACE(B386,1,IFERROR(FIND("//",B386,1)+1,0),"")&amp;"/",1),LEN(B386),""),"www.","",1)</f>
        <v>kostenlos-eintragen.com</v>
      </c>
      <c r="D386" s="13">
        <f>COUNTIF($C$2:$C$801,C386)</f>
        <v>1</v>
      </c>
      <c r="E386" s="10" t="s">
        <v>714</v>
      </c>
      <c r="F386" s="4"/>
      <c r="G386" s="31" t="s">
        <v>5</v>
      </c>
      <c r="H386" s="31" t="s">
        <v>965</v>
      </c>
      <c r="I386" s="10" t="s">
        <v>981</v>
      </c>
    </row>
    <row r="387" spans="1:9" ht="23" customHeight="1" x14ac:dyDescent="0.15">
      <c r="A387" s="4" t="s">
        <v>28</v>
      </c>
      <c r="B387" s="6" t="s">
        <v>493</v>
      </c>
      <c r="C387" s="13" t="str">
        <f>SUBSTITUTE(REPLACE(REPLACE(B387,1,IFERROR(FIND("//",B387,1)+1,0),"")&amp;"/",FIND("/",REPLACE(B387,1,IFERROR(FIND("//",B387,1)+1,0),"")&amp;"/",1),LEN(B387),""),"www.","",1)</f>
        <v>kreativ-buero-gmbh.de</v>
      </c>
      <c r="D387" s="13">
        <f>COUNTIF($C$2:$C$801,C387)</f>
        <v>1</v>
      </c>
      <c r="E387" s="10"/>
      <c r="F387" s="4" t="s">
        <v>729</v>
      </c>
      <c r="G387" s="31" t="s">
        <v>5</v>
      </c>
      <c r="H387" s="31" t="s">
        <v>965</v>
      </c>
      <c r="I387" s="10" t="s">
        <v>981</v>
      </c>
    </row>
    <row r="388" spans="1:9" ht="23" customHeight="1" x14ac:dyDescent="0.15">
      <c r="A388" s="4" t="s">
        <v>28</v>
      </c>
      <c r="B388" s="6" t="s">
        <v>84</v>
      </c>
      <c r="C388" s="13" t="str">
        <f>SUBSTITUTE(REPLACE(REPLACE(B388,1,IFERROR(FIND("//",B388,1)+1,0),"")&amp;"/",FIND("/",REPLACE(B388,1,IFERROR(FIND("//",B388,1)+1,0),"")&amp;"/",1),LEN(B388),""),"www.","",1)</f>
        <v>kruegereinrichtungen.de</v>
      </c>
      <c r="D388" s="13">
        <f>COUNTIF($C$2:$C$801,C388)</f>
        <v>1</v>
      </c>
      <c r="E388" s="10" t="s">
        <v>621</v>
      </c>
      <c r="F388" s="4" t="s">
        <v>729</v>
      </c>
      <c r="G388" s="31" t="s">
        <v>4</v>
      </c>
      <c r="H388" s="31" t="s">
        <v>965</v>
      </c>
      <c r="I388" s="10" t="s">
        <v>977</v>
      </c>
    </row>
    <row r="389" spans="1:9" ht="23" customHeight="1" x14ac:dyDescent="0.15">
      <c r="A389" s="4" t="s">
        <v>28</v>
      </c>
      <c r="B389" s="6" t="s">
        <v>371</v>
      </c>
      <c r="C389" s="13" t="str">
        <f>SUBSTITUTE(REPLACE(REPLACE(B389,1,IFERROR(FIND("//",B389,1)+1,0),"")&amp;"/",FIND("/",REPLACE(B389,1,IFERROR(FIND("//",B389,1)+1,0),"")&amp;"/",1),LEN(B389),""),"www.","",1)</f>
        <v>ktpexpo.org</v>
      </c>
      <c r="D389" s="13">
        <f>COUNTIF($C$2:$C$801,C389)</f>
        <v>1</v>
      </c>
      <c r="E389" s="10" t="s">
        <v>372</v>
      </c>
      <c r="F389" s="4" t="s">
        <v>730</v>
      </c>
      <c r="G389" s="31" t="s">
        <v>5</v>
      </c>
      <c r="H389" s="31" t="s">
        <v>965</v>
      </c>
      <c r="I389" s="10" t="s">
        <v>981</v>
      </c>
    </row>
    <row r="390" spans="1:9" ht="23" customHeight="1" x14ac:dyDescent="0.15">
      <c r="A390" s="4" t="s">
        <v>28</v>
      </c>
      <c r="B390" s="6" t="s">
        <v>554</v>
      </c>
      <c r="C390" s="13" t="str">
        <f>SUBSTITUTE(REPLACE(REPLACE(B390,1,IFERROR(FIND("//",B390,1)+1,0),"")&amp;"/",FIND("/",REPLACE(B390,1,IFERROR(FIND("//",B390,1)+1,0),"")&amp;"/",1),LEN(B390),""),"www.","",1)</f>
        <v>kuechenmeile.de</v>
      </c>
      <c r="D390" s="13">
        <f>COUNTIF($C$2:$C$801,C390)</f>
        <v>1</v>
      </c>
      <c r="E390" s="10" t="s">
        <v>28</v>
      </c>
      <c r="F390" s="4" t="s">
        <v>729</v>
      </c>
      <c r="G390" s="31" t="s">
        <v>4</v>
      </c>
      <c r="H390" s="31" t="s">
        <v>965</v>
      </c>
      <c r="I390" s="10" t="s">
        <v>977</v>
      </c>
    </row>
    <row r="391" spans="1:9" ht="23" customHeight="1" x14ac:dyDescent="0.15">
      <c r="A391" s="4" t="s">
        <v>28</v>
      </c>
      <c r="B391" s="6" t="s">
        <v>541</v>
      </c>
      <c r="C391" s="13" t="str">
        <f>SUBSTITUTE(REPLACE(REPLACE(B391,1,IFERROR(FIND("//",B391,1)+1,0),"")&amp;"/",FIND("/",REPLACE(B391,1,IFERROR(FIND("//",B391,1)+1,0),"")&amp;"/",1),LEN(B391),""),"www.","",1)</f>
        <v>kuehn-online.com</v>
      </c>
      <c r="D391" s="13">
        <f>COUNTIF($C$2:$C$801,C391)</f>
        <v>1</v>
      </c>
      <c r="E391" s="10" t="s">
        <v>28</v>
      </c>
      <c r="F391" s="4" t="s">
        <v>729</v>
      </c>
      <c r="G391" s="31" t="s">
        <v>4</v>
      </c>
      <c r="H391" s="31" t="s">
        <v>965</v>
      </c>
      <c r="I391" s="10" t="s">
        <v>977</v>
      </c>
    </row>
    <row r="392" spans="1:9" ht="23" customHeight="1" x14ac:dyDescent="0.15">
      <c r="A392" s="4" t="s">
        <v>28</v>
      </c>
      <c r="B392" s="6" t="s">
        <v>782</v>
      </c>
      <c r="C392" s="13" t="str">
        <f>SUBSTITUTE(REPLACE(REPLACE(B392,1,IFERROR(FIND("//",B392,1)+1,0),"")&amp;"/",FIND("/",REPLACE(B392,1,IFERROR(FIND("//",B392,1)+1,0),"")&amp;"/",1),LEN(B392),""),"www.","",1)</f>
        <v>kultampult.de</v>
      </c>
      <c r="D392" s="13">
        <f>COUNTIF($C$2:$C$801,C392)</f>
        <v>1</v>
      </c>
      <c r="E392" s="10" t="s">
        <v>237</v>
      </c>
      <c r="F392" s="4" t="s">
        <v>735</v>
      </c>
      <c r="G392" s="31" t="s">
        <v>4</v>
      </c>
      <c r="H392" s="31" t="s">
        <v>965</v>
      </c>
      <c r="I392" s="10" t="s">
        <v>977</v>
      </c>
    </row>
    <row r="393" spans="1:9" ht="23" customHeight="1" x14ac:dyDescent="0.15">
      <c r="A393" s="4" t="s">
        <v>28</v>
      </c>
      <c r="B393" s="6" t="s">
        <v>651</v>
      </c>
      <c r="C393" s="13" t="str">
        <f>SUBSTITUTE(REPLACE(REPLACE(B393,1,IFERROR(FIND("//",B393,1)+1,0),"")&amp;"/",FIND("/",REPLACE(B393,1,IFERROR(FIND("//",B393,1)+1,0),"")&amp;"/",1),LEN(B393),""),"www.","",1)</f>
        <v>kundenverblüffung.de</v>
      </c>
      <c r="D393" s="13">
        <f>COUNTIF($C$2:$C$801,C393)</f>
        <v>1</v>
      </c>
      <c r="E393" s="10" t="s">
        <v>267</v>
      </c>
      <c r="F393" s="4" t="s">
        <v>739</v>
      </c>
      <c r="G393" s="31" t="s">
        <v>4</v>
      </c>
      <c r="H393" s="31" t="s">
        <v>965</v>
      </c>
      <c r="I393" s="10" t="s">
        <v>977</v>
      </c>
    </row>
    <row r="394" spans="1:9" ht="23" customHeight="1" x14ac:dyDescent="0.15">
      <c r="A394" s="4" t="s">
        <v>28</v>
      </c>
      <c r="B394" s="6" t="s">
        <v>812</v>
      </c>
      <c r="C394" s="13" t="str">
        <f>SUBSTITUTE(REPLACE(REPLACE(B394,1,IFERROR(FIND("//",B394,1)+1,0),"")&amp;"/",FIND("/",REPLACE(B394,1,IFERROR(FIND("//",B394,1)+1,0),"")&amp;"/",1),LEN(B394),""),"www.","",1)</f>
        <v>kurzbach-vechta.de</v>
      </c>
      <c r="D394" s="13">
        <f>COUNTIF($C$2:$C$801,C394)</f>
        <v>1</v>
      </c>
      <c r="E394" s="10" t="s">
        <v>241</v>
      </c>
      <c r="F394" s="4" t="s">
        <v>729</v>
      </c>
      <c r="G394" s="31" t="s">
        <v>4</v>
      </c>
      <c r="H394" s="31" t="s">
        <v>965</v>
      </c>
      <c r="I394" s="10" t="s">
        <v>977</v>
      </c>
    </row>
    <row r="395" spans="1:9" ht="23" customHeight="1" x14ac:dyDescent="0.15">
      <c r="A395" s="4" t="s">
        <v>28</v>
      </c>
      <c r="B395" s="6" t="s">
        <v>995</v>
      </c>
      <c r="C395" s="13" t="str">
        <f>SUBSTITUTE(REPLACE(REPLACE(B395,1,IFERROR(FIND("//",B395,1)+1,0),"")&amp;"/",FIND("/",REPLACE(B395,1,IFERROR(FIND("//",B395,1)+1,0),"")&amp;"/",1),LEN(B395),""),"www.","",1)</f>
        <v>lanai-spa.de</v>
      </c>
      <c r="D395" s="13">
        <f>COUNTIF($C$2:$C$801,C395)</f>
        <v>1</v>
      </c>
      <c r="E395" s="10" t="s">
        <v>241</v>
      </c>
      <c r="F395" s="4" t="s">
        <v>739</v>
      </c>
      <c r="G395" s="31" t="s">
        <v>4</v>
      </c>
      <c r="H395" s="31" t="s">
        <v>1084</v>
      </c>
      <c r="I395" s="10"/>
    </row>
    <row r="396" spans="1:9" ht="23" customHeight="1" x14ac:dyDescent="0.15">
      <c r="A396" s="4" t="s">
        <v>28</v>
      </c>
      <c r="B396" s="6" t="s">
        <v>851</v>
      </c>
      <c r="C396" s="13" t="str">
        <f>SUBSTITUTE(REPLACE(REPLACE(B396,1,IFERROR(FIND("//",B396,1)+1,0),"")&amp;"/",FIND("/",REPLACE(B396,1,IFERROR(FIND("//",B396,1)+1,0),"")&amp;"/",1),LEN(B396),""),"www.","",1)</f>
        <v>landewednackhouse.com</v>
      </c>
      <c r="D396" s="13">
        <f>COUNTIF($C$2:$C$801,C396)</f>
        <v>1</v>
      </c>
      <c r="E396" s="10"/>
      <c r="F396" s="4" t="s">
        <v>730</v>
      </c>
      <c r="G396" s="31" t="s">
        <v>6</v>
      </c>
      <c r="H396" s="31" t="s">
        <v>967</v>
      </c>
      <c r="I396" s="10" t="s">
        <v>979</v>
      </c>
    </row>
    <row r="397" spans="1:9" ht="23" customHeight="1" x14ac:dyDescent="0.15">
      <c r="A397" s="4" t="s">
        <v>28</v>
      </c>
      <c r="B397" s="6" t="s">
        <v>836</v>
      </c>
      <c r="C397" s="13" t="str">
        <f>SUBSTITUTE(REPLACE(REPLACE(B397,1,IFERROR(FIND("//",B397,1)+1,0),"")&amp;"/",FIND("/",REPLACE(B397,1,IFERROR(FIND("//",B397,1)+1,0),"")&amp;"/",1),LEN(B397),""),"www.","",1)</f>
        <v>landingpageconstructor.com</v>
      </c>
      <c r="D397" s="13">
        <f>COUNTIF($C$2:$C$801,C397)</f>
        <v>1</v>
      </c>
      <c r="E397" s="10" t="s">
        <v>923</v>
      </c>
      <c r="F397" s="4" t="s">
        <v>730</v>
      </c>
      <c r="G397" s="31" t="s">
        <v>6</v>
      </c>
      <c r="H397" s="31" t="s">
        <v>967</v>
      </c>
      <c r="I397" s="10" t="s">
        <v>979</v>
      </c>
    </row>
    <row r="398" spans="1:9" ht="23" customHeight="1" x14ac:dyDescent="0.15">
      <c r="A398" s="4" t="s">
        <v>28</v>
      </c>
      <c r="B398" s="6" t="s">
        <v>1008</v>
      </c>
      <c r="C398" s="13" t="str">
        <f>SUBSTITUTE(REPLACE(REPLACE(B398,1,IFERROR(FIND("//",B398,1)+1,0),"")&amp;"/",FIND("/",REPLACE(B398,1,IFERROR(FIND("//",B398,1)+1,0),"")&amp;"/",1),LEN(B398),""),"www.","",1)</f>
        <v>lang-bueroeinrichtungen.de</v>
      </c>
      <c r="D398" s="13">
        <f>COUNTIF($C$2:$C$801,C398)</f>
        <v>1</v>
      </c>
      <c r="E398" s="10"/>
      <c r="F398" s="14" t="s">
        <v>729</v>
      </c>
      <c r="G398" s="32" t="s">
        <v>4</v>
      </c>
      <c r="H398" s="31" t="s">
        <v>1084</v>
      </c>
      <c r="I398" s="10"/>
    </row>
    <row r="399" spans="1:9" ht="23" customHeight="1" x14ac:dyDescent="0.15">
      <c r="A399" s="4" t="s">
        <v>28</v>
      </c>
      <c r="B399" s="6" t="s">
        <v>212</v>
      </c>
      <c r="C399" s="13" t="str">
        <f>SUBSTITUTE(REPLACE(REPLACE(B399,1,IFERROR(FIND("//",B399,1)+1,0),"")&amp;"/",FIND("/",REPLACE(B399,1,IFERROR(FIND("//",B399,1)+1,0),"")&amp;"/",1),LEN(B399),""),"www.","",1)</f>
        <v>lavorenz.de</v>
      </c>
      <c r="D399" s="13">
        <f>COUNTIF($C$2:$C$801,C399)</f>
        <v>1</v>
      </c>
      <c r="E399" s="10" t="s">
        <v>14</v>
      </c>
      <c r="F399" s="4" t="s">
        <v>729</v>
      </c>
      <c r="G399" s="31" t="s">
        <v>4</v>
      </c>
      <c r="H399" s="31" t="s">
        <v>965</v>
      </c>
      <c r="I399" s="10" t="s">
        <v>977</v>
      </c>
    </row>
    <row r="400" spans="1:9" ht="23" customHeight="1" x14ac:dyDescent="0.15">
      <c r="A400" s="4" t="s">
        <v>28</v>
      </c>
      <c r="B400" s="6" t="s">
        <v>56</v>
      </c>
      <c r="C400" s="13" t="str">
        <f>SUBSTITUTE(REPLACE(REPLACE(B400,1,IFERROR(FIND("//",B400,1)+1,0),"")&amp;"/",FIND("/",REPLACE(B400,1,IFERROR(FIND("//",B400,1)+1,0),"")&amp;"/",1),LEN(B400),""),"www.","",1)</f>
        <v>legler-ok.de</v>
      </c>
      <c r="D400" s="13">
        <f>COUNTIF($C$2:$C$801,C400)</f>
        <v>1</v>
      </c>
      <c r="E400" s="10" t="s">
        <v>688</v>
      </c>
      <c r="F400" s="4" t="s">
        <v>729</v>
      </c>
      <c r="G400" s="31" t="s">
        <v>4</v>
      </c>
      <c r="H400" s="31" t="s">
        <v>965</v>
      </c>
      <c r="I400" s="10" t="s">
        <v>977</v>
      </c>
    </row>
    <row r="401" spans="1:9" ht="23" customHeight="1" x14ac:dyDescent="0.15">
      <c r="A401" s="4" t="s">
        <v>28</v>
      </c>
      <c r="B401" s="6" t="s">
        <v>578</v>
      </c>
      <c r="C401" s="13" t="str">
        <f>SUBSTITUTE(REPLACE(REPLACE(B401,1,IFERROR(FIND("//",B401,1)+1,0),"")&amp;"/",FIND("/",REPLACE(B401,1,IFERROR(FIND("//",B401,1)+1,0),"")&amp;"/",1),LEN(B401),""),"www.","",1)</f>
        <v>leineoffice.de</v>
      </c>
      <c r="D401" s="13">
        <f>COUNTIF($C$2:$C$801,C401)</f>
        <v>1</v>
      </c>
      <c r="E401" s="10" t="s">
        <v>579</v>
      </c>
      <c r="F401" s="4" t="s">
        <v>729</v>
      </c>
      <c r="G401" s="31" t="s">
        <v>4</v>
      </c>
      <c r="H401" s="31" t="s">
        <v>965</v>
      </c>
      <c r="I401" s="10" t="s">
        <v>977</v>
      </c>
    </row>
    <row r="402" spans="1:9" ht="23" customHeight="1" x14ac:dyDescent="0.15">
      <c r="A402" s="4" t="s">
        <v>28</v>
      </c>
      <c r="B402" s="6" t="s">
        <v>855</v>
      </c>
      <c r="C402" s="13" t="str">
        <f>SUBSTITUTE(REPLACE(REPLACE(B402,1,IFERROR(FIND("//",B402,1)+1,0),"")&amp;"/",FIND("/",REPLACE(B402,1,IFERROR(FIND("//",B402,1)+1,0),"")&amp;"/",1),LEN(B402),""),"www.","",1)</f>
        <v>levinsonforjustice.com</v>
      </c>
      <c r="D402" s="13">
        <f>COUNTIF($C$2:$C$801,C402)</f>
        <v>1</v>
      </c>
      <c r="E402" s="10" t="s">
        <v>237</v>
      </c>
      <c r="F402" s="4" t="s">
        <v>13</v>
      </c>
      <c r="G402" s="31" t="s">
        <v>5</v>
      </c>
      <c r="H402" s="31" t="s">
        <v>965</v>
      </c>
      <c r="I402" s="10" t="s">
        <v>981</v>
      </c>
    </row>
    <row r="403" spans="1:9" ht="23" customHeight="1" x14ac:dyDescent="0.15">
      <c r="A403" s="4" t="s">
        <v>28</v>
      </c>
      <c r="B403" s="6" t="s">
        <v>628</v>
      </c>
      <c r="C403" s="13" t="str">
        <f>SUBSTITUTE(REPLACE(REPLACE(B403,1,IFERROR(FIND("//",B403,1)+1,0),"")&amp;"/",FIND("/",REPLACE(B403,1,IFERROR(FIND("//",B403,1)+1,0),"")&amp;"/",1),LEN(B403),""),"www.","",1)</f>
        <v>loeffler-creativeinrichtungen.de</v>
      </c>
      <c r="D403" s="13">
        <f>COUNTIF($C$2:$C$801,C403)</f>
        <v>1</v>
      </c>
      <c r="E403" s="10" t="s">
        <v>28</v>
      </c>
      <c r="F403" s="4" t="s">
        <v>729</v>
      </c>
      <c r="G403" s="31" t="s">
        <v>4</v>
      </c>
      <c r="H403" s="31" t="s">
        <v>965</v>
      </c>
      <c r="I403" s="10" t="s">
        <v>977</v>
      </c>
    </row>
    <row r="404" spans="1:9" ht="23" customHeight="1" x14ac:dyDescent="0.15">
      <c r="A404" s="4" t="s">
        <v>28</v>
      </c>
      <c r="B404" s="6" t="s">
        <v>378</v>
      </c>
      <c r="C404" s="13" t="str">
        <f>SUBSTITUTE(REPLACE(REPLACE(B404,1,IFERROR(FIND("//",B404,1)+1,0),"")&amp;"/",FIND("/",REPLACE(B404,1,IFERROR(FIND("//",B404,1)+1,0),"")&amp;"/",1),LEN(B404),""),"www.","",1)</f>
        <v>loehne.branchen-info.net</v>
      </c>
      <c r="D404" s="13">
        <f>COUNTIF($C$2:$C$801,C404)</f>
        <v>1</v>
      </c>
      <c r="E404" s="10" t="s">
        <v>237</v>
      </c>
      <c r="F404" s="4" t="s">
        <v>25</v>
      </c>
      <c r="G404" s="31" t="s">
        <v>4</v>
      </c>
      <c r="H404" s="31" t="s">
        <v>965</v>
      </c>
      <c r="I404" s="10" t="s">
        <v>977</v>
      </c>
    </row>
    <row r="405" spans="1:9" ht="23" customHeight="1" x14ac:dyDescent="0.15">
      <c r="A405" s="4" t="s">
        <v>28</v>
      </c>
      <c r="B405" s="6" t="s">
        <v>1018</v>
      </c>
      <c r="C405" s="13" t="str">
        <f>SUBSTITUTE(REPLACE(REPLACE(B405,1,IFERROR(FIND("//",B405,1)+1,0),"")&amp;"/",FIND("/",REPLACE(B405,1,IFERROR(FIND("//",B405,1)+1,0),"")&amp;"/",1),LEN(B405),""),"www.","",1)</f>
        <v>loehne.stadtbranchenbuch.com</v>
      </c>
      <c r="D405" s="13">
        <f>COUNTIF($C$2:$C$801,C405)</f>
        <v>1</v>
      </c>
      <c r="E405" s="10" t="s">
        <v>237</v>
      </c>
      <c r="F405" s="4" t="s">
        <v>25</v>
      </c>
      <c r="G405" s="31" t="s">
        <v>4</v>
      </c>
      <c r="H405" s="31" t="s">
        <v>1084</v>
      </c>
      <c r="I405" s="10"/>
    </row>
    <row r="406" spans="1:9" ht="23" customHeight="1" x14ac:dyDescent="0.15">
      <c r="A406" s="4" t="s">
        <v>28</v>
      </c>
      <c r="B406" s="6" t="s">
        <v>366</v>
      </c>
      <c r="C406" s="13" t="str">
        <f>SUBSTITUTE(REPLACE(REPLACE(B406,1,IFERROR(FIND("//",B406,1)+1,0),"")&amp;"/",FIND("/",REPLACE(B406,1,IFERROR(FIND("//",B406,1)+1,0),"")&amp;"/",1),LEN(B406),""),"www.","",1)</f>
        <v>loehne.staedte-info.net</v>
      </c>
      <c r="D406" s="13">
        <f>COUNTIF($C$2:$C$801,C406)</f>
        <v>1</v>
      </c>
      <c r="E406" s="10" t="s">
        <v>237</v>
      </c>
      <c r="F406" s="4" t="s">
        <v>25</v>
      </c>
      <c r="G406" s="31" t="s">
        <v>4</v>
      </c>
      <c r="H406" s="31" t="s">
        <v>965</v>
      </c>
      <c r="I406" s="10" t="s">
        <v>977</v>
      </c>
    </row>
    <row r="407" spans="1:9" ht="23" customHeight="1" x14ac:dyDescent="0.15">
      <c r="A407" s="4" t="s">
        <v>28</v>
      </c>
      <c r="B407" s="6" t="s">
        <v>790</v>
      </c>
      <c r="C407" s="13" t="str">
        <f>SUBSTITUTE(REPLACE(REPLACE(B407,1,IFERROR(FIND("//",B407,1)+1,0),"")&amp;"/",FIND("/",REPLACE(B407,1,IFERROR(FIND("//",B407,1)+1,0),"")&amp;"/",1),LEN(B407),""),"www.","",1)</f>
        <v>loginboost.com</v>
      </c>
      <c r="D407" s="13">
        <f>COUNTIF($C$2:$C$801,C407)</f>
        <v>1</v>
      </c>
      <c r="E407" s="10" t="s">
        <v>912</v>
      </c>
      <c r="F407" s="4" t="s">
        <v>13</v>
      </c>
      <c r="G407" s="31" t="s">
        <v>6</v>
      </c>
      <c r="H407" s="31" t="s">
        <v>967</v>
      </c>
      <c r="I407" s="10" t="s">
        <v>979</v>
      </c>
    </row>
    <row r="408" spans="1:9" ht="23" customHeight="1" x14ac:dyDescent="0.15">
      <c r="A408" s="4" t="s">
        <v>28</v>
      </c>
      <c r="B408" s="6" t="s">
        <v>853</v>
      </c>
      <c r="C408" s="13" t="str">
        <f>SUBSTITUTE(REPLACE(REPLACE(B408,1,IFERROR(FIND("//",B408,1)+1,0),"")&amp;"/",FIND("/",REPLACE(B408,1,IFERROR(FIND("//",B408,1)+1,0),"")&amp;"/",1),LEN(B408),""),"www.","",1)</f>
        <v>lohne-nw.deutscheshoponline.com</v>
      </c>
      <c r="D408" s="13">
        <f>COUNTIF($C$2:$C$801,C408)</f>
        <v>1</v>
      </c>
      <c r="E408" s="10" t="s">
        <v>250</v>
      </c>
      <c r="F408" s="4" t="s">
        <v>25</v>
      </c>
      <c r="G408" s="31" t="s">
        <v>4</v>
      </c>
      <c r="H408" s="31" t="s">
        <v>965</v>
      </c>
      <c r="I408" s="10" t="s">
        <v>977</v>
      </c>
    </row>
    <row r="409" spans="1:9" ht="23" customHeight="1" x14ac:dyDescent="0.15">
      <c r="A409" s="4" t="s">
        <v>28</v>
      </c>
      <c r="B409" s="6" t="s">
        <v>764</v>
      </c>
      <c r="C409" s="13" t="str">
        <f>SUBSTITUTE(REPLACE(REPLACE(B409,1,IFERROR(FIND("//",B409,1)+1,0),"")&amp;"/",FIND("/",REPLACE(B409,1,IFERROR(FIND("//",B409,1)+1,0),"")&amp;"/",1),LEN(B409),""),"www.","",1)</f>
        <v>lokalwissen.de</v>
      </c>
      <c r="D409" s="13">
        <f>COUNTIF($C$2:$C$801,C409)</f>
        <v>1</v>
      </c>
      <c r="E409" s="10" t="s">
        <v>899</v>
      </c>
      <c r="F409" s="4" t="s">
        <v>25</v>
      </c>
      <c r="G409" s="31" t="s">
        <v>4</v>
      </c>
      <c r="H409" s="31" t="s">
        <v>965</v>
      </c>
      <c r="I409" s="10" t="s">
        <v>977</v>
      </c>
    </row>
    <row r="410" spans="1:9" ht="23" customHeight="1" x14ac:dyDescent="0.15">
      <c r="A410" s="4" t="s">
        <v>28</v>
      </c>
      <c r="B410" s="6" t="s">
        <v>842</v>
      </c>
      <c r="C410" s="13" t="str">
        <f>SUBSTITUTE(REPLACE(REPLACE(B410,1,IFERROR(FIND("//",B410,1)+1,0),"")&amp;"/",FIND("/",REPLACE(B410,1,IFERROR(FIND("//",B410,1)+1,0),"")&amp;"/",1),LEN(B410),""),"www.","",1)</f>
        <v>lonestarknifeexpo.com</v>
      </c>
      <c r="D410" s="13">
        <f>COUNTIF($C$2:$C$801,C410)</f>
        <v>1</v>
      </c>
      <c r="E410" s="10" t="s">
        <v>923</v>
      </c>
      <c r="F410" s="4" t="s">
        <v>730</v>
      </c>
      <c r="G410" s="31" t="s">
        <v>6</v>
      </c>
      <c r="H410" s="31" t="s">
        <v>967</v>
      </c>
      <c r="I410" s="10" t="s">
        <v>979</v>
      </c>
    </row>
    <row r="411" spans="1:9" ht="23" customHeight="1" x14ac:dyDescent="0.15">
      <c r="A411" s="4" t="s">
        <v>28</v>
      </c>
      <c r="B411" s="6" t="s">
        <v>866</v>
      </c>
      <c r="C411" s="13" t="str">
        <f>SUBSTITUTE(REPLACE(REPLACE(B411,1,IFERROR(FIND("//",B411,1)+1,0),"")&amp;"/",FIND("/",REPLACE(B411,1,IFERROR(FIND("//",B411,1)+1,0),"")&amp;"/",1),LEN(B411),""),"www.","",1)</f>
        <v>loudounballet.org</v>
      </c>
      <c r="D411" s="13">
        <f>COUNTIF($C$2:$C$801,C411)</f>
        <v>1</v>
      </c>
      <c r="E411" s="10" t="s">
        <v>923</v>
      </c>
      <c r="F411" s="4" t="s">
        <v>730</v>
      </c>
      <c r="G411" s="31" t="s">
        <v>6</v>
      </c>
      <c r="H411" s="31" t="s">
        <v>967</v>
      </c>
      <c r="I411" s="10" t="s">
        <v>979</v>
      </c>
    </row>
    <row r="412" spans="1:9" ht="23" customHeight="1" x14ac:dyDescent="0.15">
      <c r="A412" s="4" t="s">
        <v>28</v>
      </c>
      <c r="B412" s="6" t="s">
        <v>1053</v>
      </c>
      <c r="C412" s="13" t="str">
        <f>SUBSTITUTE(REPLACE(REPLACE(B412,1,IFERROR(FIND("//",B412,1)+1,0),"")&amp;"/",FIND("/",REPLACE(B412,1,IFERROR(FIND("//",B412,1)+1,0),"")&amp;"/",1),LEN(B412),""),"www.","",1)</f>
        <v>lrbuero.de</v>
      </c>
      <c r="D412" s="13">
        <f>COUNTIF($C$2:$C$801,C412)</f>
        <v>1</v>
      </c>
      <c r="E412" s="10" t="s">
        <v>283</v>
      </c>
      <c r="F412" s="14" t="s">
        <v>729</v>
      </c>
      <c r="G412" s="32" t="s">
        <v>4</v>
      </c>
      <c r="H412" s="31" t="s">
        <v>1084</v>
      </c>
      <c r="I412" s="10"/>
    </row>
    <row r="413" spans="1:9" ht="23" customHeight="1" x14ac:dyDescent="0.15">
      <c r="A413" s="4" t="s">
        <v>28</v>
      </c>
      <c r="B413" s="6" t="s">
        <v>1052</v>
      </c>
      <c r="C413" s="13" t="str">
        <f>SUBSTITUTE(REPLACE(REPLACE(B413,1,IFERROR(FIND("//",B413,1)+1,0),"")&amp;"/",FIND("/",REPLACE(B413,1,IFERROR(FIND("//",B413,1)+1,0),"")&amp;"/",1),LEN(B413),""),"www.","",1)</f>
        <v>luebbecke24.de</v>
      </c>
      <c r="D413" s="13">
        <f>COUNTIF($C$2:$C$801,C413)</f>
        <v>1</v>
      </c>
      <c r="E413" s="10" t="s">
        <v>237</v>
      </c>
      <c r="F413" s="4" t="s">
        <v>25</v>
      </c>
      <c r="G413" s="31" t="s">
        <v>4</v>
      </c>
      <c r="H413" s="31" t="s">
        <v>1084</v>
      </c>
      <c r="I413" s="10"/>
    </row>
    <row r="414" spans="1:9" ht="23" customHeight="1" x14ac:dyDescent="0.15">
      <c r="A414" s="4" t="s">
        <v>28</v>
      </c>
      <c r="B414" s="6" t="s">
        <v>1051</v>
      </c>
      <c r="C414" s="13" t="str">
        <f>SUBSTITUTE(REPLACE(REPLACE(B414,1,IFERROR(FIND("//",B414,1)+1,0),"")&amp;"/",FIND("/",REPLACE(B414,1,IFERROR(FIND("//",B414,1)+1,0),"")&amp;"/",1),LEN(B414),""),"www.","",1)</f>
        <v>lura-miyamoto-ld2724.firebaseapp.com</v>
      </c>
      <c r="D414" s="13">
        <f>COUNTIF($C$2:$C$801,C414)</f>
        <v>1</v>
      </c>
      <c r="E414" s="10" t="s">
        <v>1082</v>
      </c>
      <c r="F414" s="4" t="s">
        <v>730</v>
      </c>
      <c r="G414" s="31" t="s">
        <v>6</v>
      </c>
      <c r="H414" s="31" t="s">
        <v>1084</v>
      </c>
      <c r="I414" s="10"/>
    </row>
    <row r="415" spans="1:9" ht="23" customHeight="1" x14ac:dyDescent="0.15">
      <c r="A415" s="4" t="s">
        <v>28</v>
      </c>
      <c r="B415" s="6" t="s">
        <v>494</v>
      </c>
      <c r="C415" s="13" t="str">
        <f>SUBSTITUTE(REPLACE(REPLACE(B415,1,IFERROR(FIND("//",B415,1)+1,0),"")&amp;"/",FIND("/",REPLACE(B415,1,IFERROR(FIND("//",B415,1)+1,0),"")&amp;"/",1),LEN(B415),""),"www.","",1)</f>
        <v>luxor-badezimmer.de</v>
      </c>
      <c r="D415" s="13">
        <f>COUNTIF($C$2:$C$801,C415)</f>
        <v>1</v>
      </c>
      <c r="E415" s="10" t="s">
        <v>495</v>
      </c>
      <c r="F415" s="4" t="s">
        <v>730</v>
      </c>
      <c r="G415" s="31" t="s">
        <v>5</v>
      </c>
      <c r="H415" s="31" t="s">
        <v>965</v>
      </c>
      <c r="I415" s="10" t="s">
        <v>981</v>
      </c>
    </row>
    <row r="416" spans="1:9" ht="23" customHeight="1" x14ac:dyDescent="0.15">
      <c r="A416" s="4" t="s">
        <v>28</v>
      </c>
      <c r="B416" s="6" t="s">
        <v>108</v>
      </c>
      <c r="C416" s="13" t="str">
        <f>SUBSTITUTE(REPLACE(REPLACE(B416,1,IFERROR(FIND("//",B416,1)+1,0),"")&amp;"/",FIND("/",REPLACE(B416,1,IFERROR(FIND("//",B416,1)+1,0),"")&amp;"/",1),LEN(B416),""),"www.","",1)</f>
        <v>lycle.net</v>
      </c>
      <c r="D416" s="13">
        <f>COUNTIF($C$2:$C$801,C416)</f>
        <v>1</v>
      </c>
      <c r="E416" s="10" t="s">
        <v>701</v>
      </c>
      <c r="F416" s="4"/>
      <c r="G416" s="31" t="s">
        <v>5</v>
      </c>
      <c r="H416" s="31" t="s">
        <v>965</v>
      </c>
      <c r="I416" s="10" t="s">
        <v>981</v>
      </c>
    </row>
    <row r="417" spans="1:9" ht="23" customHeight="1" x14ac:dyDescent="0.15">
      <c r="A417" s="4" t="s">
        <v>28</v>
      </c>
      <c r="B417" s="6" t="s">
        <v>384</v>
      </c>
      <c r="C417" s="13" t="str">
        <f>SUBSTITUTE(REPLACE(REPLACE(B417,1,IFERROR(FIND("//",B417,1)+1,0),"")&amp;"/",FIND("/",REPLACE(B417,1,IFERROR(FIND("//",B417,1)+1,0),"")&amp;"/",1),LEN(B417),""),"www.","",1)</f>
        <v>m-z.de</v>
      </c>
      <c r="D417" s="13">
        <f>COUNTIF($C$2:$C$801,C417)</f>
        <v>1</v>
      </c>
      <c r="E417" s="10" t="s">
        <v>27</v>
      </c>
      <c r="F417" s="4" t="s">
        <v>729</v>
      </c>
      <c r="G417" s="31" t="s">
        <v>4</v>
      </c>
      <c r="H417" s="31" t="s">
        <v>965</v>
      </c>
      <c r="I417" s="10" t="s">
        <v>977</v>
      </c>
    </row>
    <row r="418" spans="1:9" ht="23" customHeight="1" x14ac:dyDescent="0.15">
      <c r="A418" s="4" t="s">
        <v>28</v>
      </c>
      <c r="B418" s="6" t="s">
        <v>310</v>
      </c>
      <c r="C418" s="13" t="str">
        <f>SUBSTITUTE(REPLACE(REPLACE(B418,1,IFERROR(FIND("//",B418,1)+1,0),"")&amp;"/",FIND("/",REPLACE(B418,1,IFERROR(FIND("//",B418,1)+1,0),"")&amp;"/",1),LEN(B418),""),"www.","",1)</f>
        <v>m.buero-und-betrieb.com</v>
      </c>
      <c r="D418" s="13">
        <f>COUNTIF($C$2:$C$801,C418)</f>
        <v>1</v>
      </c>
      <c r="E418" s="10" t="s">
        <v>305</v>
      </c>
      <c r="F418" s="4" t="s">
        <v>25</v>
      </c>
      <c r="G418" s="31" t="s">
        <v>4</v>
      </c>
      <c r="H418" s="31" t="s">
        <v>965</v>
      </c>
      <c r="I418" s="10" t="s">
        <v>977</v>
      </c>
    </row>
    <row r="419" spans="1:9" ht="23" customHeight="1" x14ac:dyDescent="0.15">
      <c r="A419" s="4" t="s">
        <v>28</v>
      </c>
      <c r="B419" s="6" t="s">
        <v>496</v>
      </c>
      <c r="C419" s="13" t="str">
        <f>SUBSTITUTE(REPLACE(REPLACE(B419,1,IFERROR(FIND("//",B419,1)+1,0),"")&amp;"/",FIND("/",REPLACE(B419,1,IFERROR(FIND("//",B419,1)+1,0),"")&amp;"/",1),LEN(B419),""),"www.","",1)</f>
        <v>madebybright.com</v>
      </c>
      <c r="D419" s="13">
        <f>COUNTIF($C$2:$C$801,C419)</f>
        <v>1</v>
      </c>
      <c r="E419" s="10" t="s">
        <v>333</v>
      </c>
      <c r="F419" s="4"/>
      <c r="G419" s="31" t="s">
        <v>5</v>
      </c>
      <c r="H419" s="31" t="s">
        <v>965</v>
      </c>
      <c r="I419" s="10" t="s">
        <v>981</v>
      </c>
    </row>
    <row r="420" spans="1:9" ht="23" customHeight="1" x14ac:dyDescent="0.15">
      <c r="A420" s="4" t="s">
        <v>28</v>
      </c>
      <c r="B420" s="6" t="s">
        <v>44</v>
      </c>
      <c r="C420" s="13" t="str">
        <f>SUBSTITUTE(REPLACE(REPLACE(B420,1,IFERROR(FIND("//",B420,1)+1,0),"")&amp;"/",FIND("/",REPLACE(B420,1,IFERROR(FIND("//",B420,1)+1,0),"")&amp;"/",1),LEN(B420),""),"www.","",1)</f>
        <v>madlines.info</v>
      </c>
      <c r="D420" s="13">
        <f>COUNTIF($C$2:$C$801,C420)</f>
        <v>1</v>
      </c>
      <c r="E420" s="10" t="s">
        <v>686</v>
      </c>
      <c r="F420" s="4" t="s">
        <v>730</v>
      </c>
      <c r="G420" s="31" t="s">
        <v>5</v>
      </c>
      <c r="H420" s="31" t="s">
        <v>965</v>
      </c>
      <c r="I420" s="10" t="s">
        <v>981</v>
      </c>
    </row>
    <row r="421" spans="1:9" ht="23" customHeight="1" x14ac:dyDescent="0.15">
      <c r="A421" s="4" t="s">
        <v>28</v>
      </c>
      <c r="B421" s="6" t="s">
        <v>286</v>
      </c>
      <c r="C421" s="13" t="str">
        <f>SUBSTITUTE(REPLACE(REPLACE(B421,1,IFERROR(FIND("//",B421,1)+1,0),"")&amp;"/",FIND("/",REPLACE(B421,1,IFERROR(FIND("//",B421,1)+1,0),"")&amp;"/",1),LEN(B421),""),"www.","",1)</f>
        <v>madvix.com</v>
      </c>
      <c r="D421" s="13">
        <f>COUNTIF($C$2:$C$801,C421)</f>
        <v>1</v>
      </c>
      <c r="E421" s="10" t="s">
        <v>287</v>
      </c>
      <c r="F421" s="4" t="s">
        <v>730</v>
      </c>
      <c r="G421" s="31" t="s">
        <v>6</v>
      </c>
      <c r="H421" s="31" t="s">
        <v>974</v>
      </c>
      <c r="I421" s="10" t="s">
        <v>979</v>
      </c>
    </row>
    <row r="422" spans="1:9" ht="23" customHeight="1" x14ac:dyDescent="0.15">
      <c r="A422" s="4" t="s">
        <v>28</v>
      </c>
      <c r="B422" s="6" t="s">
        <v>641</v>
      </c>
      <c r="C422" s="13" t="str">
        <f>SUBSTITUTE(REPLACE(REPLACE(B422,1,IFERROR(FIND("//",B422,1)+1,0),"")&amp;"/",FIND("/",REPLACE(B422,1,IFERROR(FIND("//",B422,1)+1,0),"")&amp;"/",1),LEN(B422),""),"www.","",1)</f>
        <v>mail.factsoffice.de</v>
      </c>
      <c r="D422" s="13">
        <f>COUNTIF($C$2:$C$801,C422)</f>
        <v>1</v>
      </c>
      <c r="E422" s="10" t="s">
        <v>28</v>
      </c>
      <c r="F422" s="4"/>
      <c r="G422" s="31" t="s">
        <v>5</v>
      </c>
      <c r="H422" s="31" t="s">
        <v>965</v>
      </c>
      <c r="I422" s="10" t="s">
        <v>981</v>
      </c>
    </row>
    <row r="423" spans="1:9" ht="23" customHeight="1" x14ac:dyDescent="0.15">
      <c r="A423" s="4" t="s">
        <v>28</v>
      </c>
      <c r="B423" s="6" t="s">
        <v>885</v>
      </c>
      <c r="C423" s="13" t="str">
        <f>SUBSTITUTE(REPLACE(REPLACE(B423,1,IFERROR(FIND("//",B423,1)+1,0),"")&amp;"/",FIND("/",REPLACE(B423,1,IFERROR(FIND("//",B423,1)+1,0),"")&amp;"/",1),LEN(B423),""),"www.","",1)</f>
        <v>mail.leineoffice.de</v>
      </c>
      <c r="D423" s="13">
        <f>COUNTIF($C$2:$C$801,C423)</f>
        <v>1</v>
      </c>
      <c r="E423" s="10" t="s">
        <v>930</v>
      </c>
      <c r="F423" s="4" t="s">
        <v>729</v>
      </c>
      <c r="G423" s="31" t="s">
        <v>10</v>
      </c>
      <c r="H423" s="31" t="s">
        <v>965</v>
      </c>
      <c r="I423" s="29" t="s">
        <v>984</v>
      </c>
    </row>
    <row r="424" spans="1:9" ht="23" customHeight="1" x14ac:dyDescent="0.15">
      <c r="A424" s="4" t="s">
        <v>28</v>
      </c>
      <c r="B424" s="6" t="s">
        <v>874</v>
      </c>
      <c r="C424" s="13" t="str">
        <f>SUBSTITUTE(REPLACE(REPLACE(B424,1,IFERROR(FIND("//",B424,1)+1,0),"")&amp;"/",FIND("/",REPLACE(B424,1,IFERROR(FIND("//",B424,1)+1,0),"")&amp;"/",1),LEN(B424),""),"www.","",1)</f>
        <v>mail.webinhalt.de</v>
      </c>
      <c r="D424" s="13">
        <f>COUNTIF($C$2:$C$801,C424)</f>
        <v>1</v>
      </c>
      <c r="E424" s="10" t="s">
        <v>246</v>
      </c>
      <c r="F424" s="4" t="s">
        <v>25</v>
      </c>
      <c r="G424" s="31" t="s">
        <v>4</v>
      </c>
      <c r="H424" s="31" t="s">
        <v>965</v>
      </c>
      <c r="I424" s="10" t="s">
        <v>977</v>
      </c>
    </row>
    <row r="425" spans="1:9" ht="23" customHeight="1" x14ac:dyDescent="0.15">
      <c r="A425" s="4" t="s">
        <v>28</v>
      </c>
      <c r="B425" s="6" t="s">
        <v>1050</v>
      </c>
      <c r="C425" s="13" t="str">
        <f>SUBSTITUTE(REPLACE(REPLACE(B425,1,IFERROR(FIND("//",B425,1)+1,0),"")&amp;"/",FIND("/",REPLACE(B425,1,IFERROR(FIND("//",B425,1)+1,0),"")&amp;"/",1),LEN(B425),""),"www.","",1)</f>
        <v>malleda.netlify.app</v>
      </c>
      <c r="D425" s="13">
        <f>COUNTIF($C$2:$C$801,C425)</f>
        <v>1</v>
      </c>
      <c r="E425" s="10" t="s">
        <v>920</v>
      </c>
      <c r="F425" s="4" t="s">
        <v>730</v>
      </c>
      <c r="G425" s="31" t="s">
        <v>6</v>
      </c>
      <c r="H425" s="31" t="s">
        <v>1084</v>
      </c>
      <c r="I425" s="10"/>
    </row>
    <row r="426" spans="1:9" ht="23" customHeight="1" x14ac:dyDescent="0.15">
      <c r="A426" s="4" t="s">
        <v>28</v>
      </c>
      <c r="B426" s="6" t="s">
        <v>133</v>
      </c>
      <c r="C426" s="13" t="str">
        <f>SUBSTITUTE(REPLACE(REPLACE(B426,1,IFERROR(FIND("//",B426,1)+1,0),"")&amp;"/",FIND("/",REPLACE(B426,1,IFERROR(FIND("//",B426,1)+1,0),"")&amp;"/",1),LEN(B426),""),"www.","",1)</f>
        <v>mandt-buero.de</v>
      </c>
      <c r="D426" s="13">
        <f>COUNTIF($C$2:$C$801,C426)</f>
        <v>1</v>
      </c>
      <c r="E426" s="10" t="s">
        <v>14</v>
      </c>
      <c r="F426" s="4" t="s">
        <v>729</v>
      </c>
      <c r="G426" s="31" t="s">
        <v>5</v>
      </c>
      <c r="H426" s="31" t="s">
        <v>965</v>
      </c>
      <c r="I426" s="10" t="s">
        <v>981</v>
      </c>
    </row>
    <row r="427" spans="1:9" ht="23" customHeight="1" x14ac:dyDescent="0.15">
      <c r="A427" s="4" t="s">
        <v>28</v>
      </c>
      <c r="B427" s="6" t="s">
        <v>988</v>
      </c>
      <c r="C427" s="13" t="str">
        <f>SUBSTITUTE(REPLACE(REPLACE(B427,1,IFERROR(FIND("//",B427,1)+1,0),"")&amp;"/",FIND("/",REPLACE(B427,1,IFERROR(FIND("//",B427,1)+1,0),"")&amp;"/",1),LEN(B427),""),"www.","",1)</f>
        <v>mare-tischlerei.de</v>
      </c>
      <c r="D427" s="13">
        <f>COUNTIF($C$2:$C$801,C427)</f>
        <v>1</v>
      </c>
      <c r="E427" s="10" t="s">
        <v>28</v>
      </c>
      <c r="F427" s="14" t="s">
        <v>729</v>
      </c>
      <c r="G427" s="32" t="s">
        <v>4</v>
      </c>
      <c r="H427" s="31" t="s">
        <v>1084</v>
      </c>
      <c r="I427" s="10"/>
    </row>
    <row r="428" spans="1:9" ht="23" customHeight="1" x14ac:dyDescent="0.15">
      <c r="A428" s="4" t="s">
        <v>28</v>
      </c>
      <c r="B428" s="6" t="s">
        <v>294</v>
      </c>
      <c r="C428" s="13" t="str">
        <f>SUBSTITUTE(REPLACE(REPLACE(B428,1,IFERROR(FIND("//",B428,1)+1,0),"")&amp;"/",FIND("/",REPLACE(B428,1,IFERROR(FIND("//",B428,1)+1,0),"")&amp;"/",1),LEN(B428),""),"www.","",1)</f>
        <v>markaelrod.net</v>
      </c>
      <c r="D428" s="13">
        <f>COUNTIF($C$2:$C$801,C428)</f>
        <v>1</v>
      </c>
      <c r="E428" s="10" t="s">
        <v>295</v>
      </c>
      <c r="F428" s="4" t="s">
        <v>730</v>
      </c>
      <c r="G428" s="31" t="s">
        <v>5</v>
      </c>
      <c r="H428" s="31" t="s">
        <v>965</v>
      </c>
      <c r="I428" s="10" t="s">
        <v>981</v>
      </c>
    </row>
    <row r="429" spans="1:9" ht="23" customHeight="1" x14ac:dyDescent="0.15">
      <c r="A429" s="4" t="s">
        <v>28</v>
      </c>
      <c r="B429" s="6" t="s">
        <v>350</v>
      </c>
      <c r="C429" s="13" t="str">
        <f>SUBSTITUTE(REPLACE(REPLACE(B429,1,IFERROR(FIND("//",B429,1)+1,0),"")&amp;"/",FIND("/",REPLACE(B429,1,IFERROR(FIND("//",B429,1)+1,0),"")&amp;"/",1),LEN(B429),""),"www.","",1)</f>
        <v>mb-mw.de</v>
      </c>
      <c r="D429" s="13">
        <f>COUNTIF($C$2:$C$801,C429)</f>
        <v>1</v>
      </c>
      <c r="E429" s="10" t="s">
        <v>237</v>
      </c>
      <c r="F429" s="4" t="s">
        <v>729</v>
      </c>
      <c r="G429" s="31" t="s">
        <v>4</v>
      </c>
      <c r="H429" s="31" t="s">
        <v>965</v>
      </c>
      <c r="I429" s="10" t="s">
        <v>977</v>
      </c>
    </row>
    <row r="430" spans="1:9" ht="23" customHeight="1" x14ac:dyDescent="0.15">
      <c r="A430" s="4" t="s">
        <v>28</v>
      </c>
      <c r="B430" s="6" t="s">
        <v>1049</v>
      </c>
      <c r="C430" s="13" t="str">
        <f>SUBSTITUTE(REPLACE(REPLACE(B430,1,IFERROR(FIND("//",B430,1)+1,0),"")&amp;"/",FIND("/",REPLACE(B430,1,IFERROR(FIND("//",B430,1)+1,0),"")&amp;"/",1),LEN(B430),""),"www.","",1)</f>
        <v>mclead-chris-1951.web.app</v>
      </c>
      <c r="D430" s="13">
        <f>COUNTIF($C$2:$C$801,C430)</f>
        <v>1</v>
      </c>
      <c r="E430" s="10" t="s">
        <v>1082</v>
      </c>
      <c r="F430" s="4" t="s">
        <v>730</v>
      </c>
      <c r="G430" s="31" t="s">
        <v>6</v>
      </c>
      <c r="H430" s="31" t="s">
        <v>1084</v>
      </c>
      <c r="I430" s="10"/>
    </row>
    <row r="431" spans="1:9" ht="23" customHeight="1" x14ac:dyDescent="0.15">
      <c r="A431" s="4" t="s">
        <v>28</v>
      </c>
      <c r="B431" s="6" t="s">
        <v>252</v>
      </c>
      <c r="C431" s="35" t="str">
        <f>SUBSTITUTE(REPLACE(REPLACE(B431,1,IFERROR(FIND("//",B431,1)+1,0),"")&amp;"/",FIND("/",REPLACE(B431,1,IFERROR(FIND("//",B431,1)+1,0),"")&amp;"/",1),LEN(B431),""),"www.","",1)</f>
        <v>md-mag.com</v>
      </c>
      <c r="D431" s="13">
        <f>COUNTIF($C$2:$C$801,C431)</f>
        <v>1</v>
      </c>
      <c r="E431" s="10" t="s">
        <v>241</v>
      </c>
      <c r="F431" s="4" t="s">
        <v>737</v>
      </c>
      <c r="G431" s="31" t="s">
        <v>4</v>
      </c>
      <c r="H431" s="31" t="s">
        <v>965</v>
      </c>
      <c r="I431" s="10" t="s">
        <v>977</v>
      </c>
    </row>
    <row r="432" spans="1:9" ht="23" customHeight="1" x14ac:dyDescent="0.15">
      <c r="A432" s="4" t="s">
        <v>28</v>
      </c>
      <c r="B432" s="6" t="s">
        <v>437</v>
      </c>
      <c r="C432" s="13" t="str">
        <f>SUBSTITUTE(REPLACE(REPLACE(B432,1,IFERROR(FIND("//",B432,1)+1,0),"")&amp;"/",FIND("/",REPLACE(B432,1,IFERROR(FIND("//",B432,1)+1,0),"")&amp;"/",1),LEN(B432),""),"www.","",1)</f>
        <v>mdczim.net</v>
      </c>
      <c r="D432" s="13">
        <f>COUNTIF($C$2:$C$801,C432)</f>
        <v>1</v>
      </c>
      <c r="E432" s="10" t="s">
        <v>438</v>
      </c>
      <c r="F432" s="4" t="s">
        <v>730</v>
      </c>
      <c r="G432" s="31" t="s">
        <v>5</v>
      </c>
      <c r="H432" s="31" t="s">
        <v>965</v>
      </c>
      <c r="I432" s="10" t="s">
        <v>981</v>
      </c>
    </row>
    <row r="433" spans="1:9" ht="23" customHeight="1" x14ac:dyDescent="0.15">
      <c r="A433" s="4" t="s">
        <v>28</v>
      </c>
      <c r="B433" s="6" t="s">
        <v>159</v>
      </c>
      <c r="C433" s="13" t="str">
        <f>SUBSTITUTE(REPLACE(REPLACE(B433,1,IFERROR(FIND("//",B433,1)+1,0),"")&amp;"/",FIND("/",REPLACE(B433,1,IFERROR(FIND("//",B433,1)+1,0),"")&amp;"/",1),LEN(B433),""),"www.","",1)</f>
        <v>medienpower.de</v>
      </c>
      <c r="D433" s="13">
        <f>COUNTIF($C$2:$C$801,C433)</f>
        <v>1</v>
      </c>
      <c r="E433" s="10"/>
      <c r="F433" s="4" t="s">
        <v>13</v>
      </c>
      <c r="G433" s="31" t="s">
        <v>4</v>
      </c>
      <c r="H433" s="31" t="s">
        <v>965</v>
      </c>
      <c r="I433" s="10" t="s">
        <v>977</v>
      </c>
    </row>
    <row r="434" spans="1:9" ht="23" customHeight="1" x14ac:dyDescent="0.15">
      <c r="A434" s="4" t="s">
        <v>28</v>
      </c>
      <c r="B434" s="6" t="s">
        <v>856</v>
      </c>
      <c r="C434" s="13" t="str">
        <f>SUBSTITUTE(REPLACE(REPLACE(B434,1,IFERROR(FIND("//",B434,1)+1,0),"")&amp;"/",FIND("/",REPLACE(B434,1,IFERROR(FIND("//",B434,1)+1,0),"")&amp;"/",1),LEN(B434),""),"www.","",1)</f>
        <v>melanieharrold.com</v>
      </c>
      <c r="D434" s="13">
        <f>COUNTIF($C$2:$C$801,C434)</f>
        <v>1</v>
      </c>
      <c r="E434" s="10" t="s">
        <v>925</v>
      </c>
      <c r="F434" s="4" t="s">
        <v>730</v>
      </c>
      <c r="G434" s="31" t="s">
        <v>5</v>
      </c>
      <c r="H434" s="31" t="s">
        <v>965</v>
      </c>
      <c r="I434" s="10" t="s">
        <v>981</v>
      </c>
    </row>
    <row r="435" spans="1:9" ht="23" customHeight="1" x14ac:dyDescent="0.15">
      <c r="A435" s="4" t="s">
        <v>28</v>
      </c>
      <c r="B435" s="6" t="s">
        <v>165</v>
      </c>
      <c r="C435" s="13" t="str">
        <f>SUBSTITUTE(REPLACE(REPLACE(B435,1,IFERROR(FIND("//",B435,1)+1,0),"")&amp;"/",FIND("/",REPLACE(B435,1,IFERROR(FIND("//",B435,1)+1,0),"")&amp;"/",1),LEN(B435),""),"www.","",1)</f>
        <v>menschundbuero.de</v>
      </c>
      <c r="D435" s="13">
        <f>COUNTIF($C$2:$C$801,C435)</f>
        <v>1</v>
      </c>
      <c r="E435" s="10" t="s">
        <v>246</v>
      </c>
      <c r="F435" s="4"/>
      <c r="G435" s="31" t="s">
        <v>5</v>
      </c>
      <c r="H435" s="31" t="s">
        <v>965</v>
      </c>
      <c r="I435" s="10" t="s">
        <v>981</v>
      </c>
    </row>
    <row r="436" spans="1:9" ht="23" customHeight="1" x14ac:dyDescent="0.15">
      <c r="A436" s="4" t="s">
        <v>28</v>
      </c>
      <c r="B436" s="6" t="s">
        <v>991</v>
      </c>
      <c r="C436" s="35" t="str">
        <f>SUBSTITUTE(REPLACE(REPLACE(B436,1,IFERROR(FIND("//",B436,1)+1,0),"")&amp;"/",FIND("/",REPLACE(B436,1,IFERROR(FIND("//",B436,1)+1,0),"")&amp;"/",1),LEN(B436),""),"www.","",1)</f>
        <v>menshealth.de</v>
      </c>
      <c r="D436" s="13">
        <f>COUNTIF($C$2:$C$801,C436)</f>
        <v>1</v>
      </c>
      <c r="E436" s="10" t="s">
        <v>1065</v>
      </c>
      <c r="F436" s="4" t="s">
        <v>732</v>
      </c>
      <c r="G436" s="31" t="s">
        <v>4</v>
      </c>
      <c r="H436" s="31" t="s">
        <v>1084</v>
      </c>
      <c r="I436" s="10"/>
    </row>
    <row r="437" spans="1:9" ht="23" customHeight="1" x14ac:dyDescent="0.15">
      <c r="A437" s="4" t="s">
        <v>28</v>
      </c>
      <c r="B437" s="6" t="s">
        <v>865</v>
      </c>
      <c r="C437" s="13" t="str">
        <f>SUBSTITUTE(REPLACE(REPLACE(B437,1,IFERROR(FIND("//",B437,1)+1,0),"")&amp;"/",FIND("/",REPLACE(B437,1,IFERROR(FIND("//",B437,1)+1,0),"")&amp;"/",1),LEN(B437),""),"www.","",1)</f>
        <v>meraswasthyameriaawaz.org</v>
      </c>
      <c r="D437" s="13">
        <f>COUNTIF($C$2:$C$801,C437)</f>
        <v>1</v>
      </c>
      <c r="E437" s="10" t="s">
        <v>923</v>
      </c>
      <c r="F437" s="4" t="s">
        <v>730</v>
      </c>
      <c r="G437" s="31" t="s">
        <v>6</v>
      </c>
      <c r="H437" s="31" t="s">
        <v>967</v>
      </c>
      <c r="I437" s="10" t="s">
        <v>979</v>
      </c>
    </row>
    <row r="438" spans="1:9" ht="23" customHeight="1" x14ac:dyDescent="0.15">
      <c r="A438" s="4" t="s">
        <v>28</v>
      </c>
      <c r="B438" s="6" t="s">
        <v>623</v>
      </c>
      <c r="C438" s="13" t="str">
        <f>SUBSTITUTE(REPLACE(REPLACE(B438,1,IFERROR(FIND("//",B438,1)+1,0),"")&amp;"/",FIND("/",REPLACE(B438,1,IFERROR(FIND("//",B438,1)+1,0),"")&amp;"/",1),LEN(B438),""),"www.","",1)</f>
        <v>meridianunplugged.com</v>
      </c>
      <c r="D438" s="13">
        <f>COUNTIF($C$2:$C$801,C438)</f>
        <v>1</v>
      </c>
      <c r="E438" s="10" t="s">
        <v>624</v>
      </c>
      <c r="F438" s="4"/>
      <c r="G438" s="31" t="s">
        <v>5</v>
      </c>
      <c r="H438" s="31" t="s">
        <v>965</v>
      </c>
      <c r="I438" s="10" t="s">
        <v>981</v>
      </c>
    </row>
    <row r="439" spans="1:9" ht="23" customHeight="1" x14ac:dyDescent="0.15">
      <c r="A439" s="4" t="s">
        <v>28</v>
      </c>
      <c r="B439" s="6" t="s">
        <v>1048</v>
      </c>
      <c r="C439" s="13" t="str">
        <f>SUBSTITUTE(REPLACE(REPLACE(B439,1,IFERROR(FIND("//",B439,1)+1,0),"")&amp;"/",FIND("/",REPLACE(B439,1,IFERROR(FIND("//",B439,1)+1,0),"")&amp;"/",1),LEN(B439),""),"www.","",1)</f>
        <v>meshokpeska.pics</v>
      </c>
      <c r="D439" s="13">
        <f>COUNTIF($C$2:$C$801,C439)</f>
        <v>1</v>
      </c>
      <c r="E439" s="10" t="s">
        <v>1068</v>
      </c>
      <c r="F439" s="14" t="s">
        <v>729</v>
      </c>
      <c r="G439" s="32" t="s">
        <v>4</v>
      </c>
      <c r="H439" s="31" t="s">
        <v>1084</v>
      </c>
      <c r="I439" s="10"/>
    </row>
    <row r="440" spans="1:9" ht="23" customHeight="1" x14ac:dyDescent="0.15">
      <c r="A440" s="4" t="s">
        <v>28</v>
      </c>
      <c r="B440" s="6" t="s">
        <v>1047</v>
      </c>
      <c r="C440" s="13" t="str">
        <f>SUBSTITUTE(REPLACE(REPLACE(B440,1,IFERROR(FIND("//",B440,1)+1,0),"")&amp;"/",FIND("/",REPLACE(B440,1,IFERROR(FIND("//",B440,1)+1,0),"")&amp;"/",1),LEN(B440),""),"www.","",1)</f>
        <v>minden-online.de</v>
      </c>
      <c r="D440" s="13">
        <f>COUNTIF($C$2:$C$801,C440)</f>
        <v>1</v>
      </c>
      <c r="E440" s="10" t="s">
        <v>237</v>
      </c>
      <c r="F440" s="4" t="s">
        <v>25</v>
      </c>
      <c r="G440" s="31" t="s">
        <v>4</v>
      </c>
      <c r="H440" s="31" t="s">
        <v>1084</v>
      </c>
      <c r="I440" s="10"/>
    </row>
    <row r="441" spans="1:9" ht="23" customHeight="1" x14ac:dyDescent="0.15">
      <c r="A441" s="4" t="s">
        <v>28</v>
      </c>
      <c r="B441" s="6" t="s">
        <v>35</v>
      </c>
      <c r="C441" s="13" t="str">
        <f>SUBSTITUTE(REPLACE(REPLACE(B441,1,IFERROR(FIND("//",B441,1)+1,0),"")&amp;"/",FIND("/",REPLACE(B441,1,IFERROR(FIND("//",B441,1)+1,0),"")&amp;"/",1),LEN(B441),""),"www.","",1)</f>
        <v>mittelstand-ostwestfalen.de</v>
      </c>
      <c r="D441" s="13">
        <f>COUNTIF($C$2:$C$801,C441)</f>
        <v>1</v>
      </c>
      <c r="E441" s="10" t="s">
        <v>12</v>
      </c>
      <c r="F441" s="4" t="s">
        <v>25</v>
      </c>
      <c r="G441" s="31" t="s">
        <v>5</v>
      </c>
      <c r="H441" s="31" t="s">
        <v>965</v>
      </c>
      <c r="I441" s="10" t="s">
        <v>981</v>
      </c>
    </row>
    <row r="442" spans="1:9" ht="23" customHeight="1" x14ac:dyDescent="0.15">
      <c r="A442" s="4" t="s">
        <v>28</v>
      </c>
      <c r="B442" s="6" t="s">
        <v>198</v>
      </c>
      <c r="C442" s="13" t="str">
        <f>SUBSTITUTE(REPLACE(REPLACE(B442,1,IFERROR(FIND("//",B442,1)+1,0),"")&amp;"/",FIND("/",REPLACE(B442,1,IFERROR(FIND("//",B442,1)+1,0),"")&amp;"/",1),LEN(B442),""),"www.","",1)</f>
        <v>mkelbassa-buero-objekt.com</v>
      </c>
      <c r="D442" s="13">
        <f>COUNTIF($C$2:$C$801,C442)</f>
        <v>1</v>
      </c>
      <c r="E442" s="10" t="s">
        <v>14</v>
      </c>
      <c r="F442" s="4" t="s">
        <v>729</v>
      </c>
      <c r="G442" s="31" t="s">
        <v>4</v>
      </c>
      <c r="H442" s="31" t="s">
        <v>965</v>
      </c>
      <c r="I442" s="10" t="s">
        <v>977</v>
      </c>
    </row>
    <row r="443" spans="1:9" ht="23" customHeight="1" x14ac:dyDescent="0.15">
      <c r="A443" s="4" t="s">
        <v>28</v>
      </c>
      <c r="B443" s="6" t="s">
        <v>439</v>
      </c>
      <c r="C443" s="13" t="str">
        <f>SUBSTITUTE(REPLACE(REPLACE(B443,1,IFERROR(FIND("//",B443,1)+1,0),"")&amp;"/",FIND("/",REPLACE(B443,1,IFERROR(FIND("//",B443,1)+1,0),"")&amp;"/",1),LEN(B443),""),"www.","",1)</f>
        <v>mobilewednesday.info</v>
      </c>
      <c r="D443" s="13">
        <f>COUNTIF($C$2:$C$801,C443)</f>
        <v>1</v>
      </c>
      <c r="E443" s="10" t="s">
        <v>440</v>
      </c>
      <c r="F443" s="4" t="s">
        <v>730</v>
      </c>
      <c r="G443" s="31" t="s">
        <v>5</v>
      </c>
      <c r="H443" s="31" t="s">
        <v>965</v>
      </c>
      <c r="I443" s="10" t="s">
        <v>981</v>
      </c>
    </row>
    <row r="444" spans="1:9" ht="23" customHeight="1" x14ac:dyDescent="0.15">
      <c r="A444" s="4" t="s">
        <v>28</v>
      </c>
      <c r="B444" s="6" t="s">
        <v>40</v>
      </c>
      <c r="C444" s="13" t="str">
        <f>SUBSTITUTE(REPLACE(REPLACE(B444,1,IFERROR(FIND("//",B444,1)+1,0),"")&amp;"/",FIND("/",REPLACE(B444,1,IFERROR(FIND("//",B444,1)+1,0),"")&amp;"/",1),LEN(B444),""),"www.","",1)</f>
        <v>moderne-buerowelten.de</v>
      </c>
      <c r="D444" s="13">
        <f>COUNTIF($C$2:$C$801,C444)</f>
        <v>1</v>
      </c>
      <c r="E444" s="10" t="s">
        <v>539</v>
      </c>
      <c r="F444" s="4" t="s">
        <v>729</v>
      </c>
      <c r="G444" s="31" t="s">
        <v>4</v>
      </c>
      <c r="H444" s="31" t="s">
        <v>965</v>
      </c>
      <c r="I444" s="10" t="s">
        <v>977</v>
      </c>
    </row>
    <row r="445" spans="1:9" ht="23" customHeight="1" x14ac:dyDescent="0.15">
      <c r="A445" s="4" t="s">
        <v>28</v>
      </c>
      <c r="B445" s="6" t="s">
        <v>228</v>
      </c>
      <c r="C445" s="13" t="str">
        <f>SUBSTITUTE(REPLACE(REPLACE(B445,1,IFERROR(FIND("//",B445,1)+1,0),"")&amp;"/",FIND("/",REPLACE(B445,1,IFERROR(FIND("//",B445,1)+1,0),"")&amp;"/",1),LEN(B445),""),"www.","",1)</f>
        <v>moebel-forum.com</v>
      </c>
      <c r="D445" s="13">
        <f>COUNTIF($C$2:$C$801,C445)</f>
        <v>1</v>
      </c>
      <c r="E445" s="10" t="s">
        <v>11</v>
      </c>
      <c r="F445" s="4"/>
      <c r="G445" s="31" t="s">
        <v>5</v>
      </c>
      <c r="H445" s="31" t="s">
        <v>965</v>
      </c>
      <c r="I445" s="10" t="s">
        <v>981</v>
      </c>
    </row>
    <row r="446" spans="1:9" ht="23" customHeight="1" x14ac:dyDescent="0.15">
      <c r="A446" s="4" t="s">
        <v>28</v>
      </c>
      <c r="B446" s="6" t="s">
        <v>615</v>
      </c>
      <c r="C446" s="13" t="str">
        <f>SUBSTITUTE(REPLACE(REPLACE(B446,1,IFERROR(FIND("//",B446,1)+1,0),"")&amp;"/",FIND("/",REPLACE(B446,1,IFERROR(FIND("//",B446,1)+1,0),"")&amp;"/",1),LEN(B446),""),"www.","",1)</f>
        <v>moebel-gollrad.de</v>
      </c>
      <c r="D446" s="13">
        <f>COUNTIF($C$2:$C$801,C446)</f>
        <v>1</v>
      </c>
      <c r="E446" s="10" t="s">
        <v>28</v>
      </c>
      <c r="F446" s="4" t="s">
        <v>729</v>
      </c>
      <c r="G446" s="31" t="s">
        <v>4</v>
      </c>
      <c r="H446" s="31" t="s">
        <v>965</v>
      </c>
      <c r="I446" s="10" t="s">
        <v>977</v>
      </c>
    </row>
    <row r="447" spans="1:9" ht="23" customHeight="1" x14ac:dyDescent="0.15">
      <c r="A447" s="4" t="s">
        <v>28</v>
      </c>
      <c r="B447" s="6" t="s">
        <v>846</v>
      </c>
      <c r="C447" s="13" t="str">
        <f>SUBSTITUTE(REPLACE(REPLACE(B447,1,IFERROR(FIND("//",B447,1)+1,0),"")&amp;"/",FIND("/",REPLACE(B447,1,IFERROR(FIND("//",B447,1)+1,0),"")&amp;"/",1),LEN(B447),""),"www.","",1)</f>
        <v>moebelhaus-moebel.com</v>
      </c>
      <c r="D447" s="13">
        <f>COUNTIF($C$2:$C$801,C447)</f>
        <v>1</v>
      </c>
      <c r="E447" s="10" t="s">
        <v>237</v>
      </c>
      <c r="F447" s="4" t="s">
        <v>25</v>
      </c>
      <c r="G447" s="31" t="s">
        <v>5</v>
      </c>
      <c r="H447" s="31" t="s">
        <v>964</v>
      </c>
      <c r="I447" s="29" t="s">
        <v>965</v>
      </c>
    </row>
    <row r="448" spans="1:9" ht="23" customHeight="1" x14ac:dyDescent="0.15">
      <c r="A448" s="4" t="s">
        <v>28</v>
      </c>
      <c r="B448" s="6" t="s">
        <v>180</v>
      </c>
      <c r="C448" s="13" t="str">
        <f>SUBSTITUTE(REPLACE(REPLACE(B448,1,IFERROR(FIND("//",B448,1)+1,0),"")&amp;"/",FIND("/",REPLACE(B448,1,IFERROR(FIND("//",B448,1)+1,0),"")&amp;"/",1),LEN(B448),""),"www.","",1)</f>
        <v>moebelkultur.de</v>
      </c>
      <c r="D448" s="13">
        <f>COUNTIF($C$2:$C$801,C448)</f>
        <v>1</v>
      </c>
      <c r="E448" s="10" t="s">
        <v>246</v>
      </c>
      <c r="F448" s="4"/>
      <c r="G448" s="31" t="s">
        <v>5</v>
      </c>
      <c r="H448" s="31" t="s">
        <v>965</v>
      </c>
      <c r="I448" s="10" t="s">
        <v>981</v>
      </c>
    </row>
    <row r="449" spans="1:9" ht="23" customHeight="1" x14ac:dyDescent="0.15">
      <c r="A449" s="4" t="s">
        <v>28</v>
      </c>
      <c r="B449" s="6" t="s">
        <v>566</v>
      </c>
      <c r="C449" s="13" t="str">
        <f>SUBSTITUTE(REPLACE(REPLACE(B449,1,IFERROR(FIND("//",B449,1)+1,0),"")&amp;"/",FIND("/",REPLACE(B449,1,IFERROR(FIND("//",B449,1)+1,0),"")&amp;"/",1),LEN(B449),""),"www.","",1)</f>
        <v>more-wolf.de</v>
      </c>
      <c r="D449" s="13">
        <f>COUNTIF($C$2:$C$801,C449)</f>
        <v>1</v>
      </c>
      <c r="E449" s="10"/>
      <c r="F449" s="4" t="s">
        <v>729</v>
      </c>
      <c r="G449" s="31" t="s">
        <v>4</v>
      </c>
      <c r="H449" s="31" t="s">
        <v>965</v>
      </c>
      <c r="I449" s="10" t="s">
        <v>977</v>
      </c>
    </row>
    <row r="450" spans="1:9" ht="23" customHeight="1" x14ac:dyDescent="0.15">
      <c r="A450" s="4" t="s">
        <v>28</v>
      </c>
      <c r="B450" s="6" t="s">
        <v>115</v>
      </c>
      <c r="C450" s="13" t="str">
        <f>SUBSTITUTE(REPLACE(REPLACE(B450,1,IFERROR(FIND("//",B450,1)+1,0),"")&amp;"/",FIND("/",REPLACE(B450,1,IFERROR(FIND("//",B450,1)+1,0),"")&amp;"/",1),LEN(B450),""),"www.","",1)</f>
        <v>msl-group.de</v>
      </c>
      <c r="D450" s="13">
        <f>COUNTIF($C$2:$C$801,C450)</f>
        <v>1</v>
      </c>
      <c r="E450" s="10"/>
      <c r="F450" s="4" t="s">
        <v>729</v>
      </c>
      <c r="G450" s="31" t="s">
        <v>5</v>
      </c>
      <c r="H450" s="31" t="s">
        <v>965</v>
      </c>
      <c r="I450" s="10" t="s">
        <v>981</v>
      </c>
    </row>
    <row r="451" spans="1:9" ht="23" customHeight="1" x14ac:dyDescent="0.15">
      <c r="A451" s="4" t="s">
        <v>28</v>
      </c>
      <c r="B451" s="6" t="s">
        <v>71</v>
      </c>
      <c r="C451" s="13" t="str">
        <f>SUBSTITUTE(REPLACE(REPLACE(B451,1,IFERROR(FIND("//",B451,1)+1,0),"")&amp;"/",FIND("/",REPLACE(B451,1,IFERROR(FIND("//",B451,1)+1,0),"")&amp;"/",1),LEN(B451),""),"www.","",1)</f>
        <v>msl-office.de</v>
      </c>
      <c r="D451" s="13">
        <f>COUNTIF($C$2:$C$801,C451)</f>
        <v>1</v>
      </c>
      <c r="E451" s="10" t="s">
        <v>693</v>
      </c>
      <c r="F451" s="4" t="s">
        <v>729</v>
      </c>
      <c r="G451" s="31" t="s">
        <v>4</v>
      </c>
      <c r="H451" s="31" t="s">
        <v>965</v>
      </c>
      <c r="I451" s="10" t="s">
        <v>977</v>
      </c>
    </row>
    <row r="452" spans="1:9" ht="23" customHeight="1" x14ac:dyDescent="0.15">
      <c r="A452" s="4" t="s">
        <v>28</v>
      </c>
      <c r="B452" s="6" t="s">
        <v>21</v>
      </c>
      <c r="C452" s="13" t="str">
        <f>SUBSTITUTE(REPLACE(REPLACE(B452,1,IFERROR(FIND("//",B452,1)+1,0),"")&amp;"/",FIND("/",REPLACE(B452,1,IFERROR(FIND("//",B452,1)+1,0),"")&amp;"/",1),LEN(B452),""),"www.","",1)</f>
        <v>muehlmann-online.com</v>
      </c>
      <c r="D452" s="13">
        <f>COUNTIF($C$2:$C$801,C452)</f>
        <v>1</v>
      </c>
      <c r="E452" s="10" t="s">
        <v>582</v>
      </c>
      <c r="F452" s="4" t="s">
        <v>729</v>
      </c>
      <c r="G452" s="31" t="s">
        <v>4</v>
      </c>
      <c r="H452" s="31" t="s">
        <v>965</v>
      </c>
      <c r="I452" s="10" t="s">
        <v>977</v>
      </c>
    </row>
    <row r="453" spans="1:9" ht="23" customHeight="1" x14ac:dyDescent="0.15">
      <c r="A453" s="4" t="s">
        <v>28</v>
      </c>
      <c r="B453" s="6" t="s">
        <v>884</v>
      </c>
      <c r="C453" s="13" t="str">
        <f>SUBSTITUTE(REPLACE(REPLACE(B453,1,IFERROR(FIND("//",B453,1)+1,0),"")&amp;"/",FIND("/",REPLACE(B453,1,IFERROR(FIND("//",B453,1)+1,0),"")&amp;"/",1),LEN(B453),""),"www.","",1)</f>
        <v>muehlmann-online.de</v>
      </c>
      <c r="D453" s="13">
        <f>COUNTIF($C$2:$C$801,C453)</f>
        <v>1</v>
      </c>
      <c r="E453" s="10" t="s">
        <v>929</v>
      </c>
      <c r="F453" s="4" t="s">
        <v>729</v>
      </c>
      <c r="G453" s="31" t="s">
        <v>4</v>
      </c>
      <c r="H453" s="31" t="s">
        <v>965</v>
      </c>
      <c r="I453" s="10" t="s">
        <v>977</v>
      </c>
    </row>
    <row r="454" spans="1:9" ht="23" customHeight="1" x14ac:dyDescent="0.15">
      <c r="A454" s="4" t="s">
        <v>28</v>
      </c>
      <c r="B454" s="6" t="s">
        <v>369</v>
      </c>
      <c r="C454" s="13" t="str">
        <f>SUBSTITUTE(REPLACE(REPLACE(B454,1,IFERROR(FIND("//",B454,1)+1,0),"")&amp;"/",FIND("/",REPLACE(B454,1,IFERROR(FIND("//",B454,1)+1,0),"")&amp;"/",1),LEN(B454),""),"www.","",1)</f>
        <v>mwbueroplanung.de</v>
      </c>
      <c r="D454" s="13">
        <f>COUNTIF($C$2:$C$801,C454)</f>
        <v>1</v>
      </c>
      <c r="E454" s="10" t="s">
        <v>241</v>
      </c>
      <c r="F454" s="4" t="s">
        <v>729</v>
      </c>
      <c r="G454" s="31" t="s">
        <v>4</v>
      </c>
      <c r="H454" s="31" t="s">
        <v>965</v>
      </c>
      <c r="I454" s="10" t="s">
        <v>977</v>
      </c>
    </row>
    <row r="455" spans="1:9" ht="23" customHeight="1" x14ac:dyDescent="0.15">
      <c r="A455" s="4" t="s">
        <v>28</v>
      </c>
      <c r="B455" s="6" t="s">
        <v>1046</v>
      </c>
      <c r="C455" s="13" t="str">
        <f>SUBSTITUTE(REPLACE(REPLACE(B455,1,IFERROR(FIND("//",B455,1)+1,0),"")&amp;"/",FIND("/",REPLACE(B455,1,IFERROR(FIND("//",B455,1)+1,0),"")&amp;"/",1),LEN(B455),""),"www.","",1)</f>
        <v>mybios.me</v>
      </c>
      <c r="D455" s="13">
        <f>COUNTIF($C$2:$C$801,C455)</f>
        <v>1</v>
      </c>
      <c r="E455" s="10" t="s">
        <v>1081</v>
      </c>
      <c r="F455" s="4" t="s">
        <v>730</v>
      </c>
      <c r="G455" s="31" t="s">
        <v>6</v>
      </c>
      <c r="H455" s="31" t="s">
        <v>1084</v>
      </c>
      <c r="I455" s="10"/>
    </row>
    <row r="456" spans="1:9" ht="23" customHeight="1" x14ac:dyDescent="0.15">
      <c r="A456" s="4" t="s">
        <v>28</v>
      </c>
      <c r="B456" s="6" t="s">
        <v>497</v>
      </c>
      <c r="C456" s="13" t="str">
        <f>SUBSTITUTE(REPLACE(REPLACE(B456,1,IFERROR(FIND("//",B456,1)+1,0),"")&amp;"/",FIND("/",REPLACE(B456,1,IFERROR(FIND("//",B456,1)+1,0),"")&amp;"/",1),LEN(B456),""),"www.","",1)</f>
        <v>mylius-web.de</v>
      </c>
      <c r="D456" s="13">
        <f>COUNTIF($C$2:$C$801,C456)</f>
        <v>1</v>
      </c>
      <c r="E456" s="10"/>
      <c r="F456" s="4"/>
      <c r="G456" s="31" t="s">
        <v>4</v>
      </c>
      <c r="H456" s="31" t="s">
        <v>965</v>
      </c>
      <c r="I456" s="10" t="s">
        <v>977</v>
      </c>
    </row>
    <row r="457" spans="1:9" ht="23" customHeight="1" x14ac:dyDescent="0.15">
      <c r="A457" s="4" t="s">
        <v>28</v>
      </c>
      <c r="B457" s="6" t="s">
        <v>617</v>
      </c>
      <c r="C457" s="13" t="str">
        <f>SUBSTITUTE(REPLACE(REPLACE(B457,1,IFERROR(FIND("//",B457,1)+1,0),"")&amp;"/",FIND("/",REPLACE(B457,1,IFERROR(FIND("//",B457,1)+1,0),"")&amp;"/",1),LEN(B457),""),"www.","",1)</f>
        <v>namenfinden.de</v>
      </c>
      <c r="D457" s="13">
        <f>COUNTIF($C$2:$C$801,C457)</f>
        <v>1</v>
      </c>
      <c r="E457" s="10" t="s">
        <v>618</v>
      </c>
      <c r="F457" s="4" t="s">
        <v>25</v>
      </c>
      <c r="G457" s="31" t="s">
        <v>5</v>
      </c>
      <c r="H457" s="31" t="s">
        <v>965</v>
      </c>
      <c r="I457" s="10" t="s">
        <v>981</v>
      </c>
    </row>
    <row r="458" spans="1:9" ht="23" customHeight="1" x14ac:dyDescent="0.15">
      <c r="A458" s="4" t="s">
        <v>28</v>
      </c>
      <c r="B458" s="6" t="s">
        <v>441</v>
      </c>
      <c r="C458" s="13" t="str">
        <f>SUBSTITUTE(REPLACE(REPLACE(B458,1,IFERROR(FIND("//",B458,1)+1,0),"")&amp;"/",FIND("/",REPLACE(B458,1,IFERROR(FIND("//",B458,1)+1,0),"")&amp;"/",1),LEN(B458),""),"www.","",1)</f>
        <v>nattermann-buero.de</v>
      </c>
      <c r="D458" s="13">
        <f>COUNTIF($C$2:$C$801,C458)</f>
        <v>1</v>
      </c>
      <c r="E458" s="10" t="s">
        <v>539</v>
      </c>
      <c r="F458" s="4" t="s">
        <v>729</v>
      </c>
      <c r="G458" s="31" t="s">
        <v>4</v>
      </c>
      <c r="H458" s="31" t="s">
        <v>965</v>
      </c>
      <c r="I458" s="10" t="s">
        <v>977</v>
      </c>
    </row>
    <row r="459" spans="1:9" ht="23" customHeight="1" x14ac:dyDescent="0.15">
      <c r="A459" s="4" t="s">
        <v>28</v>
      </c>
      <c r="B459" s="6" t="s">
        <v>569</v>
      </c>
      <c r="C459" s="13" t="str">
        <f>SUBSTITUTE(REPLACE(REPLACE(B459,1,IFERROR(FIND("//",B459,1)+1,0),"")&amp;"/",FIND("/",REPLACE(B459,1,IFERROR(FIND("//",B459,1)+1,0),"")&amp;"/",1),LEN(B459),""),"www.","",1)</f>
        <v>nette30.de</v>
      </c>
      <c r="D459" s="13">
        <f>COUNTIF($C$2:$C$801,C459)</f>
        <v>1</v>
      </c>
      <c r="E459" s="10" t="s">
        <v>570</v>
      </c>
      <c r="F459" s="4" t="s">
        <v>729</v>
      </c>
      <c r="G459" s="31" t="s">
        <v>4</v>
      </c>
      <c r="H459" s="31" t="s">
        <v>965</v>
      </c>
      <c r="I459" s="10" t="s">
        <v>977</v>
      </c>
    </row>
    <row r="460" spans="1:9" ht="23" customHeight="1" x14ac:dyDescent="0.15">
      <c r="A460" s="4" t="s">
        <v>28</v>
      </c>
      <c r="B460" s="6" t="s">
        <v>373</v>
      </c>
      <c r="C460" s="13" t="str">
        <f>SUBSTITUTE(REPLACE(REPLACE(B460,1,IFERROR(FIND("//",B460,1)+1,0),"")&amp;"/",FIND("/",REPLACE(B460,1,IFERROR(FIND("//",B460,1)+1,0),"")&amp;"/",1),LEN(B460),""),"www.","",1)</f>
        <v>neuebuerowelten.de</v>
      </c>
      <c r="D460" s="13">
        <f>COUNTIF($C$2:$C$801,C460)</f>
        <v>1</v>
      </c>
      <c r="E460" s="10" t="s">
        <v>241</v>
      </c>
      <c r="F460" s="4" t="s">
        <v>729</v>
      </c>
      <c r="G460" s="31" t="s">
        <v>5</v>
      </c>
      <c r="H460" s="31" t="s">
        <v>965</v>
      </c>
      <c r="I460" s="10" t="s">
        <v>981</v>
      </c>
    </row>
    <row r="461" spans="1:9" ht="23" customHeight="1" x14ac:dyDescent="0.15">
      <c r="A461" s="4" t="s">
        <v>28</v>
      </c>
      <c r="B461" s="6" t="s">
        <v>571</v>
      </c>
      <c r="C461" s="13" t="str">
        <f>SUBSTITUTE(REPLACE(REPLACE(B461,1,IFERROR(FIND("//",B461,1)+1,0),"")&amp;"/",FIND("/",REPLACE(B461,1,IFERROR(FIND("//",B461,1)+1,0),"")&amp;"/",1),LEN(B461),""),"www.","",1)</f>
        <v>neueraeume.eu</v>
      </c>
      <c r="D461" s="13">
        <f>COUNTIF($C$2:$C$801,C461)</f>
        <v>1</v>
      </c>
      <c r="E461" s="10" t="s">
        <v>572</v>
      </c>
      <c r="F461" s="4" t="s">
        <v>729</v>
      </c>
      <c r="G461" s="31" t="s">
        <v>4</v>
      </c>
      <c r="H461" s="31" t="s">
        <v>965</v>
      </c>
      <c r="I461" s="10" t="s">
        <v>977</v>
      </c>
    </row>
    <row r="462" spans="1:9" ht="23" customHeight="1" x14ac:dyDescent="0.15">
      <c r="A462" s="4" t="s">
        <v>28</v>
      </c>
      <c r="B462" s="6" t="s">
        <v>586</v>
      </c>
      <c r="C462" s="13" t="str">
        <f>SUBSTITUTE(REPLACE(REPLACE(B462,1,IFERROR(FIND("//",B462,1)+1,0),"")&amp;"/",FIND("/",REPLACE(B462,1,IFERROR(FIND("//",B462,1)+1,0),"")&amp;"/",1),LEN(B462),""),"www.","",1)</f>
        <v>neuheiten.koelnmesse.net</v>
      </c>
      <c r="D462" s="13">
        <f>COUNTIF($C$2:$C$801,C462)</f>
        <v>1</v>
      </c>
      <c r="E462" s="10" t="s">
        <v>237</v>
      </c>
      <c r="F462" s="4" t="s">
        <v>735</v>
      </c>
      <c r="G462" s="31" t="s">
        <v>5</v>
      </c>
      <c r="H462" s="31" t="s">
        <v>965</v>
      </c>
      <c r="I462" s="10" t="s">
        <v>981</v>
      </c>
    </row>
    <row r="463" spans="1:9" ht="23" customHeight="1" x14ac:dyDescent="0.15">
      <c r="A463" s="4" t="s">
        <v>28</v>
      </c>
      <c r="B463" s="6" t="s">
        <v>498</v>
      </c>
      <c r="C463" s="13" t="str">
        <f>SUBSTITUTE(REPLACE(REPLACE(B463,1,IFERROR(FIND("//",B463,1)+1,0),"")&amp;"/",FIND("/",REPLACE(B463,1,IFERROR(FIND("//",B463,1)+1,0),"")&amp;"/",1),LEN(B463),""),"www.","",1)</f>
        <v>neumaier-buero.de</v>
      </c>
      <c r="D463" s="13">
        <f>COUNTIF($C$2:$C$801,C463)</f>
        <v>1</v>
      </c>
      <c r="E463" s="10"/>
      <c r="F463" s="4" t="s">
        <v>729</v>
      </c>
      <c r="G463" s="31" t="s">
        <v>4</v>
      </c>
      <c r="H463" s="31" t="s">
        <v>965</v>
      </c>
      <c r="I463" s="10" t="s">
        <v>977</v>
      </c>
    </row>
    <row r="464" spans="1:9" ht="23" customHeight="1" x14ac:dyDescent="0.15">
      <c r="A464" s="4" t="s">
        <v>28</v>
      </c>
      <c r="B464" s="6" t="s">
        <v>158</v>
      </c>
      <c r="C464" s="13" t="str">
        <f>SUBSTITUTE(REPLACE(REPLACE(B464,1,IFERROR(FIND("//",B464,1)+1,0),"")&amp;"/",FIND("/",REPLACE(B464,1,IFERROR(FIND("//",B464,1)+1,0),"")&amp;"/",1),LEN(B464),""),"www.","",1)</f>
        <v>new-ways-buero.de</v>
      </c>
      <c r="D464" s="13">
        <f>COUNTIF($C$2:$C$801,C464)</f>
        <v>1</v>
      </c>
      <c r="E464" s="10" t="s">
        <v>28</v>
      </c>
      <c r="F464" s="4"/>
      <c r="G464" s="31" t="s">
        <v>5</v>
      </c>
      <c r="H464" s="31" t="s">
        <v>965</v>
      </c>
      <c r="I464" s="10" t="s">
        <v>981</v>
      </c>
    </row>
    <row r="465" spans="1:9" ht="23" customHeight="1" x14ac:dyDescent="0.15">
      <c r="A465" s="4" t="s">
        <v>28</v>
      </c>
      <c r="B465" s="6" t="s">
        <v>1015</v>
      </c>
      <c r="C465" s="13" t="str">
        <f>SUBSTITUTE(REPLACE(REPLACE(B465,1,IFERROR(FIND("//",B465,1)+1,0),"")&amp;"/",FIND("/",REPLACE(B465,1,IFERROR(FIND("//",B465,1)+1,0),"")&amp;"/",1),LEN(B465),""),"www.","",1)</f>
        <v>nw-objektausstattung.de</v>
      </c>
      <c r="D465" s="13">
        <f>COUNTIF($C$2:$C$801,C465)</f>
        <v>1</v>
      </c>
      <c r="E465" s="10"/>
      <c r="F465" s="14" t="s">
        <v>729</v>
      </c>
      <c r="G465" s="32" t="s">
        <v>4</v>
      </c>
      <c r="H465" s="31" t="s">
        <v>1084</v>
      </c>
      <c r="I465" s="10"/>
    </row>
    <row r="466" spans="1:9" ht="23" customHeight="1" x14ac:dyDescent="0.15">
      <c r="A466" s="4" t="s">
        <v>28</v>
      </c>
      <c r="B466" s="6" t="s">
        <v>442</v>
      </c>
      <c r="C466" s="13" t="str">
        <f>SUBSTITUTE(REPLACE(REPLACE(B466,1,IFERROR(FIND("//",B466,1)+1,0),"")&amp;"/",FIND("/",REPLACE(B466,1,IFERROR(FIND("//",B466,1)+1,0),"")&amp;"/",1),LEN(B466),""),"www.","",1)</f>
        <v>nzp.bag.ch</v>
      </c>
      <c r="D466" s="13">
        <f>COUNTIF($C$2:$C$801,C466)</f>
        <v>1</v>
      </c>
      <c r="E466" s="10" t="s">
        <v>267</v>
      </c>
      <c r="F466" s="4" t="s">
        <v>729</v>
      </c>
      <c r="G466" s="31" t="s">
        <v>4</v>
      </c>
      <c r="H466" s="31" t="s">
        <v>965</v>
      </c>
      <c r="I466" s="10" t="s">
        <v>977</v>
      </c>
    </row>
    <row r="467" spans="1:9" ht="23" customHeight="1" x14ac:dyDescent="0.15">
      <c r="A467" s="4" t="s">
        <v>28</v>
      </c>
      <c r="B467" s="6" t="s">
        <v>36</v>
      </c>
      <c r="C467" s="13" t="str">
        <f>SUBSTITUTE(REPLACE(REPLACE(B467,1,IFERROR(FIND("//",B467,1)+1,0),"")&amp;"/",FIND("/",REPLACE(B467,1,IFERROR(FIND("//",B467,1)+1,0),"")&amp;"/",1),LEN(B467),""),"www.","",1)</f>
        <v>nzp.ch</v>
      </c>
      <c r="D467" s="13">
        <f>COUNTIF($C$2:$C$801,C467)</f>
        <v>1</v>
      </c>
      <c r="E467" s="10" t="s">
        <v>267</v>
      </c>
      <c r="F467" s="4" t="s">
        <v>729</v>
      </c>
      <c r="G467" s="31" t="s">
        <v>4</v>
      </c>
      <c r="H467" s="31" t="s">
        <v>965</v>
      </c>
      <c r="I467" s="10" t="s">
        <v>977</v>
      </c>
    </row>
    <row r="468" spans="1:9" ht="23" customHeight="1" x14ac:dyDescent="0.15">
      <c r="A468" s="4" t="s">
        <v>28</v>
      </c>
      <c r="B468" s="6" t="s">
        <v>75</v>
      </c>
      <c r="C468" s="13" t="str">
        <f>SUBSTITUTE(REPLACE(REPLACE(B468,1,IFERROR(FIND("//",B468,1)+1,0),"")&amp;"/",FIND("/",REPLACE(B468,1,IFERROR(FIND("//",B468,1)+1,0),"")&amp;"/",1),LEN(B468),""),"www.","",1)</f>
        <v>obhl.de</v>
      </c>
      <c r="D468" s="13">
        <f>COUNTIF($C$2:$C$801,C468)</f>
        <v>1</v>
      </c>
      <c r="E468" s="10" t="s">
        <v>237</v>
      </c>
      <c r="F468" s="4" t="s">
        <v>729</v>
      </c>
      <c r="G468" s="31" t="s">
        <v>5</v>
      </c>
      <c r="H468" s="31" t="s">
        <v>965</v>
      </c>
      <c r="I468" s="10" t="s">
        <v>981</v>
      </c>
    </row>
    <row r="469" spans="1:9" ht="23" customHeight="1" x14ac:dyDescent="0.15">
      <c r="A469" s="4" t="s">
        <v>28</v>
      </c>
      <c r="B469" s="6" t="s">
        <v>499</v>
      </c>
      <c r="C469" s="13" t="str">
        <f>SUBSTITUTE(REPLACE(REPLACE(B469,1,IFERROR(FIND("//",B469,1)+1,0),"")&amp;"/",FIND("/",REPLACE(B469,1,IFERROR(FIND("//",B469,1)+1,0),"")&amp;"/",1),LEN(B469),""),"www.","",1)</f>
        <v>objektbuero.de</v>
      </c>
      <c r="D469" s="13">
        <f>COUNTIF($C$2:$C$801,C469)</f>
        <v>1</v>
      </c>
      <c r="E469" s="10"/>
      <c r="F469" s="4" t="s">
        <v>729</v>
      </c>
      <c r="G469" s="31" t="s">
        <v>5</v>
      </c>
      <c r="H469" s="31" t="s">
        <v>965</v>
      </c>
      <c r="I469" s="10" t="s">
        <v>981</v>
      </c>
    </row>
    <row r="470" spans="1:9" ht="23" customHeight="1" x14ac:dyDescent="0.15">
      <c r="A470" s="4" t="s">
        <v>28</v>
      </c>
      <c r="B470" s="6" t="s">
        <v>362</v>
      </c>
      <c r="C470" s="13" t="str">
        <f>SUBSTITUTE(REPLACE(REPLACE(B470,1,IFERROR(FIND("//",B470,1)+1,0),"")&amp;"/",FIND("/",REPLACE(B470,1,IFERROR(FIND("//",B470,1)+1,0),"")&amp;"/",1),LEN(B470),""),"www.","",1)</f>
        <v>objektiv-gmbh.de</v>
      </c>
      <c r="D470" s="13">
        <f>COUNTIF($C$2:$C$801,C470)</f>
        <v>1</v>
      </c>
      <c r="E470" s="10" t="s">
        <v>241</v>
      </c>
      <c r="F470" s="4" t="s">
        <v>729</v>
      </c>
      <c r="G470" s="31" t="s">
        <v>4</v>
      </c>
      <c r="H470" s="31" t="s">
        <v>965</v>
      </c>
      <c r="I470" s="10" t="s">
        <v>977</v>
      </c>
    </row>
    <row r="471" spans="1:9" ht="23" customHeight="1" x14ac:dyDescent="0.15">
      <c r="A471" s="4" t="s">
        <v>28</v>
      </c>
      <c r="B471" s="6" t="s">
        <v>538</v>
      </c>
      <c r="C471" s="13" t="str">
        <f>SUBSTITUTE(REPLACE(REPLACE(B471,1,IFERROR(FIND("//",B471,1)+1,0),"")&amp;"/",FIND("/",REPLACE(B471,1,IFERROR(FIND("//",B471,1)+1,0),"")&amp;"/",1),LEN(B471),""),"www.","",1)</f>
        <v>odp-office-furniture.com</v>
      </c>
      <c r="D471" s="13">
        <f>COUNTIF($C$2:$C$801,C471)</f>
        <v>1</v>
      </c>
      <c r="E471" s="10" t="s">
        <v>28</v>
      </c>
      <c r="F471" s="4" t="s">
        <v>25</v>
      </c>
      <c r="G471" s="31" t="s">
        <v>5</v>
      </c>
      <c r="H471" s="31" t="s">
        <v>965</v>
      </c>
      <c r="I471" s="10" t="s">
        <v>981</v>
      </c>
    </row>
    <row r="472" spans="1:9" ht="23" customHeight="1" x14ac:dyDescent="0.15">
      <c r="A472" s="4" t="s">
        <v>28</v>
      </c>
      <c r="B472" s="6" t="s">
        <v>370</v>
      </c>
      <c r="C472" s="13" t="str">
        <f>SUBSTITUTE(REPLACE(REPLACE(B472,1,IFERROR(FIND("//",B472,1)+1,0),"")&amp;"/",FIND("/",REPLACE(B472,1,IFERROR(FIND("//",B472,1)+1,0),"")&amp;"/",1),LEN(B472),""),"www.","",1)</f>
        <v>oeffentlichebeschaffung.kompass-nachhaltigkeit.de</v>
      </c>
      <c r="D472" s="13">
        <f>COUNTIF($C$2:$C$801,C472)</f>
        <v>1</v>
      </c>
      <c r="E472" s="10" t="s">
        <v>300</v>
      </c>
      <c r="F472" s="4"/>
      <c r="G472" s="31" t="s">
        <v>5</v>
      </c>
      <c r="H472" s="31" t="s">
        <v>965</v>
      </c>
      <c r="I472" s="10" t="s">
        <v>981</v>
      </c>
    </row>
    <row r="473" spans="1:9" ht="23" customHeight="1" x14ac:dyDescent="0.15">
      <c r="A473" s="4" t="s">
        <v>28</v>
      </c>
      <c r="B473" s="6" t="s">
        <v>72</v>
      </c>
      <c r="C473" s="13" t="str">
        <f>SUBSTITUTE(REPLACE(REPLACE(B473,1,IFERROR(FIND("//",B473,1)+1,0),"")&amp;"/",FIND("/",REPLACE(B473,1,IFERROR(FIND("//",B473,1)+1,0),"")&amp;"/",1),LEN(B473),""),"www.","",1)</f>
        <v>offenbacher-wirtschaft.de</v>
      </c>
      <c r="D473" s="13">
        <f>COUNTIF($C$2:$C$801,C473)</f>
        <v>1</v>
      </c>
      <c r="E473" s="10" t="s">
        <v>539</v>
      </c>
      <c r="F473" s="4" t="s">
        <v>732</v>
      </c>
      <c r="G473" s="31" t="s">
        <v>4</v>
      </c>
      <c r="H473" s="31" t="s">
        <v>965</v>
      </c>
      <c r="I473" s="10" t="s">
        <v>977</v>
      </c>
    </row>
    <row r="474" spans="1:9" ht="23" customHeight="1" x14ac:dyDescent="0.15">
      <c r="A474" s="4" t="s">
        <v>28</v>
      </c>
      <c r="B474" s="6" t="s">
        <v>749</v>
      </c>
      <c r="C474" s="13" t="str">
        <f>SUBSTITUTE(REPLACE(REPLACE(B474,1,IFERROR(FIND("//",B474,1)+1,0),"")&amp;"/",FIND("/",REPLACE(B474,1,IFERROR(FIND("//",B474,1)+1,0),"")&amp;"/",1),LEN(B474),""),"www.","",1)</f>
        <v>offermannsundpartner.de</v>
      </c>
      <c r="D474" s="13">
        <f>COUNTIF($C$2:$C$801,C474)</f>
        <v>1</v>
      </c>
      <c r="E474" s="10" t="s">
        <v>14</v>
      </c>
      <c r="F474" s="4" t="s">
        <v>729</v>
      </c>
      <c r="G474" s="31" t="s">
        <v>5</v>
      </c>
      <c r="H474" s="31" t="s">
        <v>965</v>
      </c>
      <c r="I474" s="10" t="s">
        <v>981</v>
      </c>
    </row>
    <row r="475" spans="1:9" ht="23" customHeight="1" x14ac:dyDescent="0.15">
      <c r="A475" s="4" t="s">
        <v>28</v>
      </c>
      <c r="B475" s="6" t="s">
        <v>777</v>
      </c>
      <c r="C475" s="35" t="str">
        <f>SUBSTITUTE(REPLACE(REPLACE(B475,1,IFERROR(FIND("//",B475,1)+1,0),"")&amp;"/",FIND("/",REPLACE(B475,1,IFERROR(FIND("//",B475,1)+1,0),"")&amp;"/",1),LEN(B475),""),"www.","",1)</f>
        <v>office-dealzz.office-roxx.de</v>
      </c>
      <c r="D475" s="13">
        <f>COUNTIF($C$2:$C$801,C475)</f>
        <v>1</v>
      </c>
      <c r="E475" s="10" t="s">
        <v>241</v>
      </c>
      <c r="F475" s="4" t="s">
        <v>732</v>
      </c>
      <c r="G475" s="31" t="s">
        <v>4</v>
      </c>
      <c r="H475" s="31" t="s">
        <v>965</v>
      </c>
      <c r="I475" s="10" t="s">
        <v>977</v>
      </c>
    </row>
    <row r="476" spans="1:9" ht="23" customHeight="1" x14ac:dyDescent="0.15">
      <c r="A476" s="4" t="s">
        <v>28</v>
      </c>
      <c r="B476" s="6" t="s">
        <v>106</v>
      </c>
      <c r="C476" s="13" t="str">
        <f>SUBSTITUTE(REPLACE(REPLACE(B476,1,IFERROR(FIND("//",B476,1)+1,0),"")&amp;"/",FIND("/",REPLACE(B476,1,IFERROR(FIND("//",B476,1)+1,0),"")&amp;"/",1),LEN(B476),""),"www.","",1)</f>
        <v>office-elements.nl</v>
      </c>
      <c r="D476" s="13">
        <f>COUNTIF($C$2:$C$801,C476)</f>
        <v>1</v>
      </c>
      <c r="E476" s="10" t="s">
        <v>241</v>
      </c>
      <c r="F476" s="4" t="s">
        <v>729</v>
      </c>
      <c r="G476" s="31" t="s">
        <v>5</v>
      </c>
      <c r="H476" s="31" t="s">
        <v>965</v>
      </c>
      <c r="I476" s="10" t="s">
        <v>981</v>
      </c>
    </row>
    <row r="477" spans="1:9" ht="23" customHeight="1" x14ac:dyDescent="0.15">
      <c r="A477" s="4" t="s">
        <v>28</v>
      </c>
      <c r="B477" s="6" t="s">
        <v>53</v>
      </c>
      <c r="C477" s="13" t="str">
        <f>SUBSTITUTE(REPLACE(REPLACE(B477,1,IFERROR(FIND("//",B477,1)+1,0),"")&amp;"/",FIND("/",REPLACE(B477,1,IFERROR(FIND("//",B477,1)+1,0),"")&amp;"/",1),LEN(B477),""),"www.","",1)</f>
        <v>office-roxx.de</v>
      </c>
      <c r="D477" s="13">
        <f>COUNTIF($C$2:$C$801,C477)</f>
        <v>1</v>
      </c>
      <c r="E477" s="10" t="s">
        <v>548</v>
      </c>
      <c r="F477" s="4" t="s">
        <v>729</v>
      </c>
      <c r="G477" s="31" t="s">
        <v>4</v>
      </c>
      <c r="H477" s="31" t="s">
        <v>965</v>
      </c>
      <c r="I477" s="10" t="s">
        <v>977</v>
      </c>
    </row>
    <row r="478" spans="1:9" ht="23" customHeight="1" x14ac:dyDescent="0.15">
      <c r="A478" s="4" t="s">
        <v>28</v>
      </c>
      <c r="B478" s="6" t="s">
        <v>1013</v>
      </c>
      <c r="C478" s="13" t="str">
        <f>SUBSTITUTE(REPLACE(REPLACE(B478,1,IFERROR(FIND("//",B478,1)+1,0),"")&amp;"/",FIND("/",REPLACE(B478,1,IFERROR(FIND("//",B478,1)+1,0),"")&amp;"/",1),LEN(B478),""),"www.","",1)</f>
        <v>office-tops.office-roxx.de</v>
      </c>
      <c r="D478" s="13">
        <f>COUNTIF($C$2:$C$801,C478)</f>
        <v>1</v>
      </c>
      <c r="E478" s="10" t="s">
        <v>1068</v>
      </c>
      <c r="F478" s="4" t="s">
        <v>732</v>
      </c>
      <c r="G478" s="31" t="s">
        <v>4</v>
      </c>
      <c r="H478" s="31" t="s">
        <v>1084</v>
      </c>
      <c r="I478" s="10"/>
    </row>
    <row r="479" spans="1:9" ht="23" customHeight="1" x14ac:dyDescent="0.15">
      <c r="A479" s="4" t="s">
        <v>28</v>
      </c>
      <c r="B479" s="6" t="s">
        <v>500</v>
      </c>
      <c r="C479" s="13" t="str">
        <f>SUBSTITUTE(REPLACE(REPLACE(B479,1,IFERROR(FIND("//",B479,1)+1,0),"")&amp;"/",FIND("/",REPLACE(B479,1,IFERROR(FIND("//",B479,1)+1,0),"")&amp;"/",1),LEN(B479),""),"www.","",1)</f>
        <v>office-village.de</v>
      </c>
      <c r="D479" s="13">
        <f>COUNTIF($C$2:$C$801,C479)</f>
        <v>1</v>
      </c>
      <c r="E479" s="10" t="s">
        <v>241</v>
      </c>
      <c r="F479" s="4" t="s">
        <v>729</v>
      </c>
      <c r="G479" s="31" t="s">
        <v>5</v>
      </c>
      <c r="H479" s="31" t="s">
        <v>965</v>
      </c>
      <c r="I479" s="10" t="s">
        <v>981</v>
      </c>
    </row>
    <row r="480" spans="1:9" ht="23" customHeight="1" x14ac:dyDescent="0.15">
      <c r="A480" s="4" t="s">
        <v>28</v>
      </c>
      <c r="B480" s="6" t="s">
        <v>103</v>
      </c>
      <c r="C480" s="13" t="str">
        <f>SUBSTITUTE(REPLACE(REPLACE(B480,1,IFERROR(FIND("//",B480,1)+1,0),"")&amp;"/",FIND("/",REPLACE(B480,1,IFERROR(FIND("//",B480,1)+1,0),"")&amp;"/",1),LEN(B480),""),"www.","",1)</f>
        <v>office-work.net</v>
      </c>
      <c r="D480" s="13">
        <f>COUNTIF($C$2:$C$801,C480)</f>
        <v>1</v>
      </c>
      <c r="E480" s="10" t="s">
        <v>246</v>
      </c>
      <c r="F480" s="4" t="s">
        <v>729</v>
      </c>
      <c r="G480" s="31" t="s">
        <v>5</v>
      </c>
      <c r="H480" s="31" t="s">
        <v>965</v>
      </c>
      <c r="I480" s="10" t="s">
        <v>981</v>
      </c>
    </row>
    <row r="481" spans="1:9" ht="23" customHeight="1" x14ac:dyDescent="0.15">
      <c r="A481" s="4" t="s">
        <v>28</v>
      </c>
      <c r="B481" s="6" t="s">
        <v>544</v>
      </c>
      <c r="C481" s="13" t="str">
        <f>SUBSTITUTE(REPLACE(REPLACE(B481,1,IFERROR(FIND("//",B481,1)+1,0),"")&amp;"/",FIND("/",REPLACE(B481,1,IFERROR(FIND("//",B481,1)+1,0),"")&amp;"/",1),LEN(B481),""),"www.","",1)</f>
        <v>office360.de</v>
      </c>
      <c r="D481" s="13">
        <f>COUNTIF($C$2:$C$801,C481)</f>
        <v>1</v>
      </c>
      <c r="E481" s="10" t="s">
        <v>545</v>
      </c>
      <c r="F481" s="4" t="s">
        <v>729</v>
      </c>
      <c r="G481" s="31" t="s">
        <v>4</v>
      </c>
      <c r="H481" s="31" t="s">
        <v>965</v>
      </c>
      <c r="I481" s="10" t="s">
        <v>977</v>
      </c>
    </row>
    <row r="482" spans="1:9" ht="23" customHeight="1" x14ac:dyDescent="0.15">
      <c r="A482" s="4" t="s">
        <v>28</v>
      </c>
      <c r="B482" s="6" t="s">
        <v>140</v>
      </c>
      <c r="C482" s="13" t="str">
        <f>SUBSTITUTE(REPLACE(REPLACE(B482,1,IFERROR(FIND("//",B482,1)+1,0),"")&amp;"/",FIND("/",REPLACE(B482,1,IFERROR(FIND("//",B482,1)+1,0),"")&amp;"/",1),LEN(B482),""),"www.","",1)</f>
        <v>officeabc.de</v>
      </c>
      <c r="D482" s="13">
        <f>COUNTIF($C$2:$C$801,C482)</f>
        <v>1</v>
      </c>
      <c r="E482" s="10" t="s">
        <v>548</v>
      </c>
      <c r="F482" s="4" t="s">
        <v>729</v>
      </c>
      <c r="G482" s="31" t="s">
        <v>5</v>
      </c>
      <c r="H482" s="31" t="s">
        <v>965</v>
      </c>
      <c r="I482" s="10" t="s">
        <v>981</v>
      </c>
    </row>
    <row r="483" spans="1:9" ht="23" customHeight="1" x14ac:dyDescent="0.15">
      <c r="A483" s="4" t="s">
        <v>28</v>
      </c>
      <c r="B483" s="6" t="s">
        <v>780</v>
      </c>
      <c r="C483" s="13" t="str">
        <f>SUBSTITUTE(REPLACE(REPLACE(B483,1,IFERROR(FIND("//",B483,1)+1,0),"")&amp;"/",FIND("/",REPLACE(B483,1,IFERROR(FIND("//",B483,1)+1,0),"")&amp;"/",1),LEN(B483),""),"www.","",1)</f>
        <v>officedesign24.de</v>
      </c>
      <c r="D483" s="13">
        <f>COUNTIF($C$2:$C$801,C483)</f>
        <v>1</v>
      </c>
      <c r="E483" s="10"/>
      <c r="F483" s="4" t="s">
        <v>729</v>
      </c>
      <c r="G483" s="31" t="s">
        <v>4</v>
      </c>
      <c r="H483" s="31" t="s">
        <v>965</v>
      </c>
      <c r="I483" s="10" t="s">
        <v>977</v>
      </c>
    </row>
    <row r="484" spans="1:9" ht="23" customHeight="1" x14ac:dyDescent="0.15">
      <c r="A484" s="4" t="s">
        <v>28</v>
      </c>
      <c r="B484" s="6" t="s">
        <v>443</v>
      </c>
      <c r="C484" s="13" t="str">
        <f>SUBSTITUTE(REPLACE(REPLACE(B484,1,IFERROR(FIND("//",B484,1)+1,0),"")&amp;"/",FIND("/",REPLACE(B484,1,IFERROR(FIND("//",B484,1)+1,0),"")&amp;"/",1),LEN(B484),""),"www.","",1)</f>
        <v>officekonzepte.de</v>
      </c>
      <c r="D484" s="13">
        <f>COUNTIF($C$2:$C$801,C484)</f>
        <v>1</v>
      </c>
      <c r="E484" s="10" t="s">
        <v>698</v>
      </c>
      <c r="F484" s="4" t="s">
        <v>729</v>
      </c>
      <c r="G484" s="31" t="s">
        <v>4</v>
      </c>
      <c r="H484" s="31" t="s">
        <v>965</v>
      </c>
      <c r="I484" s="10" t="s">
        <v>977</v>
      </c>
    </row>
    <row r="485" spans="1:9" ht="23" customHeight="1" x14ac:dyDescent="0.15">
      <c r="A485" s="4" t="s">
        <v>28</v>
      </c>
      <c r="B485" s="6" t="s">
        <v>22</v>
      </c>
      <c r="C485" s="13" t="str">
        <f>SUBSTITUTE(REPLACE(REPLACE(B485,1,IFERROR(FIND("//",B485,1)+1,0),"")&amp;"/",FIND("/",REPLACE(B485,1,IFERROR(FIND("//",B485,1)+1,0),"")&amp;"/",1),LEN(B485),""),"www.","",1)</f>
        <v>officeline-gmbh.de</v>
      </c>
      <c r="D485" s="13">
        <f>COUNTIF($C$2:$C$801,C485)</f>
        <v>1</v>
      </c>
      <c r="E485" s="10" t="s">
        <v>14</v>
      </c>
      <c r="F485" s="4" t="s">
        <v>729</v>
      </c>
      <c r="G485" s="31" t="s">
        <v>5</v>
      </c>
      <c r="H485" s="31" t="s">
        <v>965</v>
      </c>
      <c r="I485" s="10" t="s">
        <v>981</v>
      </c>
    </row>
    <row r="486" spans="1:9" ht="23" customHeight="1" x14ac:dyDescent="0.15">
      <c r="A486" s="4" t="s">
        <v>28</v>
      </c>
      <c r="B486" s="6" t="s">
        <v>97</v>
      </c>
      <c r="C486" s="13" t="str">
        <f>SUBSTITUTE(REPLACE(REPLACE(B486,1,IFERROR(FIND("//",B486,1)+1,0),"")&amp;"/",FIND("/",REPLACE(B486,1,IFERROR(FIND("//",B486,1)+1,0),"")&amp;"/",1),LEN(B486),""),"www.","",1)</f>
        <v>officemaxx-ruecker.de</v>
      </c>
      <c r="D486" s="13">
        <f>COUNTIF($C$2:$C$801,C486)</f>
        <v>1</v>
      </c>
      <c r="E486" s="10" t="s">
        <v>237</v>
      </c>
      <c r="F486" s="4" t="s">
        <v>729</v>
      </c>
      <c r="G486" s="31" t="s">
        <v>4</v>
      </c>
      <c r="H486" s="31" t="s">
        <v>965</v>
      </c>
      <c r="I486" s="10" t="s">
        <v>977</v>
      </c>
    </row>
    <row r="487" spans="1:9" ht="23" customHeight="1" x14ac:dyDescent="0.15">
      <c r="A487" s="4" t="s">
        <v>28</v>
      </c>
      <c r="B487" s="6" t="s">
        <v>363</v>
      </c>
      <c r="C487" s="13" t="str">
        <f>SUBSTITUTE(REPLACE(REPLACE(B487,1,IFERROR(FIND("//",B487,1)+1,0),"")&amp;"/",FIND("/",REPLACE(B487,1,IFERROR(FIND("//",B487,1)+1,0),"")&amp;"/",1),LEN(B487),""),"www.","",1)</f>
        <v>officepartner-whv.de</v>
      </c>
      <c r="D487" s="13">
        <f>COUNTIF($C$2:$C$801,C487)</f>
        <v>1</v>
      </c>
      <c r="E487" s="10" t="s">
        <v>27</v>
      </c>
      <c r="F487" s="4" t="s">
        <v>729</v>
      </c>
      <c r="G487" s="31" t="s">
        <v>4</v>
      </c>
      <c r="H487" s="31" t="s">
        <v>965</v>
      </c>
      <c r="I487" s="10" t="s">
        <v>977</v>
      </c>
    </row>
    <row r="488" spans="1:9" ht="23" customHeight="1" x14ac:dyDescent="0.15">
      <c r="A488" s="4" t="s">
        <v>28</v>
      </c>
      <c r="B488" s="6" t="s">
        <v>251</v>
      </c>
      <c r="C488" s="13" t="str">
        <f>SUBSTITUTE(REPLACE(REPLACE(B488,1,IFERROR(FIND("//",B488,1)+1,0),"")&amp;"/",FIND("/",REPLACE(B488,1,IFERROR(FIND("//",B488,1)+1,0),"")&amp;"/",1),LEN(B488),""),"www.","",1)</f>
        <v>officerepublic.news</v>
      </c>
      <c r="D488" s="13">
        <f>COUNTIF($C$2:$C$801,C488)</f>
        <v>1</v>
      </c>
      <c r="E488" s="10" t="s">
        <v>237</v>
      </c>
      <c r="F488" s="4" t="s">
        <v>732</v>
      </c>
      <c r="G488" s="31" t="s">
        <v>4</v>
      </c>
      <c r="H488" s="31" t="s">
        <v>965</v>
      </c>
      <c r="I488" s="10" t="s">
        <v>977</v>
      </c>
    </row>
    <row r="489" spans="1:9" ht="23" customHeight="1" x14ac:dyDescent="0.15">
      <c r="A489" s="4" t="s">
        <v>28</v>
      </c>
      <c r="B489" s="6" t="s">
        <v>1045</v>
      </c>
      <c r="C489" s="13" t="str">
        <f>SUBSTITUTE(REPLACE(REPLACE(B489,1,IFERROR(FIND("//",B489,1)+1,0),"")&amp;"/",FIND("/",REPLACE(B489,1,IFERROR(FIND("//",B489,1)+1,0),"")&amp;"/",1),LEN(B489),""),"www.","",1)</f>
        <v>officestar-living.de</v>
      </c>
      <c r="D489" s="13">
        <f>COUNTIF($C$2:$C$801,C489)</f>
        <v>1</v>
      </c>
      <c r="E489" s="10" t="s">
        <v>1080</v>
      </c>
      <c r="F489" s="14" t="s">
        <v>729</v>
      </c>
      <c r="G489" s="32" t="s">
        <v>4</v>
      </c>
      <c r="H489" s="31" t="s">
        <v>1084</v>
      </c>
      <c r="I489" s="10"/>
    </row>
    <row r="490" spans="1:9" ht="23" customHeight="1" x14ac:dyDescent="0.15">
      <c r="A490" s="4" t="s">
        <v>28</v>
      </c>
      <c r="B490" s="6" t="s">
        <v>141</v>
      </c>
      <c r="C490" s="13" t="str">
        <f>SUBSTITUTE(REPLACE(REPLACE(B490,1,IFERROR(FIND("//",B490,1)+1,0),"")&amp;"/",FIND("/",REPLACE(B490,1,IFERROR(FIND("//",B490,1)+1,0),"")&amp;"/",1),LEN(B490),""),"www.","",1)</f>
        <v>offpa.com</v>
      </c>
      <c r="D490" s="13">
        <f>COUNTIF($C$2:$C$801,C490)</f>
        <v>1</v>
      </c>
      <c r="E490" s="10" t="s">
        <v>14</v>
      </c>
      <c r="F490" s="4"/>
      <c r="G490" s="31" t="s">
        <v>5</v>
      </c>
      <c r="H490" s="31" t="s">
        <v>965</v>
      </c>
      <c r="I490" s="10" t="s">
        <v>981</v>
      </c>
    </row>
    <row r="491" spans="1:9" ht="23" customHeight="1" x14ac:dyDescent="0.15">
      <c r="A491" s="4" t="s">
        <v>28</v>
      </c>
      <c r="B491" s="6" t="s">
        <v>231</v>
      </c>
      <c r="C491" s="13" t="str">
        <f>SUBSTITUTE(REPLACE(REPLACE(B491,1,IFERROR(FIND("//",B491,1)+1,0),"")&amp;"/",FIND("/",REPLACE(B491,1,IFERROR(FIND("//",B491,1)+1,0),"")&amp;"/",1),LEN(B491),""),"www.","",1)</f>
        <v>offpa.de</v>
      </c>
      <c r="D491" s="13">
        <f>COUNTIF($C$2:$C$801,C491)</f>
        <v>1</v>
      </c>
      <c r="E491" s="10" t="s">
        <v>727</v>
      </c>
      <c r="F491" s="4"/>
      <c r="G491" s="31" t="s">
        <v>5</v>
      </c>
      <c r="H491" s="31" t="s">
        <v>965</v>
      </c>
      <c r="I491" s="10" t="s">
        <v>981</v>
      </c>
    </row>
    <row r="492" spans="1:9" ht="23" customHeight="1" x14ac:dyDescent="0.15">
      <c r="A492" s="4" t="s">
        <v>28</v>
      </c>
      <c r="B492" s="6" t="s">
        <v>1007</v>
      </c>
      <c r="C492" s="13" t="str">
        <f>SUBSTITUTE(REPLACE(REPLACE(B492,1,IFERROR(FIND("//",B492,1)+1,0),"")&amp;"/",FIND("/",REPLACE(B492,1,IFERROR(FIND("//",B492,1)+1,0),"")&amp;"/",1),LEN(B492),""),"www.","",1)</f>
        <v>oh5.de</v>
      </c>
      <c r="D492" s="13">
        <f>COUNTIF($C$2:$C$801,C492)</f>
        <v>1</v>
      </c>
      <c r="E492" s="10"/>
      <c r="F492" s="14" t="s">
        <v>729</v>
      </c>
      <c r="G492" s="32" t="s">
        <v>4</v>
      </c>
      <c r="H492" s="31" t="s">
        <v>1084</v>
      </c>
      <c r="I492" s="10"/>
    </row>
    <row r="493" spans="1:9" ht="23" customHeight="1" x14ac:dyDescent="0.15">
      <c r="A493" s="4" t="s">
        <v>28</v>
      </c>
      <c r="B493" s="6" t="s">
        <v>328</v>
      </c>
      <c r="C493" s="13" t="str">
        <f>SUBSTITUTE(REPLACE(REPLACE(B493,1,IFERROR(FIND("//",B493,1)+1,0),"")&amp;"/",FIND("/",REPLACE(B493,1,IFERROR(FIND("//",B493,1)+1,0),"")&amp;"/",1),LEN(B493),""),"www.","",1)</f>
        <v>ohning.de</v>
      </c>
      <c r="D493" s="13">
        <f>COUNTIF($C$2:$C$801,C493)</f>
        <v>1</v>
      </c>
      <c r="E493" s="10" t="s">
        <v>539</v>
      </c>
      <c r="F493" s="4" t="s">
        <v>729</v>
      </c>
      <c r="G493" s="31" t="s">
        <v>4</v>
      </c>
      <c r="H493" s="31" t="s">
        <v>965</v>
      </c>
      <c r="I493" s="10" t="s">
        <v>977</v>
      </c>
    </row>
    <row r="494" spans="1:9" ht="23" customHeight="1" x14ac:dyDescent="0.15">
      <c r="A494" s="4" t="s">
        <v>28</v>
      </c>
      <c r="B494" s="6" t="s">
        <v>501</v>
      </c>
      <c r="C494" s="13" t="str">
        <f>SUBSTITUTE(REPLACE(REPLACE(B494,1,IFERROR(FIND("//",B494,1)+1,0),"")&amp;"/",FIND("/",REPLACE(B494,1,IFERROR(FIND("//",B494,1)+1,0),"")&amp;"/",1),LEN(B494),""),"www.","",1)</f>
        <v>ok-buerocenter.de</v>
      </c>
      <c r="D494" s="13">
        <f>COUNTIF($C$2:$C$801,C494)</f>
        <v>1</v>
      </c>
      <c r="E494" s="10" t="s">
        <v>604</v>
      </c>
      <c r="F494" s="4" t="s">
        <v>729</v>
      </c>
      <c r="G494" s="31" t="s">
        <v>4</v>
      </c>
      <c r="H494" s="31" t="s">
        <v>965</v>
      </c>
      <c r="I494" s="10" t="s">
        <v>977</v>
      </c>
    </row>
    <row r="495" spans="1:9" ht="23" customHeight="1" x14ac:dyDescent="0.15">
      <c r="A495" s="4" t="s">
        <v>28</v>
      </c>
      <c r="B495" s="6" t="s">
        <v>194</v>
      </c>
      <c r="C495" s="13" t="str">
        <f>SUBSTITUTE(REPLACE(REPLACE(B495,1,IFERROR(FIND("//",B495,1)+1,0),"")&amp;"/",FIND("/",REPLACE(B495,1,IFERROR(FIND("//",B495,1)+1,0),"")&amp;"/",1),LEN(B495),""),"www.","",1)</f>
        <v>online-bueroeinrichtungen.de</v>
      </c>
      <c r="D495" s="13">
        <f>COUNTIF($C$2:$C$801,C495)</f>
        <v>1</v>
      </c>
      <c r="E495" s="10" t="s">
        <v>237</v>
      </c>
      <c r="F495" s="4" t="s">
        <v>729</v>
      </c>
      <c r="G495" s="31" t="s">
        <v>5</v>
      </c>
      <c r="H495" s="31" t="s">
        <v>965</v>
      </c>
      <c r="I495" s="10" t="s">
        <v>981</v>
      </c>
    </row>
    <row r="496" spans="1:9" ht="23" customHeight="1" x14ac:dyDescent="0.15">
      <c r="A496" s="4" t="s">
        <v>28</v>
      </c>
      <c r="B496" s="6" t="s">
        <v>50</v>
      </c>
      <c r="C496" s="13" t="str">
        <f>SUBSTITUTE(REPLACE(REPLACE(B496,1,IFERROR(FIND("//",B496,1)+1,0),"")&amp;"/",FIND("/",REPLACE(B496,1,IFERROR(FIND("//",B496,1)+1,0),"")&amp;"/",1),LEN(B496),""),"www.","",1)</f>
        <v>onlineobchody.com</v>
      </c>
      <c r="D496" s="13">
        <f>COUNTIF($C$2:$C$801,C496)</f>
        <v>1</v>
      </c>
      <c r="E496" s="10" t="s">
        <v>93</v>
      </c>
      <c r="F496" s="4"/>
      <c r="G496" s="31" t="s">
        <v>5</v>
      </c>
      <c r="H496" s="31" t="s">
        <v>965</v>
      </c>
      <c r="I496" s="10" t="s">
        <v>981</v>
      </c>
    </row>
    <row r="497" spans="1:9" ht="23" customHeight="1" x14ac:dyDescent="0.15">
      <c r="A497" s="4" t="s">
        <v>28</v>
      </c>
      <c r="B497" s="6" t="s">
        <v>129</v>
      </c>
      <c r="C497" s="13" t="str">
        <f>SUBSTITUTE(REPLACE(REPLACE(B497,1,IFERROR(FIND("//",B497,1)+1,0),"")&amp;"/",FIND("/",REPLACE(B497,1,IFERROR(FIND("//",B497,1)+1,0),"")&amp;"/",1),LEN(B497),""),"www.","",1)</f>
        <v>openpr.de</v>
      </c>
      <c r="D497" s="13">
        <f>COUNTIF($C$2:$C$801,C497)</f>
        <v>1</v>
      </c>
      <c r="E497" s="10" t="s">
        <v>237</v>
      </c>
      <c r="F497" s="4" t="s">
        <v>731</v>
      </c>
      <c r="G497" s="31" t="s">
        <v>4</v>
      </c>
      <c r="H497" s="31" t="s">
        <v>965</v>
      </c>
      <c r="I497" s="10" t="s">
        <v>977</v>
      </c>
    </row>
    <row r="498" spans="1:9" ht="23" customHeight="1" x14ac:dyDescent="0.15">
      <c r="A498" s="4" t="s">
        <v>28</v>
      </c>
      <c r="B498" s="6" t="s">
        <v>878</v>
      </c>
      <c r="C498" s="13" t="str">
        <f>SUBSTITUTE(REPLACE(REPLACE(B498,1,IFERROR(FIND("//",B498,1)+1,0),"")&amp;"/",FIND("/",REPLACE(B498,1,IFERROR(FIND("//",B498,1)+1,0),"")&amp;"/",1),LEN(B498),""),"www.","",1)</f>
        <v>optimales-buero.de</v>
      </c>
      <c r="D498" s="13">
        <f>COUNTIF($C$2:$C$801,C498)</f>
        <v>1</v>
      </c>
      <c r="E498" s="10" t="s">
        <v>241</v>
      </c>
      <c r="F498" s="4" t="s">
        <v>729</v>
      </c>
      <c r="G498" s="31" t="s">
        <v>4</v>
      </c>
      <c r="H498" s="31" t="s">
        <v>965</v>
      </c>
      <c r="I498" s="10" t="s">
        <v>977</v>
      </c>
    </row>
    <row r="499" spans="1:9" ht="23" customHeight="1" x14ac:dyDescent="0.15">
      <c r="A499" s="4" t="s">
        <v>28</v>
      </c>
      <c r="B499" s="6" t="s">
        <v>877</v>
      </c>
      <c r="C499" s="13" t="str">
        <f>SUBSTITUTE(REPLACE(REPLACE(B499,1,IFERROR(FIND("//",B499,1)+1,0),"")&amp;"/",FIND("/",REPLACE(B499,1,IFERROR(FIND("//",B499,1)+1,0),"")&amp;"/",1),LEN(B499),""),"www.","",1)</f>
        <v>optimalesbuero.de</v>
      </c>
      <c r="D499" s="13">
        <f>COUNTIF($C$2:$C$801,C499)</f>
        <v>1</v>
      </c>
      <c r="E499" s="10" t="s">
        <v>241</v>
      </c>
      <c r="F499" s="4" t="s">
        <v>729</v>
      </c>
      <c r="G499" s="31" t="s">
        <v>4</v>
      </c>
      <c r="H499" s="31" t="s">
        <v>965</v>
      </c>
      <c r="I499" s="10" t="s">
        <v>977</v>
      </c>
    </row>
    <row r="500" spans="1:9" ht="23" customHeight="1" x14ac:dyDescent="0.15">
      <c r="A500" s="4" t="s">
        <v>28</v>
      </c>
      <c r="B500" s="6" t="s">
        <v>152</v>
      </c>
      <c r="C500" s="13" t="str">
        <f>SUBSTITUTE(REPLACE(REPLACE(B500,1,IFERROR(FIND("//",B500,1)+1,0),"")&amp;"/",FIND("/",REPLACE(B500,1,IFERROR(FIND("//",B500,1)+1,0),"")&amp;"/",1),LEN(B500),""),"www.","",1)</f>
        <v>orgaplan-cottbus.de</v>
      </c>
      <c r="D500" s="13">
        <f>COUNTIF($C$2:$C$801,C500)</f>
        <v>1</v>
      </c>
      <c r="E500" s="10" t="s">
        <v>14</v>
      </c>
      <c r="F500" s="4"/>
      <c r="G500" s="31" t="s">
        <v>5</v>
      </c>
      <c r="H500" s="31" t="s">
        <v>965</v>
      </c>
      <c r="I500" s="10" t="s">
        <v>981</v>
      </c>
    </row>
    <row r="501" spans="1:9" ht="23" customHeight="1" x14ac:dyDescent="0.15">
      <c r="A501" s="4" t="s">
        <v>28</v>
      </c>
      <c r="B501" s="6" t="s">
        <v>810</v>
      </c>
      <c r="C501" s="35" t="str">
        <f>SUBSTITUTE(REPLACE(REPLACE(B501,1,IFERROR(FIND("//",B501,1)+1,0),"")&amp;"/",FIND("/",REPLACE(B501,1,IFERROR(FIND("//",B501,1)+1,0),"")&amp;"/",1),LEN(B501),""),"www.","",1)</f>
        <v>orgatec.com</v>
      </c>
      <c r="D501" s="13">
        <f>COUNTIF($C$2:$C$801,C501)</f>
        <v>1</v>
      </c>
      <c r="E501" s="10" t="s">
        <v>237</v>
      </c>
      <c r="F501" s="4" t="s">
        <v>737</v>
      </c>
      <c r="G501" s="31" t="s">
        <v>5</v>
      </c>
      <c r="H501" s="31" t="s">
        <v>965</v>
      </c>
      <c r="I501" s="10" t="s">
        <v>981</v>
      </c>
    </row>
    <row r="502" spans="1:9" ht="23" customHeight="1" x14ac:dyDescent="0.15">
      <c r="A502" s="4" t="s">
        <v>28</v>
      </c>
      <c r="B502" s="6" t="s">
        <v>296</v>
      </c>
      <c r="C502" s="13" t="str">
        <f>SUBSTITUTE(REPLACE(REPLACE(B502,1,IFERROR(FIND("//",B502,1)+1,0),"")&amp;"/",FIND("/",REPLACE(B502,1,IFERROR(FIND("//",B502,1)+1,0),"")&amp;"/",1),LEN(B502),""),"www.","",1)</f>
        <v>orgatec.de</v>
      </c>
      <c r="D502" s="13">
        <f>COUNTIF($C$2:$C$801,C502)</f>
        <v>1</v>
      </c>
      <c r="E502" s="10" t="s">
        <v>237</v>
      </c>
      <c r="F502" s="4" t="s">
        <v>735</v>
      </c>
      <c r="G502" s="31" t="s">
        <v>5</v>
      </c>
      <c r="H502" s="31" t="s">
        <v>965</v>
      </c>
      <c r="I502" s="10" t="s">
        <v>981</v>
      </c>
    </row>
    <row r="503" spans="1:9" ht="23" customHeight="1" x14ac:dyDescent="0.15">
      <c r="A503" s="4" t="s">
        <v>28</v>
      </c>
      <c r="B503" s="6" t="s">
        <v>233</v>
      </c>
      <c r="C503" s="13" t="str">
        <f>SUBSTITUTE(REPLACE(REPLACE(B503,1,IFERROR(FIND("//",B503,1)+1,0),"")&amp;"/",FIND("/",REPLACE(B503,1,IFERROR(FIND("//",B503,1)+1,0),"")&amp;"/",1),LEN(B503),""),"www.","",1)</f>
        <v>orte-online.de</v>
      </c>
      <c r="D503" s="13">
        <f>COUNTIF($C$2:$C$801,C503)</f>
        <v>1</v>
      </c>
      <c r="E503" s="10" t="s">
        <v>728</v>
      </c>
      <c r="F503" s="4" t="s">
        <v>25</v>
      </c>
      <c r="G503" s="31" t="s">
        <v>5</v>
      </c>
      <c r="H503" s="31" t="s">
        <v>965</v>
      </c>
      <c r="I503" s="10" t="s">
        <v>981</v>
      </c>
    </row>
    <row r="504" spans="1:9" ht="23" customHeight="1" x14ac:dyDescent="0.15">
      <c r="A504" s="4" t="s">
        <v>28</v>
      </c>
      <c r="B504" s="6" t="s">
        <v>112</v>
      </c>
      <c r="C504" s="13" t="str">
        <f>SUBSTITUTE(REPLACE(REPLACE(B504,1,IFERROR(FIND("//",B504,1)+1,0),"")&amp;"/",FIND("/",REPLACE(B504,1,IFERROR(FIND("//",B504,1)+1,0),"")&amp;"/",1),LEN(B504),""),"www.","",1)</f>
        <v>ostwestfalen-lippe.de</v>
      </c>
      <c r="D504" s="13">
        <f>COUNTIF($C$2:$C$801,C504)</f>
        <v>1</v>
      </c>
      <c r="E504" s="10" t="s">
        <v>237</v>
      </c>
      <c r="F504" s="4" t="s">
        <v>25</v>
      </c>
      <c r="G504" s="31" t="s">
        <v>4</v>
      </c>
      <c r="H504" s="31" t="s">
        <v>965</v>
      </c>
      <c r="I504" s="10" t="s">
        <v>977</v>
      </c>
    </row>
    <row r="505" spans="1:9" ht="23" customHeight="1" x14ac:dyDescent="0.15">
      <c r="A505" s="4" t="s">
        <v>28</v>
      </c>
      <c r="B505" s="6" t="s">
        <v>576</v>
      </c>
      <c r="C505" s="13" t="str">
        <f>SUBSTITUTE(REPLACE(REPLACE(B505,1,IFERROR(FIND("//",B505,1)+1,0),"")&amp;"/",FIND("/",REPLACE(B505,1,IFERROR(FIND("//",B505,1)+1,0),"")&amp;"/",1),LEN(B505),""),"www.","",1)</f>
        <v>owler.com</v>
      </c>
      <c r="D505" s="13">
        <f>COUNTIF($C$2:$C$801,C505)</f>
        <v>1</v>
      </c>
      <c r="E505" s="10" t="s">
        <v>577</v>
      </c>
      <c r="F505" s="4" t="s">
        <v>25</v>
      </c>
      <c r="G505" s="31" t="s">
        <v>4</v>
      </c>
      <c r="H505" s="31" t="s">
        <v>965</v>
      </c>
      <c r="I505" s="10" t="s">
        <v>977</v>
      </c>
    </row>
    <row r="506" spans="1:9" ht="23" customHeight="1" x14ac:dyDescent="0.15">
      <c r="A506" s="4" t="s">
        <v>28</v>
      </c>
      <c r="B506" s="6" t="s">
        <v>218</v>
      </c>
      <c r="C506" s="13" t="str">
        <f>SUBSTITUTE(REPLACE(REPLACE(B506,1,IFERROR(FIND("//",B506,1)+1,0),"")&amp;"/",FIND("/",REPLACE(B506,1,IFERROR(FIND("//",B506,1)+1,0),"")&amp;"/",1),LEN(B506),""),"www.","",1)</f>
        <v>owlshop24.de</v>
      </c>
      <c r="D506" s="13">
        <f>COUNTIF($C$2:$C$801,C506)</f>
        <v>1</v>
      </c>
      <c r="E506" s="10" t="s">
        <v>237</v>
      </c>
      <c r="F506" s="4" t="s">
        <v>25</v>
      </c>
      <c r="G506" s="31" t="s">
        <v>5</v>
      </c>
      <c r="H506" s="31" t="s">
        <v>965</v>
      </c>
      <c r="I506" s="10" t="s">
        <v>981</v>
      </c>
    </row>
    <row r="507" spans="1:9" ht="23" customHeight="1" x14ac:dyDescent="0.15">
      <c r="A507" s="4" t="s">
        <v>28</v>
      </c>
      <c r="B507" s="6" t="s">
        <v>385</v>
      </c>
      <c r="C507" s="13" t="str">
        <f>SUBSTITUTE(REPLACE(REPLACE(B507,1,IFERROR(FIND("//",B507,1)+1,0),"")&amp;"/",FIND("/",REPLACE(B507,1,IFERROR(FIND("//",B507,1)+1,0),"")&amp;"/",1),LEN(B507),""),"www.","",1)</f>
        <v>pahl-buero.de</v>
      </c>
      <c r="D507" s="13">
        <f>COUNTIF($C$2:$C$801,C507)</f>
        <v>1</v>
      </c>
      <c r="E507" s="10" t="s">
        <v>28</v>
      </c>
      <c r="F507" s="4" t="s">
        <v>729</v>
      </c>
      <c r="G507" s="31" t="s">
        <v>4</v>
      </c>
      <c r="H507" s="31" t="s">
        <v>965</v>
      </c>
      <c r="I507" s="10" t="s">
        <v>977</v>
      </c>
    </row>
    <row r="508" spans="1:9" ht="23" customHeight="1" x14ac:dyDescent="0.15">
      <c r="A508" s="4" t="s">
        <v>28</v>
      </c>
      <c r="B508" s="6" t="s">
        <v>23</v>
      </c>
      <c r="C508" s="13" t="str">
        <f>SUBSTITUTE(REPLACE(REPLACE(B508,1,IFERROR(FIND("//",B508,1)+1,0),"")&amp;"/",FIND("/",REPLACE(B508,1,IFERROR(FIND("//",B508,1)+1,0),"")&amp;"/",1),LEN(B508),""),"www.","",1)</f>
        <v>pape-rohde.de</v>
      </c>
      <c r="D508" s="13">
        <f>COUNTIF($C$2:$C$801,C508)</f>
        <v>1</v>
      </c>
      <c r="E508" s="10" t="s">
        <v>723</v>
      </c>
      <c r="F508" s="4" t="s">
        <v>729</v>
      </c>
      <c r="G508" s="31" t="s">
        <v>4</v>
      </c>
      <c r="H508" s="31" t="s">
        <v>968</v>
      </c>
      <c r="I508" s="29" t="s">
        <v>965</v>
      </c>
    </row>
    <row r="509" spans="1:9" ht="23" customHeight="1" x14ac:dyDescent="0.15">
      <c r="A509" s="4" t="s">
        <v>28</v>
      </c>
      <c r="B509" s="6" t="s">
        <v>95</v>
      </c>
      <c r="C509" s="13" t="str">
        <f>SUBSTITUTE(REPLACE(REPLACE(B509,1,IFERROR(FIND("//",B509,1)+1,0),"")&amp;"/",FIND("/",REPLACE(B509,1,IFERROR(FIND("//",B509,1)+1,0),"")&amp;"/",1),LEN(B509),""),"www.","",1)</f>
        <v>papierfischer.de</v>
      </c>
      <c r="D509" s="13">
        <f>COUNTIF($C$2:$C$801,C509)</f>
        <v>1</v>
      </c>
      <c r="E509" s="10" t="s">
        <v>697</v>
      </c>
      <c r="F509" s="4" t="s">
        <v>729</v>
      </c>
      <c r="G509" s="31" t="s">
        <v>5</v>
      </c>
      <c r="H509" s="31" t="s">
        <v>965</v>
      </c>
      <c r="I509" s="10" t="s">
        <v>981</v>
      </c>
    </row>
    <row r="510" spans="1:9" ht="23" customHeight="1" x14ac:dyDescent="0.15">
      <c r="A510" s="4" t="s">
        <v>28</v>
      </c>
      <c r="B510" s="6" t="s">
        <v>820</v>
      </c>
      <c r="C510" s="13" t="str">
        <f>SUBSTITUTE(REPLACE(REPLACE(B510,1,IFERROR(FIND("//",B510,1)+1,0),"")&amp;"/",FIND("/",REPLACE(B510,1,IFERROR(FIND("//",B510,1)+1,0),"")&amp;"/",1),LEN(B510),""),"www.","",1)</f>
        <v>pat.rest</v>
      </c>
      <c r="D510" s="13">
        <f>COUNTIF($C$2:$C$801,C510)</f>
        <v>1</v>
      </c>
      <c r="E510" s="10" t="s">
        <v>918</v>
      </c>
      <c r="F510" s="4" t="s">
        <v>13</v>
      </c>
      <c r="G510" s="31" t="s">
        <v>5</v>
      </c>
      <c r="H510" s="31" t="s">
        <v>965</v>
      </c>
      <c r="I510" s="10" t="s">
        <v>981</v>
      </c>
    </row>
    <row r="511" spans="1:9" ht="23" customHeight="1" x14ac:dyDescent="0.15">
      <c r="A511" s="4" t="s">
        <v>28</v>
      </c>
      <c r="B511" s="6" t="s">
        <v>247</v>
      </c>
      <c r="C511" s="13" t="str">
        <f>SUBSTITUTE(REPLACE(REPLACE(B511,1,IFERROR(FIND("//",B511,1)+1,0),"")&amp;"/",FIND("/",REPLACE(B511,1,IFERROR(FIND("//",B511,1)+1,0),"")&amp;"/",1),LEN(B511),""),"www.","",1)</f>
        <v>pbs-business.de</v>
      </c>
      <c r="D511" s="13">
        <f>COUNTIF($C$2:$C$801,C511)</f>
        <v>1</v>
      </c>
      <c r="E511" s="10" t="s">
        <v>237</v>
      </c>
      <c r="F511" s="4" t="s">
        <v>732</v>
      </c>
      <c r="G511" s="31" t="s">
        <v>4</v>
      </c>
      <c r="H511" s="31" t="s">
        <v>965</v>
      </c>
      <c r="I511" s="10" t="s">
        <v>977</v>
      </c>
    </row>
    <row r="512" spans="1:9" ht="23" customHeight="1" x14ac:dyDescent="0.15">
      <c r="A512" s="4" t="s">
        <v>28</v>
      </c>
      <c r="B512" s="6" t="s">
        <v>68</v>
      </c>
      <c r="C512" s="13" t="str">
        <f>SUBSTITUTE(REPLACE(REPLACE(B512,1,IFERROR(FIND("//",B512,1)+1,0),"")&amp;"/",FIND("/",REPLACE(B512,1,IFERROR(FIND("//",B512,1)+1,0),"")&amp;"/",1),LEN(B512),""),"www.","",1)</f>
        <v>pcon-portal.de</v>
      </c>
      <c r="D512" s="13">
        <f>COUNTIF($C$2:$C$801,C512)</f>
        <v>1</v>
      </c>
      <c r="E512" s="10" t="s">
        <v>28</v>
      </c>
      <c r="F512" s="4" t="s">
        <v>729</v>
      </c>
      <c r="G512" s="31" t="s">
        <v>5</v>
      </c>
      <c r="H512" s="31" t="s">
        <v>965</v>
      </c>
      <c r="I512" s="10" t="s">
        <v>981</v>
      </c>
    </row>
    <row r="513" spans="1:9" ht="23" customHeight="1" x14ac:dyDescent="0.15">
      <c r="A513" s="4" t="s">
        <v>28</v>
      </c>
      <c r="B513" s="6" t="s">
        <v>792</v>
      </c>
      <c r="C513" s="13" t="str">
        <f>SUBSTITUTE(REPLACE(REPLACE(B513,1,IFERROR(FIND("//",B513,1)+1,0),"")&amp;"/",FIND("/",REPLACE(B513,1,IFERROR(FIND("//",B513,1)+1,0),"")&amp;"/",1),LEN(B513),""),"www.","",1)</f>
        <v>pdu365.de</v>
      </c>
      <c r="D513" s="13">
        <f>COUNTIF($C$2:$C$801,C513)</f>
        <v>1</v>
      </c>
      <c r="E513" s="10" t="s">
        <v>250</v>
      </c>
      <c r="F513" s="4" t="s">
        <v>25</v>
      </c>
      <c r="G513" s="31" t="s">
        <v>4</v>
      </c>
      <c r="H513" s="31" t="s">
        <v>965</v>
      </c>
      <c r="I513" s="10" t="s">
        <v>977</v>
      </c>
    </row>
    <row r="514" spans="1:9" ht="23" customHeight="1" x14ac:dyDescent="0.15">
      <c r="A514" s="4" t="s">
        <v>28</v>
      </c>
      <c r="B514" s="6" t="s">
        <v>445</v>
      </c>
      <c r="C514" s="13" t="str">
        <f>SUBSTITUTE(REPLACE(REPLACE(B514,1,IFERROR(FIND("//",B514,1)+1,0),"")&amp;"/",FIND("/",REPLACE(B514,1,IFERROR(FIND("//",B514,1)+1,0),"")&amp;"/",1),LEN(B514),""),"www.","",1)</f>
        <v>perceptualstudio.com</v>
      </c>
      <c r="D514" s="13">
        <f>COUNTIF($C$2:$C$801,C514)</f>
        <v>1</v>
      </c>
      <c r="E514" s="10" t="s">
        <v>433</v>
      </c>
      <c r="F514" s="4" t="s">
        <v>730</v>
      </c>
      <c r="G514" s="31" t="s">
        <v>6</v>
      </c>
      <c r="H514" s="31" t="s">
        <v>967</v>
      </c>
      <c r="I514" s="10" t="s">
        <v>979</v>
      </c>
    </row>
    <row r="515" spans="1:9" ht="23" customHeight="1" x14ac:dyDescent="0.15">
      <c r="A515" s="4" t="s">
        <v>28</v>
      </c>
      <c r="B515" s="6" t="s">
        <v>552</v>
      </c>
      <c r="C515" s="13" t="str">
        <f>SUBSTITUTE(REPLACE(REPLACE(B515,1,IFERROR(FIND("//",B515,1)+1,0),"")&amp;"/",FIND("/",REPLACE(B515,1,IFERROR(FIND("//",B515,1)+1,0),"")&amp;"/",1),LEN(B515),""),"www.","",1)</f>
        <v>personensuche.dastelefonbuch.de</v>
      </c>
      <c r="D515" s="13">
        <f>COUNTIF($C$2:$C$801,C515)</f>
        <v>1</v>
      </c>
      <c r="E515" s="10" t="s">
        <v>553</v>
      </c>
      <c r="F515" s="4" t="s">
        <v>25</v>
      </c>
      <c r="G515" s="31" t="s">
        <v>4</v>
      </c>
      <c r="H515" s="31" t="s">
        <v>965</v>
      </c>
      <c r="I515" s="10" t="s">
        <v>977</v>
      </c>
    </row>
    <row r="516" spans="1:9" ht="23" customHeight="1" x14ac:dyDescent="0.15">
      <c r="A516" s="4" t="s">
        <v>28</v>
      </c>
      <c r="B516" s="6" t="s">
        <v>997</v>
      </c>
      <c r="C516" s="13" t="str">
        <f>SUBSTITUTE(REPLACE(REPLACE(B516,1,IFERROR(FIND("//",B516,1)+1,0),"")&amp;"/",FIND("/",REPLACE(B516,1,IFERROR(FIND("//",B516,1)+1,0),"")&amp;"/",1),LEN(B516),""),"www.","",1)</f>
        <v>perspektive-mittelstand.de</v>
      </c>
      <c r="D516" s="13">
        <f>COUNTIF($C$2:$C$801,C516)</f>
        <v>1</v>
      </c>
      <c r="E516" s="10" t="s">
        <v>1070</v>
      </c>
      <c r="F516" s="4" t="s">
        <v>731</v>
      </c>
      <c r="G516" s="31" t="s">
        <v>4</v>
      </c>
      <c r="H516" s="31" t="s">
        <v>1084</v>
      </c>
      <c r="I516" s="10"/>
    </row>
    <row r="517" spans="1:9" ht="23" customHeight="1" x14ac:dyDescent="0.15">
      <c r="A517" s="4" t="s">
        <v>28</v>
      </c>
      <c r="B517" s="6" t="s">
        <v>834</v>
      </c>
      <c r="C517" s="13" t="str">
        <f>SUBSTITUTE(REPLACE(REPLACE(B517,1,IFERROR(FIND("//",B517,1)+1,0),"")&amp;"/",FIND("/",REPLACE(B517,1,IFERROR(FIND("//",B517,1)+1,0),"")&amp;"/",1),LEN(B517),""),"www.","",1)</f>
        <v>pigeonforgeweddingsvenues.com</v>
      </c>
      <c r="D517" s="13">
        <f>COUNTIF($C$2:$C$801,C517)</f>
        <v>1</v>
      </c>
      <c r="E517" s="10" t="s">
        <v>923</v>
      </c>
      <c r="F517" s="4" t="s">
        <v>730</v>
      </c>
      <c r="G517" s="31" t="s">
        <v>6</v>
      </c>
      <c r="H517" s="31" t="s">
        <v>967</v>
      </c>
      <c r="I517" s="10" t="s">
        <v>979</v>
      </c>
    </row>
    <row r="518" spans="1:9" ht="23" customHeight="1" x14ac:dyDescent="0.15">
      <c r="A518" s="4" t="s">
        <v>28</v>
      </c>
      <c r="B518" s="6" t="s">
        <v>502</v>
      </c>
      <c r="C518" s="13" t="str">
        <f>SUBSTITUTE(REPLACE(REPLACE(B518,1,IFERROR(FIND("//",B518,1)+1,0),"")&amp;"/",FIND("/",REPLACE(B518,1,IFERROR(FIND("//",B518,1)+1,0),"")&amp;"/",1),LEN(B518),""),"www.","",1)</f>
        <v>pimp-my-chair.com</v>
      </c>
      <c r="D518" s="13">
        <f>COUNTIF($C$2:$C$801,C518)</f>
        <v>1</v>
      </c>
      <c r="E518" s="10" t="s">
        <v>237</v>
      </c>
      <c r="F518" s="4" t="s">
        <v>729</v>
      </c>
      <c r="G518" s="31" t="s">
        <v>5</v>
      </c>
      <c r="H518" s="31" t="s">
        <v>965</v>
      </c>
      <c r="I518" s="10" t="s">
        <v>981</v>
      </c>
    </row>
    <row r="519" spans="1:9" ht="23" customHeight="1" x14ac:dyDescent="0.15">
      <c r="A519" s="4" t="s">
        <v>28</v>
      </c>
      <c r="B519" s="6" t="s">
        <v>111</v>
      </c>
      <c r="C519" s="13" t="str">
        <f>SUBSTITUTE(REPLACE(REPLACE(B519,1,IFERROR(FIND("//",B519,1)+1,0),"")&amp;"/",FIND("/",REPLACE(B519,1,IFERROR(FIND("//",B519,1)+1,0),"")&amp;"/",1),LEN(B519),""),"www.","",1)</f>
        <v>pimp-my-chair.de</v>
      </c>
      <c r="D519" s="13">
        <f>COUNTIF($C$2:$C$801,C519)</f>
        <v>1</v>
      </c>
      <c r="E519" s="10" t="s">
        <v>237</v>
      </c>
      <c r="F519" s="4" t="s">
        <v>729</v>
      </c>
      <c r="G519" s="31" t="s">
        <v>5</v>
      </c>
      <c r="H519" s="31" t="s">
        <v>965</v>
      </c>
      <c r="I519" s="10" t="s">
        <v>981</v>
      </c>
    </row>
    <row r="520" spans="1:9" ht="23" customHeight="1" x14ac:dyDescent="0.15">
      <c r="A520" s="4" t="s">
        <v>28</v>
      </c>
      <c r="B520" s="6" t="s">
        <v>503</v>
      </c>
      <c r="C520" s="13" t="str">
        <f>SUBSTITUTE(REPLACE(REPLACE(B520,1,IFERROR(FIND("//",B520,1)+1,0),"")&amp;"/",FIND("/",REPLACE(B520,1,IFERROR(FIND("//",B520,1)+1,0),"")&amp;"/",1),LEN(B520),""),"www.","",1)</f>
        <v>pimpmychair.de</v>
      </c>
      <c r="D520" s="13">
        <f>COUNTIF($C$2:$C$801,C520)</f>
        <v>1</v>
      </c>
      <c r="E520" s="10" t="s">
        <v>237</v>
      </c>
      <c r="F520" s="4" t="s">
        <v>729</v>
      </c>
      <c r="G520" s="31" t="s">
        <v>5</v>
      </c>
      <c r="H520" s="31" t="s">
        <v>965</v>
      </c>
      <c r="I520" s="10" t="s">
        <v>981</v>
      </c>
    </row>
    <row r="521" spans="1:9" ht="23" customHeight="1" x14ac:dyDescent="0.15">
      <c r="A521" s="4" t="s">
        <v>28</v>
      </c>
      <c r="B521" s="6" t="s">
        <v>989</v>
      </c>
      <c r="C521" s="13" t="str">
        <f>SUBSTITUTE(REPLACE(REPLACE(B521,1,IFERROR(FIND("//",B521,1)+1,0),"")&amp;"/",FIND("/",REPLACE(B521,1,IFERROR(FIND("//",B521,1)+1,0),"")&amp;"/",1),LEN(B521),""),"www.","",1)</f>
        <v>pinterest.de</v>
      </c>
      <c r="D521" s="13">
        <f>COUNTIF($C$2:$C$801,C521)</f>
        <v>1</v>
      </c>
      <c r="E521" s="10" t="s">
        <v>1064</v>
      </c>
      <c r="F521" s="4" t="s">
        <v>13</v>
      </c>
      <c r="G521" s="31" t="s">
        <v>4</v>
      </c>
      <c r="H521" s="31" t="s">
        <v>1084</v>
      </c>
      <c r="I521" s="10"/>
    </row>
    <row r="522" spans="1:9" ht="23" customHeight="1" x14ac:dyDescent="0.15">
      <c r="A522" s="4" t="s">
        <v>28</v>
      </c>
      <c r="B522" s="6" t="s">
        <v>1044</v>
      </c>
      <c r="C522" s="13" t="str">
        <f>SUBSTITUTE(REPLACE(REPLACE(B522,1,IFERROR(FIND("//",B522,1)+1,0),"")&amp;"/",FIND("/",REPLACE(B522,1,IFERROR(FIND("//",B522,1)+1,0),"")&amp;"/",1),LEN(B522),""),"www.","",1)</f>
        <v>pirdu.com</v>
      </c>
      <c r="D522" s="13">
        <f>COUNTIF($C$2:$C$801,C522)</f>
        <v>1</v>
      </c>
      <c r="E522" s="10" t="s">
        <v>928</v>
      </c>
      <c r="F522" s="4" t="s">
        <v>730</v>
      </c>
      <c r="G522" s="31" t="s">
        <v>6</v>
      </c>
      <c r="H522" s="31" t="s">
        <v>1084</v>
      </c>
      <c r="I522" s="10"/>
    </row>
    <row r="523" spans="1:9" ht="23" customHeight="1" x14ac:dyDescent="0.15">
      <c r="A523" s="4" t="s">
        <v>28</v>
      </c>
      <c r="B523" s="6" t="s">
        <v>781</v>
      </c>
      <c r="C523" s="13" t="str">
        <f>SUBSTITUTE(REPLACE(REPLACE(B523,1,IFERROR(FIND("//",B523,1)+1,0),"")&amp;"/",FIND("/",REPLACE(B523,1,IFERROR(FIND("//",B523,1)+1,0),"")&amp;"/",1),LEN(B523),""),"www.","",1)</f>
        <v>planer.iba.online</v>
      </c>
      <c r="D523" s="13">
        <f>COUNTIF($C$2:$C$801,C523)</f>
        <v>1</v>
      </c>
      <c r="E523" s="10" t="s">
        <v>906</v>
      </c>
      <c r="F523" s="4" t="s">
        <v>737</v>
      </c>
      <c r="G523" s="31" t="s">
        <v>4</v>
      </c>
      <c r="H523" s="31" t="s">
        <v>965</v>
      </c>
      <c r="I523" s="10" t="s">
        <v>977</v>
      </c>
    </row>
    <row r="524" spans="1:9" ht="23" customHeight="1" x14ac:dyDescent="0.15">
      <c r="A524" s="4" t="s">
        <v>28</v>
      </c>
      <c r="B524" s="6" t="s">
        <v>139</v>
      </c>
      <c r="C524" s="13" t="str">
        <f>SUBSTITUTE(REPLACE(REPLACE(B524,1,IFERROR(FIND("//",B524,1)+1,0),"")&amp;"/",FIND("/",REPLACE(B524,1,IFERROR(FIND("//",B524,1)+1,0),"")&amp;"/",1),LEN(B524),""),"www.","",1)</f>
        <v>planobjekt.net</v>
      </c>
      <c r="D524" s="13">
        <f>COUNTIF($C$2:$C$801,C524)</f>
        <v>1</v>
      </c>
      <c r="E524" s="10" t="s">
        <v>27</v>
      </c>
      <c r="F524" s="4" t="s">
        <v>729</v>
      </c>
      <c r="G524" s="31" t="s">
        <v>4</v>
      </c>
      <c r="H524" s="31" t="s">
        <v>965</v>
      </c>
      <c r="I524" s="10" t="s">
        <v>977</v>
      </c>
    </row>
    <row r="525" spans="1:9" ht="23" customHeight="1" x14ac:dyDescent="0.15">
      <c r="A525" s="4" t="s">
        <v>28</v>
      </c>
      <c r="B525" s="6" t="s">
        <v>768</v>
      </c>
      <c r="C525" s="13" t="str">
        <f>SUBSTITUTE(REPLACE(REPLACE(B525,1,IFERROR(FIND("//",B525,1)+1,0),"")&amp;"/",FIND("/",REPLACE(B525,1,IFERROR(FIND("//",B525,1)+1,0),"")&amp;"/",1),LEN(B525),""),"www.","",1)</f>
        <v>pluradent.de</v>
      </c>
      <c r="D525" s="13">
        <f>COUNTIF($C$2:$C$801,C525)</f>
        <v>1</v>
      </c>
      <c r="E525" s="10" t="s">
        <v>901</v>
      </c>
      <c r="F525" s="4" t="s">
        <v>729</v>
      </c>
      <c r="G525" s="31" t="s">
        <v>4</v>
      </c>
      <c r="H525" s="31" t="s">
        <v>965</v>
      </c>
      <c r="I525" s="10" t="s">
        <v>977</v>
      </c>
    </row>
    <row r="526" spans="1:9" ht="23" customHeight="1" x14ac:dyDescent="0.15">
      <c r="A526" s="4" t="s">
        <v>28</v>
      </c>
      <c r="B526" s="6" t="s">
        <v>831</v>
      </c>
      <c r="C526" s="13" t="str">
        <f>SUBSTITUTE(REPLACE(REPLACE(B526,1,IFERROR(FIND("//",B526,1)+1,0),"")&amp;"/",FIND("/",REPLACE(B526,1,IFERROR(FIND("//",B526,1)+1,0),"")&amp;"/",1),LEN(B526),""),"www.","",1)</f>
        <v>poisonoakproductions.com</v>
      </c>
      <c r="D526" s="13">
        <f>COUNTIF($C$2:$C$801,C526)</f>
        <v>1</v>
      </c>
      <c r="E526" s="10"/>
      <c r="F526" s="4" t="s">
        <v>13</v>
      </c>
      <c r="G526" s="31" t="s">
        <v>5</v>
      </c>
      <c r="H526" s="31" t="s">
        <v>965</v>
      </c>
      <c r="I526" s="10" t="s">
        <v>981</v>
      </c>
    </row>
    <row r="527" spans="1:9" ht="23" customHeight="1" x14ac:dyDescent="0.15">
      <c r="A527" s="4" t="s">
        <v>28</v>
      </c>
      <c r="B527" s="6" t="s">
        <v>446</v>
      </c>
      <c r="C527" s="13" t="str">
        <f>SUBSTITUTE(REPLACE(REPLACE(B527,1,IFERROR(FIND("//",B527,1)+1,0),"")&amp;"/",FIND("/",REPLACE(B527,1,IFERROR(FIND("//",B527,1)+1,0),"")&amp;"/",1),LEN(B527),""),"www.","",1)</f>
        <v>potztausend-medien.de</v>
      </c>
      <c r="D527" s="13">
        <f>COUNTIF($C$2:$C$801,C527)</f>
        <v>1</v>
      </c>
      <c r="E527" s="10" t="s">
        <v>612</v>
      </c>
      <c r="F527" s="4" t="s">
        <v>739</v>
      </c>
      <c r="G527" s="31" t="s">
        <v>4</v>
      </c>
      <c r="H527" s="31" t="s">
        <v>965</v>
      </c>
      <c r="I527" s="10" t="s">
        <v>977</v>
      </c>
    </row>
    <row r="528" spans="1:9" ht="23" customHeight="1" x14ac:dyDescent="0.15">
      <c r="A528" s="4" t="s">
        <v>28</v>
      </c>
      <c r="B528" s="6" t="s">
        <v>504</v>
      </c>
      <c r="C528" s="13" t="str">
        <f>SUBSTITUTE(REPLACE(REPLACE(B528,1,IFERROR(FIND("//",B528,1)+1,0),"")&amp;"/",FIND("/",REPLACE(B528,1,IFERROR(FIND("//",B528,1)+1,0),"")&amp;"/",1),LEN(B528),""),"www.","",1)</f>
        <v>potztausend.de</v>
      </c>
      <c r="D528" s="13">
        <f>COUNTIF($C$2:$C$801,C528)</f>
        <v>1</v>
      </c>
      <c r="E528" s="10" t="s">
        <v>612</v>
      </c>
      <c r="F528" s="4" t="s">
        <v>739</v>
      </c>
      <c r="G528" s="31" t="s">
        <v>4</v>
      </c>
      <c r="H528" s="31" t="s">
        <v>965</v>
      </c>
      <c r="I528" s="10" t="s">
        <v>977</v>
      </c>
    </row>
    <row r="529" spans="1:9" ht="23" customHeight="1" x14ac:dyDescent="0.15">
      <c r="A529" s="4" t="s">
        <v>28</v>
      </c>
      <c r="B529" s="6" t="s">
        <v>278</v>
      </c>
      <c r="C529" s="13" t="str">
        <f>SUBSTITUTE(REPLACE(REPLACE(B529,1,IFERROR(FIND("//",B529,1)+1,0),"")&amp;"/",FIND("/",REPLACE(B529,1,IFERROR(FIND("//",B529,1)+1,0),"")&amp;"/",1),LEN(B529),""),"www.","",1)</f>
        <v>prisma.ag</v>
      </c>
      <c r="D529" s="13">
        <f>COUNTIF($C$2:$C$801,C529)</f>
        <v>1</v>
      </c>
      <c r="E529" s="10" t="s">
        <v>237</v>
      </c>
      <c r="F529" s="4" t="s">
        <v>729</v>
      </c>
      <c r="G529" s="31" t="s">
        <v>4</v>
      </c>
      <c r="H529" s="31" t="s">
        <v>965</v>
      </c>
      <c r="I529" s="10" t="s">
        <v>977</v>
      </c>
    </row>
    <row r="530" spans="1:9" ht="23" customHeight="1" x14ac:dyDescent="0.15">
      <c r="A530" s="4" t="s">
        <v>28</v>
      </c>
      <c r="B530" s="6" t="s">
        <v>132</v>
      </c>
      <c r="C530" s="13" t="str">
        <f>SUBSTITUTE(REPLACE(REPLACE(B530,1,IFERROR(FIND("//",B530,1)+1,0),"")&amp;"/",FIND("/",REPLACE(B530,1,IFERROR(FIND("//",B530,1)+1,0),"")&amp;"/",1),LEN(B530),""),"www.","",1)</f>
        <v>pro-office-buero.de</v>
      </c>
      <c r="D530" s="13">
        <f>COUNTIF($C$2:$C$801,C530)</f>
        <v>1</v>
      </c>
      <c r="E530" s="10" t="s">
        <v>241</v>
      </c>
      <c r="F530" s="4" t="s">
        <v>729</v>
      </c>
      <c r="G530" s="31" t="s">
        <v>5</v>
      </c>
      <c r="H530" s="31" t="s">
        <v>965</v>
      </c>
      <c r="I530" s="10" t="s">
        <v>981</v>
      </c>
    </row>
    <row r="531" spans="1:9" ht="23" customHeight="1" x14ac:dyDescent="0.15">
      <c r="A531" s="4" t="s">
        <v>28</v>
      </c>
      <c r="B531" s="6" t="s">
        <v>321</v>
      </c>
      <c r="C531" s="13" t="str">
        <f>SUBSTITUTE(REPLACE(REPLACE(B531,1,IFERROR(FIND("//",B531,1)+1,0),"")&amp;"/",FIND("/",REPLACE(B531,1,IFERROR(FIND("//",B531,1)+1,0),"")&amp;"/",1),LEN(B531),""),"www.","",1)</f>
        <v>pro-office.de</v>
      </c>
      <c r="D531" s="13">
        <f>COUNTIF($C$2:$C$801,C531)</f>
        <v>1</v>
      </c>
      <c r="E531" s="10"/>
      <c r="F531" s="4" t="s">
        <v>729</v>
      </c>
      <c r="G531" s="31" t="s">
        <v>4</v>
      </c>
      <c r="H531" s="31" t="s">
        <v>965</v>
      </c>
      <c r="I531" s="10" t="s">
        <v>977</v>
      </c>
    </row>
    <row r="532" spans="1:9" ht="23" customHeight="1" x14ac:dyDescent="0.15">
      <c r="A532" s="4" t="s">
        <v>28</v>
      </c>
      <c r="B532" s="6" t="s">
        <v>818</v>
      </c>
      <c r="C532" s="13" t="str">
        <f>SUBSTITUTE(REPLACE(REPLACE(B532,1,IFERROR(FIND("//",B532,1)+1,0),"")&amp;"/",FIND("/",REPLACE(B532,1,IFERROR(FIND("//",B532,1)+1,0),"")&amp;"/",1),LEN(B532),""),"www.","",1)</f>
        <v>profi-m.eu</v>
      </c>
      <c r="D532" s="13">
        <f>COUNTIF($C$2:$C$801,C532)</f>
        <v>1</v>
      </c>
      <c r="E532" s="10">
        <v>301</v>
      </c>
      <c r="F532" s="4" t="s">
        <v>13</v>
      </c>
      <c r="G532" s="31" t="s">
        <v>4</v>
      </c>
      <c r="H532" s="31" t="s">
        <v>965</v>
      </c>
      <c r="I532" s="10" t="s">
        <v>977</v>
      </c>
    </row>
    <row r="533" spans="1:9" ht="23" customHeight="1" x14ac:dyDescent="0.15">
      <c r="A533" s="4" t="s">
        <v>28</v>
      </c>
      <c r="B533" s="6" t="s">
        <v>216</v>
      </c>
      <c r="C533" s="13" t="str">
        <f>SUBSTITUTE(REPLACE(REPLACE(B533,1,IFERROR(FIND("//",B533,1)+1,0),"")&amp;"/",FIND("/",REPLACE(B533,1,IFERROR(FIND("//",B533,1)+1,0),"")&amp;"/",1),LEN(B533),""),"www.","",1)</f>
        <v>profile-media.de</v>
      </c>
      <c r="D533" s="13">
        <f>COUNTIF($C$2:$C$801,C533)</f>
        <v>1</v>
      </c>
      <c r="E533" s="10" t="s">
        <v>237</v>
      </c>
      <c r="F533" s="4" t="s">
        <v>739</v>
      </c>
      <c r="G533" s="31" t="s">
        <v>5</v>
      </c>
      <c r="H533" s="31" t="s">
        <v>965</v>
      </c>
      <c r="I533" s="10" t="s">
        <v>981</v>
      </c>
    </row>
    <row r="534" spans="1:9" ht="23" customHeight="1" x14ac:dyDescent="0.15">
      <c r="A534" s="4" t="s">
        <v>28</v>
      </c>
      <c r="B534" s="6" t="s">
        <v>844</v>
      </c>
      <c r="C534" s="13" t="str">
        <f>SUBSTITUTE(REPLACE(REPLACE(B534,1,IFERROR(FIND("//",B534,1)+1,0),"")&amp;"/",FIND("/",REPLACE(B534,1,IFERROR(FIND("//",B534,1)+1,0),"")&amp;"/",1),LEN(B534),""),"www.","",1)</f>
        <v>projektlublin.com</v>
      </c>
      <c r="D534" s="13">
        <f>COUNTIF($C$2:$C$801,C534)</f>
        <v>1</v>
      </c>
      <c r="E534" s="10" t="s">
        <v>923</v>
      </c>
      <c r="F534" s="4" t="s">
        <v>730</v>
      </c>
      <c r="G534" s="31" t="s">
        <v>6</v>
      </c>
      <c r="H534" s="31" t="s">
        <v>967</v>
      </c>
      <c r="I534" s="10" t="s">
        <v>979</v>
      </c>
    </row>
    <row r="535" spans="1:9" ht="23" customHeight="1" x14ac:dyDescent="0.15">
      <c r="A535" s="4" t="s">
        <v>28</v>
      </c>
      <c r="B535" s="6" t="s">
        <v>169</v>
      </c>
      <c r="C535" s="13" t="str">
        <f>SUBSTITUTE(REPLACE(REPLACE(B535,1,IFERROR(FIND("//",B535,1)+1,0),"")&amp;"/",FIND("/",REPLACE(B535,1,IFERROR(FIND("//",B535,1)+1,0),"")&amp;"/",1),LEN(B535),""),"www.","",1)</f>
        <v>pruefer-herting.de</v>
      </c>
      <c r="D535" s="13">
        <f>COUNTIF($C$2:$C$801,C535)</f>
        <v>1</v>
      </c>
      <c r="E535" s="10" t="s">
        <v>14</v>
      </c>
      <c r="F535" s="4" t="s">
        <v>729</v>
      </c>
      <c r="G535" s="31" t="s">
        <v>5</v>
      </c>
      <c r="H535" s="31" t="s">
        <v>965</v>
      </c>
      <c r="I535" s="10" t="s">
        <v>981</v>
      </c>
    </row>
    <row r="536" spans="1:9" ht="23" customHeight="1" x14ac:dyDescent="0.15">
      <c r="A536" s="4" t="s">
        <v>28</v>
      </c>
      <c r="B536" s="6" t="s">
        <v>807</v>
      </c>
      <c r="C536" s="13" t="str">
        <f>SUBSTITUTE(REPLACE(REPLACE(B536,1,IFERROR(FIND("//",B536,1)+1,0),"")&amp;"/",FIND("/",REPLACE(B536,1,IFERROR(FIND("//",B536,1)+1,0),"")&amp;"/",1),LEN(B536),""),"www.","",1)</f>
        <v>quadro-office-nord.de</v>
      </c>
      <c r="D536" s="13">
        <f>COUNTIF($C$2:$C$801,C536)</f>
        <v>1</v>
      </c>
      <c r="E536" s="10" t="s">
        <v>241</v>
      </c>
      <c r="F536" s="4" t="s">
        <v>729</v>
      </c>
      <c r="G536" s="31" t="s">
        <v>4</v>
      </c>
      <c r="H536" s="31" t="s">
        <v>965</v>
      </c>
      <c r="I536" s="10" t="s">
        <v>977</v>
      </c>
    </row>
    <row r="537" spans="1:9" ht="23" customHeight="1" x14ac:dyDescent="0.15">
      <c r="A537" s="4" t="s">
        <v>28</v>
      </c>
      <c r="B537" s="6" t="s">
        <v>816</v>
      </c>
      <c r="C537" s="13" t="str">
        <f>SUBSTITUTE(REPLACE(REPLACE(B537,1,IFERROR(FIND("//",B537,1)+1,0),"")&amp;"/",FIND("/",REPLACE(B537,1,IFERROR(FIND("//",B537,1)+1,0),"")&amp;"/",1),LEN(B537),""),"www.","",1)</f>
        <v>quadro-office.de</v>
      </c>
      <c r="D537" s="13">
        <f>COUNTIF($C$2:$C$801,C537)</f>
        <v>1</v>
      </c>
      <c r="E537" s="10"/>
      <c r="F537" s="4" t="s">
        <v>729</v>
      </c>
      <c r="G537" s="31" t="s">
        <v>4</v>
      </c>
      <c r="H537" s="31" t="s">
        <v>965</v>
      </c>
      <c r="I537" s="10" t="s">
        <v>977</v>
      </c>
    </row>
    <row r="538" spans="1:9" ht="23" customHeight="1" x14ac:dyDescent="0.15">
      <c r="A538" s="4" t="s">
        <v>28</v>
      </c>
      <c r="B538" s="6" t="s">
        <v>1020</v>
      </c>
      <c r="C538" s="13" t="str">
        <f>SUBSTITUTE(REPLACE(REPLACE(B538,1,IFERROR(FIND("//",B538,1)+1,0),"")&amp;"/",FIND("/",REPLACE(B538,1,IFERROR(FIND("//",B538,1)+1,0),"")&amp;"/",1),LEN(B538),""),"www.","",1)</f>
        <v>quality-office.org</v>
      </c>
      <c r="D538" s="13">
        <f>COUNTIF($C$2:$C$801,C538)</f>
        <v>1</v>
      </c>
      <c r="E538" s="10" t="s">
        <v>237</v>
      </c>
      <c r="F538" s="4" t="s">
        <v>735</v>
      </c>
      <c r="G538" s="31" t="s">
        <v>4</v>
      </c>
      <c r="H538" s="31" t="s">
        <v>1084</v>
      </c>
      <c r="I538" s="10"/>
    </row>
    <row r="539" spans="1:9" ht="23" customHeight="1" x14ac:dyDescent="0.15">
      <c r="A539" s="4" t="s">
        <v>28</v>
      </c>
      <c r="B539" s="6" t="s">
        <v>156</v>
      </c>
      <c r="C539" s="13" t="str">
        <f>SUBSTITUTE(REPLACE(REPLACE(B539,1,IFERROR(FIND("//",B539,1)+1,0),"")&amp;"/",FIND("/",REPLACE(B539,1,IFERROR(FIND("//",B539,1)+1,0),"")&amp;"/",1),LEN(B539),""),"www.","",1)</f>
        <v>radaris.de</v>
      </c>
      <c r="D539" s="13">
        <f>COUNTIF($C$2:$C$801,C539)</f>
        <v>1</v>
      </c>
      <c r="E539" s="10" t="s">
        <v>613</v>
      </c>
      <c r="F539" s="4" t="s">
        <v>25</v>
      </c>
      <c r="G539" s="31" t="s">
        <v>4</v>
      </c>
      <c r="H539" s="31" t="s">
        <v>965</v>
      </c>
      <c r="I539" s="10" t="s">
        <v>977</v>
      </c>
    </row>
    <row r="540" spans="1:9" ht="23" customHeight="1" x14ac:dyDescent="0.15">
      <c r="A540" s="4" t="s">
        <v>28</v>
      </c>
      <c r="B540" s="6" t="s">
        <v>225</v>
      </c>
      <c r="C540" s="13" t="str">
        <f>SUBSTITUTE(REPLACE(REPLACE(B540,1,IFERROR(FIND("//",B540,1)+1,0),"")&amp;"/",FIND("/",REPLACE(B540,1,IFERROR(FIND("//",B540,1)+1,0),"")&amp;"/",1),LEN(B540),""),"www.","",1)</f>
        <v>rangau-mall-office-studio.de</v>
      </c>
      <c r="D540" s="13">
        <f>COUNTIF($C$2:$C$801,C540)</f>
        <v>1</v>
      </c>
      <c r="E540" s="10" t="s">
        <v>14</v>
      </c>
      <c r="F540" s="4" t="s">
        <v>729</v>
      </c>
      <c r="G540" s="31" t="s">
        <v>5</v>
      </c>
      <c r="H540" s="31" t="s">
        <v>965</v>
      </c>
      <c r="I540" s="10" t="s">
        <v>981</v>
      </c>
    </row>
    <row r="541" spans="1:9" ht="23" customHeight="1" x14ac:dyDescent="0.15">
      <c r="A541" s="4" t="s">
        <v>28</v>
      </c>
      <c r="B541" s="6" t="s">
        <v>605</v>
      </c>
      <c r="C541" s="13" t="str">
        <f>SUBSTITUTE(REPLACE(REPLACE(B541,1,IFERROR(FIND("//",B541,1)+1,0),"")&amp;"/",FIND("/",REPLACE(B541,1,IFERROR(FIND("//",B541,1)+1,0),"")&amp;"/",1),LEN(B541),""),"www.","",1)</f>
        <v>rasper-busch.de</v>
      </c>
      <c r="D541" s="13">
        <f>COUNTIF($C$2:$C$801,C541)</f>
        <v>1</v>
      </c>
      <c r="E541" s="10" t="s">
        <v>606</v>
      </c>
      <c r="F541" s="4" t="s">
        <v>729</v>
      </c>
      <c r="G541" s="31" t="s">
        <v>4</v>
      </c>
      <c r="H541" s="31" t="s">
        <v>965</v>
      </c>
      <c r="I541" s="10" t="s">
        <v>977</v>
      </c>
    </row>
    <row r="542" spans="1:9" ht="23" customHeight="1" x14ac:dyDescent="0.15">
      <c r="A542" s="4" t="s">
        <v>28</v>
      </c>
      <c r="B542" s="6" t="s">
        <v>101</v>
      </c>
      <c r="C542" s="13" t="str">
        <f>SUBSTITUTE(REPLACE(REPLACE(B542,1,IFERROR(FIND("//",B542,1)+1,0),"")&amp;"/",FIND("/",REPLACE(B542,1,IFERROR(FIND("//",B542,1)+1,0),"")&amp;"/",1),LEN(B542),""),"www.","",1)</f>
        <v>raum-anzug.de</v>
      </c>
      <c r="D542" s="13">
        <f>COUNTIF($C$2:$C$801,C542)</f>
        <v>1</v>
      </c>
      <c r="E542" s="10" t="s">
        <v>699</v>
      </c>
      <c r="F542" s="4" t="s">
        <v>729</v>
      </c>
      <c r="G542" s="31" t="s">
        <v>5</v>
      </c>
      <c r="H542" s="31" t="s">
        <v>965</v>
      </c>
      <c r="I542" s="10" t="s">
        <v>981</v>
      </c>
    </row>
    <row r="543" spans="1:9" ht="23" customHeight="1" x14ac:dyDescent="0.15">
      <c r="A543" s="4" t="s">
        <v>28</v>
      </c>
      <c r="B543" s="6" t="s">
        <v>379</v>
      </c>
      <c r="C543" s="13" t="str">
        <f>SUBSTITUTE(REPLACE(REPLACE(B543,1,IFERROR(FIND("//",B543,1)+1,0),"")&amp;"/",FIND("/",REPLACE(B543,1,IFERROR(FIND("//",B543,1)+1,0),"")&amp;"/",1),LEN(B543),""),"www.","",1)</f>
        <v>raumstore.de</v>
      </c>
      <c r="D543" s="13">
        <f>COUNTIF($C$2:$C$801,C543)</f>
        <v>1</v>
      </c>
      <c r="E543" s="10"/>
      <c r="F543" s="4" t="s">
        <v>729</v>
      </c>
      <c r="G543" s="31" t="s">
        <v>10</v>
      </c>
      <c r="H543" s="31" t="s">
        <v>965</v>
      </c>
      <c r="I543" s="29" t="s">
        <v>984</v>
      </c>
    </row>
    <row r="544" spans="1:9" ht="23" customHeight="1" x14ac:dyDescent="0.15">
      <c r="A544" s="4" t="s">
        <v>28</v>
      </c>
      <c r="B544" s="6" t="s">
        <v>505</v>
      </c>
      <c r="C544" s="13" t="str">
        <f>SUBSTITUTE(REPLACE(REPLACE(B544,1,IFERROR(FIND("//",B544,1)+1,0),"")&amp;"/",FIND("/",REPLACE(B544,1,IFERROR(FIND("//",B544,1)+1,0),"")&amp;"/",1),LEN(B544),""),"www.","",1)</f>
        <v>rebelfreestyle.de</v>
      </c>
      <c r="D544" s="13">
        <f>COUNTIF($C$2:$C$801,C544)</f>
        <v>1</v>
      </c>
      <c r="E544" s="10" t="s">
        <v>274</v>
      </c>
      <c r="F544" s="4"/>
      <c r="G544" s="31" t="s">
        <v>5</v>
      </c>
      <c r="H544" s="31" t="s">
        <v>965</v>
      </c>
      <c r="I544" s="10" t="s">
        <v>981</v>
      </c>
    </row>
    <row r="545" spans="1:9" ht="23" customHeight="1" x14ac:dyDescent="0.15">
      <c r="A545" s="4" t="s">
        <v>28</v>
      </c>
      <c r="B545" s="6" t="s">
        <v>367</v>
      </c>
      <c r="C545" s="13" t="str">
        <f>SUBSTITUTE(REPLACE(REPLACE(B545,1,IFERROR(FIND("//",B545,1)+1,0),"")&amp;"/",FIND("/",REPLACE(B545,1,IFERROR(FIND("//",B545,1)+1,0),"")&amp;"/",1),LEN(B545),""),"www.","",1)</f>
        <v>reco-bueromoebel.de</v>
      </c>
      <c r="D545" s="13">
        <f>COUNTIF($C$2:$C$801,C545)</f>
        <v>1</v>
      </c>
      <c r="E545" s="10" t="s">
        <v>275</v>
      </c>
      <c r="F545" s="4" t="s">
        <v>729</v>
      </c>
      <c r="G545" s="31" t="s">
        <v>4</v>
      </c>
      <c r="H545" s="31" t="s">
        <v>965</v>
      </c>
      <c r="I545" s="10" t="s">
        <v>977</v>
      </c>
    </row>
    <row r="546" spans="1:9" ht="23" customHeight="1" x14ac:dyDescent="0.15">
      <c r="A546" s="4" t="s">
        <v>28</v>
      </c>
      <c r="B546" s="6" t="s">
        <v>890</v>
      </c>
      <c r="C546" s="13" t="str">
        <f>SUBSTITUTE(REPLACE(REPLACE(B546,1,IFERROR(FIND("//",B546,1)+1,0),"")&amp;"/",FIND("/",REPLACE(B546,1,IFERROR(FIND("//",B546,1)+1,0),"")&amp;"/",1),LEN(B546),""),"www.","",1)</f>
        <v>referenzen.kurzbach-vechta.de</v>
      </c>
      <c r="D546" s="13">
        <f>COUNTIF($C$2:$C$801,C546)</f>
        <v>1</v>
      </c>
      <c r="E546" s="10" t="s">
        <v>241</v>
      </c>
      <c r="F546" s="4" t="s">
        <v>729</v>
      </c>
      <c r="G546" s="31" t="s">
        <v>5</v>
      </c>
      <c r="H546" s="31" t="s">
        <v>965</v>
      </c>
      <c r="I546" s="10" t="s">
        <v>981</v>
      </c>
    </row>
    <row r="547" spans="1:9" ht="23" customHeight="1" x14ac:dyDescent="0.15">
      <c r="A547" s="4" t="s">
        <v>28</v>
      </c>
      <c r="B547" s="6" t="s">
        <v>999</v>
      </c>
      <c r="C547" s="13" t="str">
        <f>SUBSTITUTE(REPLACE(REPLACE(B547,1,IFERROR(FIND("//",B547,1)+1,0),"")&amp;"/",FIND("/",REPLACE(B547,1,IFERROR(FIND("//",B547,1)+1,0),"")&amp;"/",1),LEN(B547),""),"www.","",1)</f>
        <v>regionale-branchen-auskunft.de</v>
      </c>
      <c r="D547" s="13">
        <f>COUNTIF($C$2:$C$801,C547)</f>
        <v>1</v>
      </c>
      <c r="E547" s="10">
        <v>302</v>
      </c>
      <c r="F547" s="4" t="s">
        <v>25</v>
      </c>
      <c r="G547" s="31" t="s">
        <v>4</v>
      </c>
      <c r="H547" s="31" t="s">
        <v>1084</v>
      </c>
      <c r="I547" s="10"/>
    </row>
    <row r="548" spans="1:9" ht="23" customHeight="1" x14ac:dyDescent="0.15">
      <c r="A548" s="4" t="s">
        <v>28</v>
      </c>
      <c r="B548" s="6" t="s">
        <v>88</v>
      </c>
      <c r="C548" s="13" t="str">
        <f>SUBSTITUTE(REPLACE(REPLACE(B548,1,IFERROR(FIND("//",B548,1)+1,0),"")&amp;"/",FIND("/",REPLACE(B548,1,IFERROR(FIND("//",B548,1)+1,0),"")&amp;"/",1),LEN(B548),""),"www.","",1)</f>
        <v>reintextur.de</v>
      </c>
      <c r="D548" s="13">
        <f>COUNTIF($C$2:$C$801,C548)</f>
        <v>1</v>
      </c>
      <c r="E548" s="10" t="s">
        <v>695</v>
      </c>
      <c r="F548" s="4"/>
      <c r="G548" s="31" t="s">
        <v>5</v>
      </c>
      <c r="H548" s="31" t="s">
        <v>965</v>
      </c>
      <c r="I548" s="10" t="s">
        <v>981</v>
      </c>
    </row>
    <row r="549" spans="1:9" ht="23" customHeight="1" x14ac:dyDescent="0.15">
      <c r="A549" s="4" t="s">
        <v>28</v>
      </c>
      <c r="B549" s="6" t="s">
        <v>178</v>
      </c>
      <c r="C549" s="13" t="str">
        <f>SUBSTITUTE(REPLACE(REPLACE(B549,1,IFERROR(FIND("//",B549,1)+1,0),"")&amp;"/",FIND("/",REPLACE(B549,1,IFERROR(FIND("//",B549,1)+1,0),"")&amp;"/",1),LEN(B549),""),"www.","",1)</f>
        <v>reitinger.de</v>
      </c>
      <c r="D549" s="13">
        <f>COUNTIF($C$2:$C$801,C549)</f>
        <v>1</v>
      </c>
      <c r="E549" s="10" t="s">
        <v>14</v>
      </c>
      <c r="F549" s="4" t="s">
        <v>729</v>
      </c>
      <c r="G549" s="31" t="s">
        <v>5</v>
      </c>
      <c r="H549" s="31" t="s">
        <v>965</v>
      </c>
      <c r="I549" s="10" t="s">
        <v>981</v>
      </c>
    </row>
    <row r="550" spans="1:9" ht="23" customHeight="1" x14ac:dyDescent="0.15">
      <c r="A550" s="4" t="s">
        <v>28</v>
      </c>
      <c r="B550" s="6" t="s">
        <v>1028</v>
      </c>
      <c r="C550" s="13" t="str">
        <f>SUBSTITUTE(REPLACE(REPLACE(B550,1,IFERROR(FIND("//",B550,1)+1,0),"")&amp;"/",FIND("/",REPLACE(B550,1,IFERROR(FIND("//",B550,1)+1,0),"")&amp;"/",1),LEN(B550),""),"www.","",1)</f>
        <v>rekonzept.net</v>
      </c>
      <c r="D550" s="13">
        <f>COUNTIF($C$2:$C$801,C550)</f>
        <v>1</v>
      </c>
      <c r="E550" s="10" t="s">
        <v>1072</v>
      </c>
      <c r="F550" s="14" t="s">
        <v>729</v>
      </c>
      <c r="G550" s="32" t="s">
        <v>4</v>
      </c>
      <c r="H550" s="31" t="s">
        <v>1084</v>
      </c>
      <c r="I550" s="10"/>
    </row>
    <row r="551" spans="1:9" ht="23" customHeight="1" x14ac:dyDescent="0.15">
      <c r="A551" s="4" t="s">
        <v>28</v>
      </c>
      <c r="B551" s="6" t="s">
        <v>1043</v>
      </c>
      <c r="C551" s="13" t="str">
        <f>SUBSTITUTE(REPLACE(REPLACE(B551,1,IFERROR(FIND("//",B551,1)+1,0),"")&amp;"/",FIND("/",REPLACE(B551,1,IFERROR(FIND("//",B551,1)+1,0),"")&amp;"/",1),LEN(B551),""),"www.","",1)</f>
        <v>relaunch.kuehn-online.com</v>
      </c>
      <c r="D551" s="13">
        <f>COUNTIF($C$2:$C$801,C551)</f>
        <v>1</v>
      </c>
      <c r="E551" s="10"/>
      <c r="F551" s="14" t="s">
        <v>729</v>
      </c>
      <c r="G551" s="32" t="s">
        <v>4</v>
      </c>
      <c r="H551" s="31" t="s">
        <v>1084</v>
      </c>
      <c r="I551" s="10"/>
    </row>
    <row r="552" spans="1:9" ht="23" customHeight="1" x14ac:dyDescent="0.15">
      <c r="A552" s="4" t="s">
        <v>28</v>
      </c>
      <c r="B552" s="6" t="s">
        <v>849</v>
      </c>
      <c r="C552" s="13" t="str">
        <f>SUBSTITUTE(REPLACE(REPLACE(B552,1,IFERROR(FIND("//",B552,1)+1,0),"")&amp;"/",FIND("/",REPLACE(B552,1,IFERROR(FIND("//",B552,1)+1,0),"")&amp;"/",1),LEN(B552),""),"www.","",1)</f>
        <v>repenglish.com</v>
      </c>
      <c r="D552" s="13">
        <f>COUNTIF($C$2:$C$801,C552)</f>
        <v>1</v>
      </c>
      <c r="E552" s="10" t="s">
        <v>923</v>
      </c>
      <c r="F552" s="4" t="s">
        <v>730</v>
      </c>
      <c r="G552" s="31" t="s">
        <v>6</v>
      </c>
      <c r="H552" s="31" t="s">
        <v>967</v>
      </c>
      <c r="I552" s="10" t="s">
        <v>979</v>
      </c>
    </row>
    <row r="553" spans="1:9" ht="23" customHeight="1" x14ac:dyDescent="0.15">
      <c r="A553" s="4" t="s">
        <v>28</v>
      </c>
      <c r="B553" s="6" t="s">
        <v>105</v>
      </c>
      <c r="C553" s="13" t="str">
        <f>SUBSTITUTE(REPLACE(REPLACE(B553,1,IFERROR(FIND("//",B553,1)+1,0),"")&amp;"/",FIND("/",REPLACE(B553,1,IFERROR(FIND("//",B553,1)+1,0),"")&amp;"/",1),LEN(B553),""),"www.","",1)</f>
        <v>resin.de</v>
      </c>
      <c r="D553" s="13">
        <f>COUNTIF($C$2:$C$801,C553)</f>
        <v>1</v>
      </c>
      <c r="E553" s="10" t="s">
        <v>700</v>
      </c>
      <c r="F553" s="4" t="s">
        <v>729</v>
      </c>
      <c r="G553" s="31" t="s">
        <v>5</v>
      </c>
      <c r="H553" s="31" t="s">
        <v>965</v>
      </c>
      <c r="I553" s="10" t="s">
        <v>981</v>
      </c>
    </row>
    <row r="554" spans="1:9" ht="23" customHeight="1" x14ac:dyDescent="0.15">
      <c r="A554" s="4" t="s">
        <v>28</v>
      </c>
      <c r="B554" s="6" t="s">
        <v>1027</v>
      </c>
      <c r="C554" s="13" t="str">
        <f>SUBSTITUTE(REPLACE(REPLACE(B554,1,IFERROR(FIND("//",B554,1)+1,0),"")&amp;"/",FIND("/",REPLACE(B554,1,IFERROR(FIND("//",B554,1)+1,0),"")&amp;"/",1),LEN(B554),""),"www.","",1)</f>
        <v>rinteln24.de</v>
      </c>
      <c r="D554" s="13">
        <f>COUNTIF($C$2:$C$801,C554)</f>
        <v>1</v>
      </c>
      <c r="E554" s="10" t="s">
        <v>237</v>
      </c>
      <c r="F554" s="4" t="s">
        <v>25</v>
      </c>
      <c r="G554" s="31" t="s">
        <v>4</v>
      </c>
      <c r="H554" s="31" t="s">
        <v>1084</v>
      </c>
      <c r="I554" s="10"/>
    </row>
    <row r="555" spans="1:9" ht="23" customHeight="1" x14ac:dyDescent="0.15">
      <c r="A555" s="4" t="s">
        <v>28</v>
      </c>
      <c r="B555" s="6" t="s">
        <v>336</v>
      </c>
      <c r="C555" s="13" t="str">
        <f>SUBSTITUTE(REPLACE(REPLACE(B555,1,IFERROR(FIND("//",B555,1)+1,0),"")&amp;"/",FIND("/",REPLACE(B555,1,IFERROR(FIND("//",B555,1)+1,0),"")&amp;"/",1),LEN(B555),""),"www.","",1)</f>
        <v>rm-buero.de</v>
      </c>
      <c r="D555" s="13">
        <f>COUNTIF($C$2:$C$801,C555)</f>
        <v>1</v>
      </c>
      <c r="E555" s="10"/>
      <c r="F555" s="4" t="s">
        <v>729</v>
      </c>
      <c r="G555" s="31" t="s">
        <v>4</v>
      </c>
      <c r="H555" s="31" t="s">
        <v>965</v>
      </c>
      <c r="I555" s="10" t="s">
        <v>977</v>
      </c>
    </row>
    <row r="556" spans="1:9" ht="23" customHeight="1" x14ac:dyDescent="0.15">
      <c r="A556" s="4" t="s">
        <v>28</v>
      </c>
      <c r="B556" s="6" t="s">
        <v>557</v>
      </c>
      <c r="C556" s="13" t="str">
        <f>SUBSTITUTE(REPLACE(REPLACE(B556,1,IFERROR(FIND("//",B556,1)+1,0),"")&amp;"/",FIND("/",REPLACE(B556,1,IFERROR(FIND("//",B556,1)+1,0),"")&amp;"/",1),LEN(B556),""),"www.","",1)</f>
        <v>robert-schoerck.de</v>
      </c>
      <c r="D556" s="13">
        <f>COUNTIF($C$2:$C$801,C556)</f>
        <v>1</v>
      </c>
      <c r="E556" s="10" t="s">
        <v>28</v>
      </c>
      <c r="F556" s="4" t="s">
        <v>729</v>
      </c>
      <c r="G556" s="31" t="s">
        <v>4</v>
      </c>
      <c r="H556" s="31" t="s">
        <v>965</v>
      </c>
      <c r="I556" s="10" t="s">
        <v>977</v>
      </c>
    </row>
    <row r="557" spans="1:9" ht="23" customHeight="1" x14ac:dyDescent="0.15">
      <c r="A557" s="4" t="s">
        <v>28</v>
      </c>
      <c r="B557" s="6" t="s">
        <v>386</v>
      </c>
      <c r="C557" s="13" t="str">
        <f>SUBSTITUTE(REPLACE(REPLACE(B557,1,IFERROR(FIND("//",B557,1)+1,0),"")&amp;"/",FIND("/",REPLACE(B557,1,IFERROR(FIND("//",B557,1)+1,0),"")&amp;"/",1),LEN(B557),""),"www.","",1)</f>
        <v>roha-gmbh.de</v>
      </c>
      <c r="D557" s="13">
        <f>COUNTIF($C$2:$C$801,C557)</f>
        <v>1</v>
      </c>
      <c r="E557" s="10" t="s">
        <v>237</v>
      </c>
      <c r="F557" s="4" t="s">
        <v>729</v>
      </c>
      <c r="G557" s="31" t="s">
        <v>4</v>
      </c>
      <c r="H557" s="31" t="s">
        <v>965</v>
      </c>
      <c r="I557" s="10" t="s">
        <v>977</v>
      </c>
    </row>
    <row r="558" spans="1:9" ht="23" customHeight="1" x14ac:dyDescent="0.15">
      <c r="A558" s="4" t="s">
        <v>28</v>
      </c>
      <c r="B558" s="6" t="s">
        <v>778</v>
      </c>
      <c r="C558" s="13" t="str">
        <f>SUBSTITUTE(REPLACE(REPLACE(B558,1,IFERROR(FIND("//",B558,1)+1,0),"")&amp;"/",FIND("/",REPLACE(B558,1,IFERROR(FIND("//",B558,1)+1,0),"")&amp;"/",1),LEN(B558),""),"www.","",1)</f>
        <v>royschulz.de</v>
      </c>
      <c r="D558" s="13">
        <f>COUNTIF($C$2:$C$801,C558)</f>
        <v>1</v>
      </c>
      <c r="E558" s="10"/>
      <c r="F558" s="4" t="s">
        <v>13</v>
      </c>
      <c r="G558" s="31" t="s">
        <v>4</v>
      </c>
      <c r="H558" s="31" t="s">
        <v>965</v>
      </c>
      <c r="I558" s="10" t="s">
        <v>977</v>
      </c>
    </row>
    <row r="559" spans="1:9" ht="23" customHeight="1" x14ac:dyDescent="0.15">
      <c r="A559" s="4" t="s">
        <v>28</v>
      </c>
      <c r="B559" s="6" t="s">
        <v>210</v>
      </c>
      <c r="C559" s="13" t="str">
        <f>SUBSTITUTE(REPLACE(REPLACE(B559,1,IFERROR(FIND("//",B559,1)+1,0),"")&amp;"/",FIND("/",REPLACE(B559,1,IFERROR(FIND("//",B559,1)+1,0),"")&amp;"/",1),LEN(B559),""),"www.","",1)</f>
        <v>rtk-koeln.com</v>
      </c>
      <c r="D559" s="13">
        <f>COUNTIF($C$2:$C$801,C559)</f>
        <v>1</v>
      </c>
      <c r="E559" s="10" t="s">
        <v>28</v>
      </c>
      <c r="F559" s="4"/>
      <c r="G559" s="31" t="s">
        <v>5</v>
      </c>
      <c r="H559" s="31" t="s">
        <v>965</v>
      </c>
      <c r="I559" s="10" t="s">
        <v>981</v>
      </c>
    </row>
    <row r="560" spans="1:9" ht="23" customHeight="1" x14ac:dyDescent="0.15">
      <c r="A560" s="4" t="s">
        <v>28</v>
      </c>
      <c r="B560" s="6" t="s">
        <v>794</v>
      </c>
      <c r="C560" s="13" t="str">
        <f>SUBSTITUTE(REPLACE(REPLACE(B560,1,IFERROR(FIND("//",B560,1)+1,0),"")&amp;"/",FIND("/",REPLACE(B560,1,IFERROR(FIND("//",B560,1)+1,0),"")&amp;"/",1),LEN(B560),""),"www.","",1)</f>
        <v>sanctuaryvf.org</v>
      </c>
      <c r="D560" s="13">
        <f>COUNTIF($C$2:$C$801,C560)</f>
        <v>1</v>
      </c>
      <c r="E560" s="10"/>
      <c r="F560" s="4" t="s">
        <v>730</v>
      </c>
      <c r="G560" s="31" t="s">
        <v>6</v>
      </c>
      <c r="H560" s="31" t="s">
        <v>967</v>
      </c>
      <c r="I560" s="16" t="s">
        <v>985</v>
      </c>
    </row>
    <row r="561" spans="1:9" ht="23" customHeight="1" x14ac:dyDescent="0.15">
      <c r="A561" s="4" t="s">
        <v>28</v>
      </c>
      <c r="B561" s="6" t="s">
        <v>60</v>
      </c>
      <c r="C561" s="13" t="str">
        <f>SUBSTITUTE(REPLACE(REPLACE(B561,1,IFERROR(FIND("//",B561,1)+1,0),"")&amp;"/",FIND("/",REPLACE(B561,1,IFERROR(FIND("//",B561,1)+1,0),"")&amp;"/",1),LEN(B561),""),"www.","",1)</f>
        <v>sandra-wilms.de</v>
      </c>
      <c r="D561" s="13">
        <f>COUNTIF($C$2:$C$801,C561)</f>
        <v>1</v>
      </c>
      <c r="E561" s="10" t="s">
        <v>689</v>
      </c>
      <c r="F561" s="4" t="s">
        <v>733</v>
      </c>
      <c r="G561" s="31" t="s">
        <v>4</v>
      </c>
      <c r="H561" s="31" t="s">
        <v>965</v>
      </c>
      <c r="I561" s="10" t="s">
        <v>977</v>
      </c>
    </row>
    <row r="562" spans="1:9" ht="23" customHeight="1" x14ac:dyDescent="0.15">
      <c r="A562" s="4" t="s">
        <v>28</v>
      </c>
      <c r="B562" s="6" t="s">
        <v>845</v>
      </c>
      <c r="C562" s="13" t="str">
        <f>SUBSTITUTE(REPLACE(REPLACE(B562,1,IFERROR(FIND("//",B562,1)+1,0),"")&amp;"/",FIND("/",REPLACE(B562,1,IFERROR(FIND("//",B562,1)+1,0),"")&amp;"/",1),LEN(B562),""),"www.","",1)</f>
        <v>saveladywellpool.com</v>
      </c>
      <c r="D562" s="13">
        <f>COUNTIF($C$2:$C$801,C562)</f>
        <v>1</v>
      </c>
      <c r="E562" s="10"/>
      <c r="F562" s="4" t="s">
        <v>730</v>
      </c>
      <c r="G562" s="31" t="s">
        <v>5</v>
      </c>
      <c r="H562" s="31" t="s">
        <v>965</v>
      </c>
      <c r="I562" s="10" t="s">
        <v>981</v>
      </c>
    </row>
    <row r="563" spans="1:9" ht="23" customHeight="1" x14ac:dyDescent="0.15">
      <c r="A563" s="4" t="s">
        <v>28</v>
      </c>
      <c r="B563" s="6" t="s">
        <v>848</v>
      </c>
      <c r="C563" s="13" t="str">
        <f>SUBSTITUTE(REPLACE(REPLACE(B563,1,IFERROR(FIND("//",B563,1)+1,0),"")&amp;"/",FIND("/",REPLACE(B563,1,IFERROR(FIND("//",B563,1)+1,0),"")&amp;"/",1),LEN(B563),""),"www.","",1)</f>
        <v>savvieri.com</v>
      </c>
      <c r="D563" s="13">
        <f>COUNTIF($C$2:$C$801,C563)</f>
        <v>1</v>
      </c>
      <c r="E563" s="10" t="s">
        <v>237</v>
      </c>
      <c r="F563" s="4" t="s">
        <v>730</v>
      </c>
      <c r="G563" s="31" t="s">
        <v>5</v>
      </c>
      <c r="H563" s="31" t="s">
        <v>965</v>
      </c>
      <c r="I563" s="10" t="s">
        <v>981</v>
      </c>
    </row>
    <row r="564" spans="1:9" ht="23" customHeight="1" x14ac:dyDescent="0.15">
      <c r="A564" s="4" t="s">
        <v>28</v>
      </c>
      <c r="B564" s="6" t="s">
        <v>585</v>
      </c>
      <c r="C564" s="13" t="str">
        <f>SUBSTITUTE(REPLACE(REPLACE(B564,1,IFERROR(FIND("//",B564,1)+1,0),"")&amp;"/",FIND("/",REPLACE(B564,1,IFERROR(FIND("//",B564,1)+1,0),"")&amp;"/",1),LEN(B564),""),"www.","",1)</f>
        <v>schlaganfall-kinder.de</v>
      </c>
      <c r="D564" s="13">
        <f>COUNTIF($C$2:$C$801,C564)</f>
        <v>1</v>
      </c>
      <c r="E564" s="10" t="s">
        <v>28</v>
      </c>
      <c r="F564" s="4" t="s">
        <v>733</v>
      </c>
      <c r="G564" s="31" t="s">
        <v>4</v>
      </c>
      <c r="H564" s="31" t="s">
        <v>965</v>
      </c>
      <c r="I564" s="10" t="s">
        <v>977</v>
      </c>
    </row>
    <row r="565" spans="1:9" ht="23" customHeight="1" x14ac:dyDescent="0.15">
      <c r="A565" s="4" t="s">
        <v>28</v>
      </c>
      <c r="B565" s="6" t="s">
        <v>113</v>
      </c>
      <c r="C565" s="13" t="str">
        <f>SUBSTITUTE(REPLACE(REPLACE(B565,1,IFERROR(FIND("//",B565,1)+1,0),"")&amp;"/",FIND("/",REPLACE(B565,1,IFERROR(FIND("//",B565,1)+1,0),"")&amp;"/",1),LEN(B565),""),"www.","",1)</f>
        <v>schleef-officeline.de</v>
      </c>
      <c r="D565" s="13">
        <f>COUNTIF($C$2:$C$801,C565)</f>
        <v>1</v>
      </c>
      <c r="E565" s="10" t="s">
        <v>14</v>
      </c>
      <c r="F565" s="4" t="s">
        <v>729</v>
      </c>
      <c r="G565" s="31" t="s">
        <v>5</v>
      </c>
      <c r="H565" s="31" t="s">
        <v>965</v>
      </c>
      <c r="I565" s="10" t="s">
        <v>981</v>
      </c>
    </row>
    <row r="566" spans="1:9" ht="23" customHeight="1" x14ac:dyDescent="0.15">
      <c r="A566" s="4" t="s">
        <v>28</v>
      </c>
      <c r="B566" s="6" t="s">
        <v>236</v>
      </c>
      <c r="C566" s="35" t="str">
        <f>SUBSTITUTE(REPLACE(REPLACE(B566,1,IFERROR(FIND("//",B566,1)+1,0),"")&amp;"/",FIND("/",REPLACE(B566,1,IFERROR(FIND("//",B566,1)+1,0),"")&amp;"/",1),LEN(B566),""),"www.","",1)</f>
        <v>schoener-wohnen.de</v>
      </c>
      <c r="D566" s="13">
        <f>COUNTIF($C$2:$C$801,C566)</f>
        <v>2</v>
      </c>
      <c r="E566" s="10" t="s">
        <v>237</v>
      </c>
      <c r="F566" s="4" t="s">
        <v>737</v>
      </c>
      <c r="G566" s="31" t="s">
        <v>4</v>
      </c>
      <c r="H566" s="31" t="s">
        <v>965</v>
      </c>
      <c r="I566" s="10" t="s">
        <v>977</v>
      </c>
    </row>
    <row r="567" spans="1:9" ht="23" customHeight="1" x14ac:dyDescent="0.15">
      <c r="A567" s="4" t="s">
        <v>28</v>
      </c>
      <c r="B567" s="6" t="s">
        <v>559</v>
      </c>
      <c r="C567" s="35" t="str">
        <f>SUBSTITUTE(REPLACE(REPLACE(B567,1,IFERROR(FIND("//",B567,1)+1,0),"")&amp;"/",FIND("/",REPLACE(B567,1,IFERROR(FIND("//",B567,1)+1,0),"")&amp;"/",1),LEN(B567),""),"www.","",1)</f>
        <v>schoener-wohnen.de</v>
      </c>
      <c r="D567" s="13">
        <f>COUNTIF($C$2:$C$801,C567)</f>
        <v>2</v>
      </c>
      <c r="E567" s="10" t="s">
        <v>237</v>
      </c>
      <c r="F567" s="4" t="s">
        <v>737</v>
      </c>
      <c r="G567" s="31" t="s">
        <v>4</v>
      </c>
      <c r="H567" s="31" t="s">
        <v>965</v>
      </c>
      <c r="I567" s="10" t="s">
        <v>977</v>
      </c>
    </row>
    <row r="568" spans="1:9" ht="23" customHeight="1" x14ac:dyDescent="0.15">
      <c r="A568" s="4" t="s">
        <v>28</v>
      </c>
      <c r="B568" s="6" t="s">
        <v>248</v>
      </c>
      <c r="C568" s="13" t="str">
        <f>SUBSTITUTE(REPLACE(REPLACE(B568,1,IFERROR(FIND("//",B568,1)+1,0),"")&amp;"/",FIND("/",REPLACE(B568,1,IFERROR(FIND("//",B568,1)+1,0),"")&amp;"/",1),LEN(B568),""),"www.","",1)</f>
        <v>schoolandcollegelistings.com</v>
      </c>
      <c r="D568" s="13">
        <f>COUNTIF($C$2:$C$801,C568)</f>
        <v>1</v>
      </c>
      <c r="E568" s="10"/>
      <c r="F568" s="4" t="s">
        <v>25</v>
      </c>
      <c r="G568" s="31" t="s">
        <v>4</v>
      </c>
      <c r="H568" s="31" t="s">
        <v>965</v>
      </c>
      <c r="I568" s="10" t="s">
        <v>977</v>
      </c>
    </row>
    <row r="569" spans="1:9" ht="23" customHeight="1" x14ac:dyDescent="0.15">
      <c r="A569" s="4" t="s">
        <v>28</v>
      </c>
      <c r="B569" s="6" t="s">
        <v>377</v>
      </c>
      <c r="C569" s="13" t="str">
        <f>SUBSTITUTE(REPLACE(REPLACE(B569,1,IFERROR(FIND("//",B569,1)+1,0),"")&amp;"/",FIND("/",REPLACE(B569,1,IFERROR(FIND("//",B569,1)+1,0),"")&amp;"/",1),LEN(B569),""),"www.","",1)</f>
        <v>schuessler.works</v>
      </c>
      <c r="D569" s="13">
        <f>COUNTIF($C$2:$C$801,C569)</f>
        <v>1</v>
      </c>
      <c r="E569" s="10" t="s">
        <v>28</v>
      </c>
      <c r="F569" s="4" t="s">
        <v>729</v>
      </c>
      <c r="G569" s="31" t="s">
        <v>4</v>
      </c>
      <c r="H569" s="31" t="s">
        <v>965</v>
      </c>
      <c r="I569" s="10" t="s">
        <v>977</v>
      </c>
    </row>
    <row r="570" spans="1:9" ht="23" customHeight="1" x14ac:dyDescent="0.15">
      <c r="A570" s="4" t="s">
        <v>28</v>
      </c>
      <c r="B570" s="6" t="s">
        <v>1026</v>
      </c>
      <c r="C570" s="13" t="str">
        <f>SUBSTITUTE(REPLACE(REPLACE(B570,1,IFERROR(FIND("//",B570,1)+1,0),"")&amp;"/",FIND("/",REPLACE(B570,1,IFERROR(FIND("//",B570,1)+1,0),"")&amp;"/",1),LEN(B570),""),"www.","",1)</f>
        <v>schwadke-outlet.de</v>
      </c>
      <c r="D570" s="13">
        <f>COUNTIF($C$2:$C$801,C570)</f>
        <v>1</v>
      </c>
      <c r="E570" s="10" t="s">
        <v>323</v>
      </c>
      <c r="F570" s="14" t="s">
        <v>729</v>
      </c>
      <c r="G570" s="32" t="s">
        <v>4</v>
      </c>
      <c r="H570" s="31" t="s">
        <v>1084</v>
      </c>
      <c r="I570" s="10"/>
    </row>
    <row r="571" spans="1:9" ht="23" customHeight="1" x14ac:dyDescent="0.15">
      <c r="A571" s="4" t="s">
        <v>28</v>
      </c>
      <c r="B571" s="6" t="s">
        <v>809</v>
      </c>
      <c r="C571" s="13" t="str">
        <f>SUBSTITUTE(REPLACE(REPLACE(B571,1,IFERROR(FIND("//",B571,1)+1,0),"")&amp;"/",FIND("/",REPLACE(B571,1,IFERROR(FIND("//",B571,1)+1,0),"")&amp;"/",1),LEN(B571),""),"www.","",1)</f>
        <v>schwadke-shop.de</v>
      </c>
      <c r="D571" s="13">
        <f>COUNTIF($C$2:$C$801,C571)</f>
        <v>1</v>
      </c>
      <c r="E571" s="10" t="s">
        <v>323</v>
      </c>
      <c r="F571" s="4" t="s">
        <v>729</v>
      </c>
      <c r="G571" s="31" t="s">
        <v>4</v>
      </c>
      <c r="H571" s="31" t="s">
        <v>965</v>
      </c>
      <c r="I571" s="10" t="s">
        <v>977</v>
      </c>
    </row>
    <row r="572" spans="1:9" ht="23" customHeight="1" x14ac:dyDescent="0.15">
      <c r="A572" s="4" t="s">
        <v>28</v>
      </c>
      <c r="B572" s="6" t="s">
        <v>625</v>
      </c>
      <c r="C572" s="13" t="str">
        <f>SUBSTITUTE(REPLACE(REPLACE(B572,1,IFERROR(FIND("//",B572,1)+1,0),"")&amp;"/",FIND("/",REPLACE(B572,1,IFERROR(FIND("//",B572,1)+1,0),"")&amp;"/",1),LEN(B572),""),"www.","",1)</f>
        <v>seekty.com</v>
      </c>
      <c r="D572" s="13">
        <f>COUNTIF($C$2:$C$801,C572)</f>
        <v>1</v>
      </c>
      <c r="E572" s="10" t="s">
        <v>246</v>
      </c>
      <c r="F572" s="4" t="s">
        <v>25</v>
      </c>
      <c r="G572" s="31" t="s">
        <v>4</v>
      </c>
      <c r="H572" s="31" t="s">
        <v>965</v>
      </c>
      <c r="I572" s="10" t="s">
        <v>977</v>
      </c>
    </row>
    <row r="573" spans="1:9" ht="23" customHeight="1" x14ac:dyDescent="0.15">
      <c r="A573" s="4" t="s">
        <v>28</v>
      </c>
      <c r="B573" s="6" t="s">
        <v>765</v>
      </c>
      <c r="C573" s="13" t="str">
        <f>SUBSTITUTE(REPLACE(REPLACE(B573,1,IFERROR(FIND("//",B573,1)+1,0),"")&amp;"/",FIND("/",REPLACE(B573,1,IFERROR(FIND("//",B573,1)+1,0),"")&amp;"/",1),LEN(B573),""),"www.","",1)</f>
        <v>seositecheckup.com</v>
      </c>
      <c r="D573" s="13">
        <f>COUNTIF($C$2:$C$801,C573)</f>
        <v>1</v>
      </c>
      <c r="E573" s="10" t="s">
        <v>267</v>
      </c>
      <c r="F573" s="4" t="s">
        <v>13</v>
      </c>
      <c r="G573" s="31" t="s">
        <v>4</v>
      </c>
      <c r="H573" s="31" t="s">
        <v>965</v>
      </c>
      <c r="I573" s="10" t="s">
        <v>977</v>
      </c>
    </row>
    <row r="574" spans="1:9" ht="23" customHeight="1" x14ac:dyDescent="0.15">
      <c r="A574" s="4" t="s">
        <v>28</v>
      </c>
      <c r="B574" s="6" t="s">
        <v>859</v>
      </c>
      <c r="C574" s="13" t="str">
        <f>SUBSTITUTE(REPLACE(REPLACE(B574,1,IFERROR(FIND("//",B574,1)+1,0),"")&amp;"/",FIND("/",REPLACE(B574,1,IFERROR(FIND("//",B574,1)+1,0),"")&amp;"/",1),LEN(B574),""),"www.","",1)</f>
        <v>seotech2.com</v>
      </c>
      <c r="D574" s="13">
        <f>COUNTIF($C$2:$C$801,C574)</f>
        <v>1</v>
      </c>
      <c r="E574" s="10" t="s">
        <v>926</v>
      </c>
      <c r="F574" s="4" t="s">
        <v>730</v>
      </c>
      <c r="G574" s="31" t="s">
        <v>6</v>
      </c>
      <c r="H574" s="31" t="s">
        <v>967</v>
      </c>
      <c r="I574" s="16" t="s">
        <v>985</v>
      </c>
    </row>
    <row r="575" spans="1:9" ht="23" customHeight="1" x14ac:dyDescent="0.15">
      <c r="A575" s="4" t="s">
        <v>28</v>
      </c>
      <c r="B575" s="6" t="s">
        <v>447</v>
      </c>
      <c r="C575" s="13" t="str">
        <f>SUBSTITUTE(REPLACE(REPLACE(B575,1,IFERROR(FIND("//",B575,1)+1,0),"")&amp;"/",FIND("/",REPLACE(B575,1,IFERROR(FIND("//",B575,1)+1,0),"")&amp;"/",1),LEN(B575),""),"www.","",1)</f>
        <v>sessel2018.blogspot.com</v>
      </c>
      <c r="D575" s="13">
        <f>COUNTIF($C$2:$C$801,C575)</f>
        <v>1</v>
      </c>
      <c r="E575" s="10" t="s">
        <v>448</v>
      </c>
      <c r="F575" s="4" t="s">
        <v>730</v>
      </c>
      <c r="G575" s="31" t="s">
        <v>6</v>
      </c>
      <c r="H575" s="31" t="s">
        <v>970</v>
      </c>
      <c r="I575" s="16" t="s">
        <v>985</v>
      </c>
    </row>
    <row r="576" spans="1:9" ht="23" customHeight="1" x14ac:dyDescent="0.15">
      <c r="A576" s="4" t="s">
        <v>28</v>
      </c>
      <c r="B576" s="6" t="s">
        <v>555</v>
      </c>
      <c r="C576" s="13" t="str">
        <f>SUBSTITUTE(REPLACE(REPLACE(B576,1,IFERROR(FIND("//",B576,1)+1,0),"")&amp;"/",FIND("/",REPLACE(B576,1,IFERROR(FIND("//",B576,1)+1,0),"")&amp;"/",1),LEN(B576),""),"www.","",1)</f>
        <v>shi-systemhaus.de</v>
      </c>
      <c r="D576" s="13">
        <f>COUNTIF($C$2:$C$801,C576)</f>
        <v>1</v>
      </c>
      <c r="E576" s="10" t="s">
        <v>556</v>
      </c>
      <c r="F576" s="4" t="s">
        <v>729</v>
      </c>
      <c r="G576" s="31" t="s">
        <v>4</v>
      </c>
      <c r="H576" s="31" t="s">
        <v>965</v>
      </c>
      <c r="I576" s="10" t="s">
        <v>977</v>
      </c>
    </row>
    <row r="577" spans="1:9" ht="23" customHeight="1" x14ac:dyDescent="0.15">
      <c r="A577" s="4" t="s">
        <v>28</v>
      </c>
      <c r="B577" s="6" t="s">
        <v>958</v>
      </c>
      <c r="C577" s="13" t="str">
        <f>SUBSTITUTE(REPLACE(REPLACE(B577,1,IFERROR(FIND("//",B577,1)+1,0),"")&amp;"/",FIND("/",REPLACE(B577,1,IFERROR(FIND("//",B577,1)+1,0),"")&amp;"/",1),LEN(B577),""),"www.","",1)</f>
        <v>shop.bd-kruel.de</v>
      </c>
      <c r="D577" s="13">
        <f>COUNTIF($C$2:$C$801,C577)</f>
        <v>1</v>
      </c>
      <c r="E577" s="10">
        <v>302</v>
      </c>
      <c r="F577" s="4" t="s">
        <v>13</v>
      </c>
      <c r="G577" s="31" t="s">
        <v>4</v>
      </c>
      <c r="H577" s="31" t="s">
        <v>965</v>
      </c>
      <c r="I577" s="10" t="s">
        <v>977</v>
      </c>
    </row>
    <row r="578" spans="1:9" ht="23" customHeight="1" x14ac:dyDescent="0.15">
      <c r="A578" s="4" t="s">
        <v>28</v>
      </c>
      <c r="B578" s="6" t="s">
        <v>309</v>
      </c>
      <c r="C578" s="13" t="str">
        <f>SUBSTITUTE(REPLACE(REPLACE(B578,1,IFERROR(FIND("//",B578,1)+1,0),"")&amp;"/",FIND("/",REPLACE(B578,1,IFERROR(FIND("//",B578,1)+1,0),"")&amp;"/",1),LEN(B578),""),"www.","",1)</f>
        <v>sicherheits-berater.de</v>
      </c>
      <c r="D578" s="13">
        <f>COUNTIF($C$2:$C$801,C578)</f>
        <v>1</v>
      </c>
      <c r="E578" s="10" t="s">
        <v>237</v>
      </c>
      <c r="F578" s="4" t="s">
        <v>735</v>
      </c>
      <c r="G578" s="31" t="s">
        <v>4</v>
      </c>
      <c r="H578" s="31" t="s">
        <v>965</v>
      </c>
      <c r="I578" s="10" t="s">
        <v>977</v>
      </c>
    </row>
    <row r="579" spans="1:9" ht="23" customHeight="1" x14ac:dyDescent="0.15">
      <c r="A579" s="4" t="s">
        <v>28</v>
      </c>
      <c r="B579" s="6" t="s">
        <v>157</v>
      </c>
      <c r="C579" s="13" t="str">
        <f>SUBSTITUTE(REPLACE(REPLACE(B579,1,IFERROR(FIND("//",B579,1)+1,0),"")&amp;"/",FIND("/",REPLACE(B579,1,IFERROR(FIND("//",B579,1)+1,0),"")&amp;"/",1),LEN(B579),""),"www.","",1)</f>
        <v>sicherheitsbeauftragter.de</v>
      </c>
      <c r="D579" s="13">
        <f>COUNTIF($C$2:$C$801,C579)</f>
        <v>1</v>
      </c>
      <c r="E579" s="10" t="s">
        <v>237</v>
      </c>
      <c r="F579" s="4" t="s">
        <v>735</v>
      </c>
      <c r="G579" s="31" t="s">
        <v>5</v>
      </c>
      <c r="H579" s="31" t="s">
        <v>965</v>
      </c>
      <c r="I579" s="10" t="s">
        <v>981</v>
      </c>
    </row>
    <row r="580" spans="1:9" ht="23" customHeight="1" x14ac:dyDescent="0.15">
      <c r="A580" s="4" t="s">
        <v>28</v>
      </c>
      <c r="B580" s="6" t="s">
        <v>574</v>
      </c>
      <c r="C580" s="13" t="str">
        <f>SUBSTITUTE(REPLACE(REPLACE(B580,1,IFERROR(FIND("//",B580,1)+1,0),"")&amp;"/",FIND("/",REPLACE(B580,1,IFERROR(FIND("//",B580,1)+1,0),"")&amp;"/",1),LEN(B580),""),"www.","",1)</f>
        <v>site-stats.org</v>
      </c>
      <c r="D580" s="13">
        <f>COUNTIF($C$2:$C$801,C580)</f>
        <v>1</v>
      </c>
      <c r="E580" s="10" t="s">
        <v>575</v>
      </c>
      <c r="F580" s="4" t="s">
        <v>25</v>
      </c>
      <c r="G580" s="31" t="s">
        <v>4</v>
      </c>
      <c r="H580" s="31" t="s">
        <v>965</v>
      </c>
      <c r="I580" s="10" t="s">
        <v>977</v>
      </c>
    </row>
    <row r="581" spans="1:9" ht="23" customHeight="1" x14ac:dyDescent="0.15">
      <c r="A581" s="4" t="s">
        <v>28</v>
      </c>
      <c r="B581" s="6" t="s">
        <v>573</v>
      </c>
      <c r="C581" s="13" t="str">
        <f>SUBSTITUTE(REPLACE(REPLACE(B581,1,IFERROR(FIND("//",B581,1)+1,0),"")&amp;"/",FIND("/",REPLACE(B581,1,IFERROR(FIND("//",B581,1)+1,0),"")&amp;"/",1),LEN(B581),""),"www.","",1)</f>
        <v>siteprice.org</v>
      </c>
      <c r="D581" s="13">
        <f>COUNTIF($C$2:$C$801,C581)</f>
        <v>1</v>
      </c>
      <c r="E581" s="10" t="s">
        <v>237</v>
      </c>
      <c r="F581" s="4"/>
      <c r="G581" s="31" t="s">
        <v>5</v>
      </c>
      <c r="H581" s="31" t="s">
        <v>965</v>
      </c>
      <c r="I581" s="10" t="s">
        <v>981</v>
      </c>
    </row>
    <row r="582" spans="1:9" ht="23" customHeight="1" x14ac:dyDescent="0.15">
      <c r="A582" s="4" t="s">
        <v>28</v>
      </c>
      <c r="B582" s="6" t="s">
        <v>1042</v>
      </c>
      <c r="C582" s="13" t="str">
        <f>SUBSTITUTE(REPLACE(REPLACE(B582,1,IFERROR(FIND("//",B582,1)+1,0),"")&amp;"/",FIND("/",REPLACE(B582,1,IFERROR(FIND("//",B582,1)+1,0),"")&amp;"/",1),LEN(B582),""),"www.","",1)</f>
        <v>sitiomax.net</v>
      </c>
      <c r="D582" s="13">
        <f>COUNTIF($C$2:$C$801,C582)</f>
        <v>1</v>
      </c>
      <c r="E582" s="10" t="s">
        <v>918</v>
      </c>
      <c r="F582" s="4" t="s">
        <v>730</v>
      </c>
      <c r="G582" s="31" t="s">
        <v>5</v>
      </c>
      <c r="H582" s="31" t="s">
        <v>1084</v>
      </c>
      <c r="I582" s="10"/>
    </row>
    <row r="583" spans="1:9" ht="23" customHeight="1" x14ac:dyDescent="0.15">
      <c r="A583" s="4" t="s">
        <v>28</v>
      </c>
      <c r="B583" s="6" t="s">
        <v>668</v>
      </c>
      <c r="C583" s="13" t="str">
        <f>SUBSTITUTE(REPLACE(REPLACE(B583,1,IFERROR(FIND("//",B583,1)+1,0),"")&amp;"/",FIND("/",REPLACE(B583,1,IFERROR(FIND("//",B583,1)+1,0),"")&amp;"/",1),LEN(B583),""),"www.","",1)</f>
        <v>sitz-möbel-vertrieb.de</v>
      </c>
      <c r="D583" s="13">
        <f>COUNTIF($C$2:$C$801,C583)</f>
        <v>1</v>
      </c>
      <c r="E583" s="10" t="s">
        <v>653</v>
      </c>
      <c r="F583" s="4"/>
      <c r="G583" s="31" t="s">
        <v>4</v>
      </c>
      <c r="H583" s="31" t="s">
        <v>965</v>
      </c>
      <c r="I583" s="10" t="s">
        <v>977</v>
      </c>
    </row>
    <row r="584" spans="1:9" ht="23" customHeight="1" x14ac:dyDescent="0.15">
      <c r="A584" s="4" t="s">
        <v>28</v>
      </c>
      <c r="B584" s="6" t="s">
        <v>177</v>
      </c>
      <c r="C584" s="13" t="str">
        <f>SUBSTITUTE(REPLACE(REPLACE(B584,1,IFERROR(FIND("//",B584,1)+1,0),"")&amp;"/",FIND("/",REPLACE(B584,1,IFERROR(FIND("//",B584,1)+1,0),"")&amp;"/",1),LEN(B584),""),"www.","",1)</f>
        <v>sitz-moebel-vertrieb.de</v>
      </c>
      <c r="D584" s="13">
        <f>COUNTIF($C$2:$C$801,C584)</f>
        <v>1</v>
      </c>
      <c r="E584" s="10" t="s">
        <v>635</v>
      </c>
      <c r="F584" s="4"/>
      <c r="G584" s="31" t="s">
        <v>4</v>
      </c>
      <c r="H584" s="31" t="s">
        <v>965</v>
      </c>
      <c r="I584" s="10" t="s">
        <v>977</v>
      </c>
    </row>
    <row r="585" spans="1:9" ht="23" customHeight="1" x14ac:dyDescent="0.15">
      <c r="A585" s="4" t="s">
        <v>28</v>
      </c>
      <c r="B585" s="6" t="s">
        <v>669</v>
      </c>
      <c r="C585" s="13" t="str">
        <f>SUBSTITUTE(REPLACE(REPLACE(B585,1,IFERROR(FIND("//",B585,1)+1,0),"")&amp;"/",FIND("/",REPLACE(B585,1,IFERROR(FIND("//",B585,1)+1,0),"")&amp;"/",1),LEN(B585),""),"www.","",1)</f>
        <v>sitzen-mit-vergnügen.de</v>
      </c>
      <c r="D585" s="13">
        <f>COUNTIF($C$2:$C$801,C585)</f>
        <v>1</v>
      </c>
      <c r="E585" s="10" t="s">
        <v>653</v>
      </c>
      <c r="F585" s="4"/>
      <c r="G585" s="31" t="s">
        <v>4</v>
      </c>
      <c r="H585" s="31" t="s">
        <v>965</v>
      </c>
      <c r="I585" s="10" t="s">
        <v>977</v>
      </c>
    </row>
    <row r="586" spans="1:9" ht="23" customHeight="1" x14ac:dyDescent="0.15">
      <c r="A586" s="4" t="s">
        <v>28</v>
      </c>
      <c r="B586" s="6" t="s">
        <v>209</v>
      </c>
      <c r="C586" s="13" t="str">
        <f>SUBSTITUTE(REPLACE(REPLACE(B586,1,IFERROR(FIND("//",B586,1)+1,0),"")&amp;"/",FIND("/",REPLACE(B586,1,IFERROR(FIND("//",B586,1)+1,0),"")&amp;"/",1),LEN(B586),""),"www.","",1)</f>
        <v>sitzenmitvergnuegen.de</v>
      </c>
      <c r="D586" s="13">
        <f>COUNTIF($C$2:$C$801,C586)</f>
        <v>1</v>
      </c>
      <c r="E586" s="10" t="s">
        <v>718</v>
      </c>
      <c r="F586" s="4"/>
      <c r="G586" s="31" t="s">
        <v>6</v>
      </c>
      <c r="H586" s="31" t="s">
        <v>965</v>
      </c>
      <c r="I586" s="10" t="s">
        <v>979</v>
      </c>
    </row>
    <row r="587" spans="1:9" ht="23" customHeight="1" x14ac:dyDescent="0.15">
      <c r="A587" s="4" t="s">
        <v>28</v>
      </c>
      <c r="B587" s="6" t="s">
        <v>663</v>
      </c>
      <c r="C587" s="13" t="str">
        <f>SUBSTITUTE(REPLACE(REPLACE(B587,1,IFERROR(FIND("//",B587,1)+1,0),"")&amp;"/",FIND("/",REPLACE(B587,1,IFERROR(FIND("//",B587,1)+1,0),"")&amp;"/",1),LEN(B587),""),"www.","",1)</f>
        <v>sitzmoebel-vertrieb.de</v>
      </c>
      <c r="D587" s="13">
        <f>COUNTIF($C$2:$C$801,C587)</f>
        <v>1</v>
      </c>
      <c r="E587" s="10" t="s">
        <v>635</v>
      </c>
      <c r="F587" s="4"/>
      <c r="G587" s="31" t="s">
        <v>4</v>
      </c>
      <c r="H587" s="31" t="s">
        <v>965</v>
      </c>
      <c r="I587" s="10" t="s">
        <v>977</v>
      </c>
    </row>
    <row r="588" spans="1:9" ht="23" customHeight="1" x14ac:dyDescent="0.15">
      <c r="A588" s="4" t="s">
        <v>28</v>
      </c>
      <c r="B588" s="6" t="s">
        <v>670</v>
      </c>
      <c r="C588" s="13" t="str">
        <f>SUBSTITUTE(REPLACE(REPLACE(B588,1,IFERROR(FIND("//",B588,1)+1,0),"")&amp;"/",FIND("/",REPLACE(B588,1,IFERROR(FIND("//",B588,1)+1,0),"")&amp;"/",1),LEN(B588),""),"www.","",1)</f>
        <v>sitzvergnügen.de</v>
      </c>
      <c r="D588" s="13">
        <f>COUNTIF($C$2:$C$801,C588)</f>
        <v>1</v>
      </c>
      <c r="E588" s="10" t="s">
        <v>653</v>
      </c>
      <c r="F588" s="4"/>
      <c r="G588" s="31" t="s">
        <v>4</v>
      </c>
      <c r="H588" s="31" t="s">
        <v>965</v>
      </c>
      <c r="I588" s="10" t="s">
        <v>977</v>
      </c>
    </row>
    <row r="589" spans="1:9" ht="23" customHeight="1" x14ac:dyDescent="0.15">
      <c r="A589" s="4" t="s">
        <v>28</v>
      </c>
      <c r="B589" s="6" t="s">
        <v>671</v>
      </c>
      <c r="C589" s="13" t="str">
        <f>SUBSTITUTE(REPLACE(REPLACE(B589,1,IFERROR(FIND("//",B589,1)+1,0),"")&amp;"/",FIND("/",REPLACE(B589,1,IFERROR(FIND("//",B589,1)+1,0),"")&amp;"/",1),LEN(B589),""),"www.","",1)</f>
        <v>smv-bürostühle.de</v>
      </c>
      <c r="D589" s="13">
        <f>COUNTIF($C$2:$C$801,C589)</f>
        <v>1</v>
      </c>
      <c r="E589" s="10" t="s">
        <v>653</v>
      </c>
      <c r="F589" s="4"/>
      <c r="G589" s="31" t="s">
        <v>4</v>
      </c>
      <c r="H589" s="31" t="s">
        <v>965</v>
      </c>
      <c r="I589" s="10" t="s">
        <v>977</v>
      </c>
    </row>
    <row r="590" spans="1:9" ht="23" customHeight="1" x14ac:dyDescent="0.15">
      <c r="A590" s="4" t="s">
        <v>28</v>
      </c>
      <c r="B590" s="6" t="s">
        <v>672</v>
      </c>
      <c r="C590" s="13" t="str">
        <f>SUBSTITUTE(REPLACE(REPLACE(B590,1,IFERROR(FIND("//",B590,1)+1,0),"")&amp;"/",FIND("/",REPLACE(B590,1,IFERROR(FIND("//",B590,1)+1,0),"")&amp;"/",1),LEN(B590),""),"www.","",1)</f>
        <v>smv-drehstühle.de</v>
      </c>
      <c r="D590" s="13">
        <f>COUNTIF($C$2:$C$801,C590)</f>
        <v>1</v>
      </c>
      <c r="E590" s="10" t="s">
        <v>653</v>
      </c>
      <c r="F590" s="4"/>
      <c r="G590" s="31" t="s">
        <v>4</v>
      </c>
      <c r="H590" s="31" t="s">
        <v>965</v>
      </c>
      <c r="I590" s="10" t="s">
        <v>977</v>
      </c>
    </row>
    <row r="591" spans="1:9" ht="23" customHeight="1" x14ac:dyDescent="0.15">
      <c r="A591" s="4" t="s">
        <v>28</v>
      </c>
      <c r="B591" s="6" t="s">
        <v>654</v>
      </c>
      <c r="C591" s="13" t="str">
        <f>SUBSTITUTE(REPLACE(REPLACE(B591,1,IFERROR(FIND("//",B591,1)+1,0),"")&amp;"/",FIND("/",REPLACE(B591,1,IFERROR(FIND("//",B591,1)+1,0),"")&amp;"/",1),LEN(B591),""),"www.","",1)</f>
        <v>smv-gmbh.biz</v>
      </c>
      <c r="D591" s="13">
        <f>COUNTIF($C$2:$C$801,C591)</f>
        <v>1</v>
      </c>
      <c r="E591" s="10" t="s">
        <v>635</v>
      </c>
      <c r="F591" s="4"/>
      <c r="G591" s="31" t="s">
        <v>4</v>
      </c>
      <c r="H591" s="31" t="s">
        <v>965</v>
      </c>
      <c r="I591" s="10" t="s">
        <v>977</v>
      </c>
    </row>
    <row r="592" spans="1:9" ht="23" customHeight="1" x14ac:dyDescent="0.15">
      <c r="A592" s="4" t="s">
        <v>28</v>
      </c>
      <c r="B592" s="6" t="s">
        <v>864</v>
      </c>
      <c r="C592" s="13" t="str">
        <f>SUBSTITUTE(REPLACE(REPLACE(B592,1,IFERROR(FIND("//",B592,1)+1,0),"")&amp;"/",FIND("/",REPLACE(B592,1,IFERROR(FIND("//",B592,1)+1,0),"")&amp;"/",1),LEN(B592),""),"www.","",1)</f>
        <v>smv-gmbh.ch</v>
      </c>
      <c r="D592" s="13">
        <f>COUNTIF($C$2:$C$801,C592)</f>
        <v>1</v>
      </c>
      <c r="E592" s="10">
        <v>301</v>
      </c>
      <c r="F592" s="4" t="s">
        <v>13</v>
      </c>
      <c r="G592" s="31" t="s">
        <v>4</v>
      </c>
      <c r="H592" s="31" t="s">
        <v>965</v>
      </c>
      <c r="I592" s="10" t="s">
        <v>977</v>
      </c>
    </row>
    <row r="593" spans="1:9" ht="23" customHeight="1" x14ac:dyDescent="0.15">
      <c r="A593" s="4" t="s">
        <v>28</v>
      </c>
      <c r="B593" s="6" t="s">
        <v>861</v>
      </c>
      <c r="C593" s="13" t="str">
        <f>SUBSTITUTE(REPLACE(REPLACE(B593,1,IFERROR(FIND("//",B593,1)+1,0),"")&amp;"/",FIND("/",REPLACE(B593,1,IFERROR(FIND("//",B593,1)+1,0),"")&amp;"/",1),LEN(B593),""),"www.","",1)</f>
        <v>smv-gmbh.co.uk</v>
      </c>
      <c r="D593" s="13">
        <f>COUNTIF($C$2:$C$801,C593)</f>
        <v>1</v>
      </c>
      <c r="E593" s="10">
        <v>301</v>
      </c>
      <c r="F593" s="4" t="s">
        <v>13</v>
      </c>
      <c r="G593" s="31" t="s">
        <v>4</v>
      </c>
      <c r="H593" s="31" t="s">
        <v>965</v>
      </c>
      <c r="I593" s="10" t="s">
        <v>977</v>
      </c>
    </row>
    <row r="594" spans="1:9" ht="23" customHeight="1" x14ac:dyDescent="0.15">
      <c r="A594" s="4" t="s">
        <v>28</v>
      </c>
      <c r="B594" s="6" t="s">
        <v>650</v>
      </c>
      <c r="C594" s="13" t="str">
        <f>SUBSTITUTE(REPLACE(REPLACE(B594,1,IFERROR(FIND("//",B594,1)+1,0),"")&amp;"/",FIND("/",REPLACE(B594,1,IFERROR(FIND("//",B594,1)+1,0),"")&amp;"/",1),LEN(B594),""),"www.","",1)</f>
        <v>smv-gmbh.com</v>
      </c>
      <c r="D594" s="13">
        <f>COUNTIF($C$2:$C$801,C594)</f>
        <v>1</v>
      </c>
      <c r="E594" s="10" t="s">
        <v>635</v>
      </c>
      <c r="F594" s="4"/>
      <c r="G594" s="31" t="s">
        <v>4</v>
      </c>
      <c r="H594" s="31" t="s">
        <v>965</v>
      </c>
      <c r="I594" s="10" t="s">
        <v>977</v>
      </c>
    </row>
    <row r="595" spans="1:9" ht="23" customHeight="1" x14ac:dyDescent="0.15">
      <c r="A595" s="4" t="s">
        <v>28</v>
      </c>
      <c r="B595" s="6" t="s">
        <v>94</v>
      </c>
      <c r="C595" s="13" t="str">
        <f>SUBSTITUTE(REPLACE(REPLACE(B595,1,IFERROR(FIND("//",B595,1)+1,0),"")&amp;"/",FIND("/",REPLACE(B595,1,IFERROR(FIND("//",B595,1)+1,0),"")&amp;"/",1),LEN(B595),""),"www.","",1)</f>
        <v>smv-gmbh.de</v>
      </c>
      <c r="D595" s="13">
        <f>COUNTIF($C$2:$C$801,C595)</f>
        <v>1</v>
      </c>
      <c r="E595" s="10" t="s">
        <v>696</v>
      </c>
      <c r="F595" s="4"/>
      <c r="G595" s="31" t="s">
        <v>4</v>
      </c>
      <c r="H595" s="31" t="s">
        <v>965</v>
      </c>
      <c r="I595" s="10" t="s">
        <v>977</v>
      </c>
    </row>
    <row r="596" spans="1:9" ht="23" customHeight="1" x14ac:dyDescent="0.15">
      <c r="A596" s="4" t="s">
        <v>28</v>
      </c>
      <c r="B596" s="6" t="s">
        <v>677</v>
      </c>
      <c r="C596" s="13" t="str">
        <f>SUBSTITUTE(REPLACE(REPLACE(B596,1,IFERROR(FIND("//",B596,1)+1,0),"")&amp;"/",FIND("/",REPLACE(B596,1,IFERROR(FIND("//",B596,1)+1,0),"")&amp;"/",1),LEN(B596),""),"www.","",1)</f>
        <v>smv-gmbh.info</v>
      </c>
      <c r="D596" s="13">
        <f>COUNTIF($C$2:$C$801,C596)</f>
        <v>1</v>
      </c>
      <c r="E596" s="10" t="s">
        <v>635</v>
      </c>
      <c r="F596" s="4"/>
      <c r="G596" s="31" t="s">
        <v>4</v>
      </c>
      <c r="H596" s="31" t="s">
        <v>965</v>
      </c>
      <c r="I596" s="10" t="s">
        <v>977</v>
      </c>
    </row>
    <row r="597" spans="1:9" ht="23" customHeight="1" x14ac:dyDescent="0.15">
      <c r="A597" s="4" t="s">
        <v>28</v>
      </c>
      <c r="B597" s="6" t="s">
        <v>680</v>
      </c>
      <c r="C597" s="13" t="str">
        <f>SUBSTITUTE(REPLACE(REPLACE(B597,1,IFERROR(FIND("//",B597,1)+1,0),"")&amp;"/",FIND("/",REPLACE(B597,1,IFERROR(FIND("//",B597,1)+1,0),"")&amp;"/",1),LEN(B597),""),"www.","",1)</f>
        <v>smv-gmbh.net</v>
      </c>
      <c r="D597" s="13">
        <f>COUNTIF($C$2:$C$801,C597)</f>
        <v>1</v>
      </c>
      <c r="E597" s="10" t="s">
        <v>635</v>
      </c>
      <c r="F597" s="4"/>
      <c r="G597" s="31" t="s">
        <v>4</v>
      </c>
      <c r="H597" s="31" t="s">
        <v>965</v>
      </c>
      <c r="I597" s="10" t="s">
        <v>977</v>
      </c>
    </row>
    <row r="598" spans="1:9" ht="23" customHeight="1" x14ac:dyDescent="0.15">
      <c r="A598" s="4" t="s">
        <v>28</v>
      </c>
      <c r="B598" s="6" t="s">
        <v>683</v>
      </c>
      <c r="C598" s="13" t="str">
        <f>SUBSTITUTE(REPLACE(REPLACE(B598,1,IFERROR(FIND("//",B598,1)+1,0),"")&amp;"/",FIND("/",REPLACE(B598,1,IFERROR(FIND("//",B598,1)+1,0),"")&amp;"/",1),LEN(B598),""),"www.","",1)</f>
        <v>smv-gmbh.org</v>
      </c>
      <c r="D598" s="13">
        <f>COUNTIF($C$2:$C$801,C598)</f>
        <v>1</v>
      </c>
      <c r="E598" s="10" t="s">
        <v>635</v>
      </c>
      <c r="F598" s="4"/>
      <c r="G598" s="31" t="s">
        <v>4</v>
      </c>
      <c r="H598" s="31" t="s">
        <v>965</v>
      </c>
      <c r="I598" s="10" t="s">
        <v>977</v>
      </c>
    </row>
    <row r="599" spans="1:9" ht="23" customHeight="1" x14ac:dyDescent="0.15">
      <c r="A599" s="4" t="s">
        <v>28</v>
      </c>
      <c r="B599" s="6" t="s">
        <v>674</v>
      </c>
      <c r="C599" s="13" t="str">
        <f>SUBSTITUTE(REPLACE(REPLACE(B599,1,IFERROR(FIND("//",B599,1)+1,0),"")&amp;"/",FIND("/",REPLACE(B599,1,IFERROR(FIND("//",B599,1)+1,0),"")&amp;"/",1),LEN(B599),""),"www.","",1)</f>
        <v>smv-möbel-vertrieb.de</v>
      </c>
      <c r="D599" s="13">
        <f>COUNTIF($C$2:$C$801,C599)</f>
        <v>1</v>
      </c>
      <c r="E599" s="10" t="s">
        <v>653</v>
      </c>
      <c r="F599" s="4"/>
      <c r="G599" s="31" t="s">
        <v>4</v>
      </c>
      <c r="H599" s="31" t="s">
        <v>965</v>
      </c>
      <c r="I599" s="10" t="s">
        <v>977</v>
      </c>
    </row>
    <row r="600" spans="1:9" ht="23" customHeight="1" x14ac:dyDescent="0.15">
      <c r="A600" s="4" t="s">
        <v>28</v>
      </c>
      <c r="B600" s="6" t="s">
        <v>673</v>
      </c>
      <c r="C600" s="13" t="str">
        <f>SUBSTITUTE(REPLACE(REPLACE(B600,1,IFERROR(FIND("//",B600,1)+1,0),"")&amp;"/",FIND("/",REPLACE(B600,1,IFERROR(FIND("//",B600,1)+1,0),"")&amp;"/",1),LEN(B600),""),"www.","",1)</f>
        <v>smv-möbel.de</v>
      </c>
      <c r="D600" s="13">
        <f>COUNTIF($C$2:$C$801,C600)</f>
        <v>1</v>
      </c>
      <c r="E600" s="10" t="s">
        <v>653</v>
      </c>
      <c r="F600" s="4"/>
      <c r="G600" s="31" t="s">
        <v>4</v>
      </c>
      <c r="H600" s="31" t="s">
        <v>965</v>
      </c>
      <c r="I600" s="10" t="s">
        <v>977</v>
      </c>
    </row>
    <row r="601" spans="1:9" ht="23" customHeight="1" x14ac:dyDescent="0.15">
      <c r="A601" s="4" t="s">
        <v>28</v>
      </c>
      <c r="B601" s="6" t="s">
        <v>634</v>
      </c>
      <c r="C601" s="13" t="str">
        <f>SUBSTITUTE(REPLACE(REPLACE(B601,1,IFERROR(FIND("//",B601,1)+1,0),"")&amp;"/",FIND("/",REPLACE(B601,1,IFERROR(FIND("//",B601,1)+1,0),"")&amp;"/",1),LEN(B601),""),"www.","",1)</f>
        <v>smv-moebel.de</v>
      </c>
      <c r="D601" s="13">
        <f>COUNTIF($C$2:$C$801,C601)</f>
        <v>1</v>
      </c>
      <c r="E601" s="10" t="s">
        <v>635</v>
      </c>
      <c r="F601" s="4"/>
      <c r="G601" s="31" t="s">
        <v>4</v>
      </c>
      <c r="H601" s="31" t="s">
        <v>965</v>
      </c>
      <c r="I601" s="10" t="s">
        <v>977</v>
      </c>
    </row>
    <row r="602" spans="1:9" ht="23" customHeight="1" x14ac:dyDescent="0.15">
      <c r="A602" s="4" t="s">
        <v>28</v>
      </c>
      <c r="B602" s="6" t="s">
        <v>664</v>
      </c>
      <c r="C602" s="13" t="str">
        <f>SUBSTITUTE(REPLACE(REPLACE(B602,1,IFERROR(FIND("//",B602,1)+1,0),"")&amp;"/",FIND("/",REPLACE(B602,1,IFERROR(FIND("//",B602,1)+1,0),"")&amp;"/",1),LEN(B602),""),"www.","",1)</f>
        <v>smv-sitz-moebel.de</v>
      </c>
      <c r="D602" s="13">
        <f>COUNTIF($C$2:$C$801,C602)</f>
        <v>1</v>
      </c>
      <c r="E602" s="10" t="s">
        <v>635</v>
      </c>
      <c r="F602" s="4"/>
      <c r="G602" s="31" t="s">
        <v>4</v>
      </c>
      <c r="H602" s="31" t="s">
        <v>965</v>
      </c>
      <c r="I602" s="10" t="s">
        <v>977</v>
      </c>
    </row>
    <row r="603" spans="1:9" ht="23" customHeight="1" x14ac:dyDescent="0.15">
      <c r="A603" s="4" t="s">
        <v>28</v>
      </c>
      <c r="B603" s="6" t="s">
        <v>652</v>
      </c>
      <c r="C603" s="13" t="str">
        <f>SUBSTITUTE(REPLACE(REPLACE(B603,1,IFERROR(FIND("//",B603,1)+1,0),"")&amp;"/",FIND("/",REPLACE(B603,1,IFERROR(FIND("//",B603,1)+1,0),"")&amp;"/",1),LEN(B603),""),"www.","",1)</f>
        <v>smv-sitzmöbel.de</v>
      </c>
      <c r="D603" s="13">
        <f>COUNTIF($C$2:$C$801,C603)</f>
        <v>1</v>
      </c>
      <c r="E603" s="10" t="s">
        <v>653</v>
      </c>
      <c r="F603" s="4"/>
      <c r="G603" s="31" t="s">
        <v>4</v>
      </c>
      <c r="H603" s="31" t="s">
        <v>965</v>
      </c>
      <c r="I603" s="10" t="s">
        <v>977</v>
      </c>
    </row>
    <row r="604" spans="1:9" ht="23" customHeight="1" x14ac:dyDescent="0.15">
      <c r="A604" s="4" t="s">
        <v>28</v>
      </c>
      <c r="B604" s="6" t="s">
        <v>665</v>
      </c>
      <c r="C604" s="13" t="str">
        <f>SUBSTITUTE(REPLACE(REPLACE(B604,1,IFERROR(FIND("//",B604,1)+1,0),"")&amp;"/",FIND("/",REPLACE(B604,1,IFERROR(FIND("//",B604,1)+1,0),"")&amp;"/",1),LEN(B604),""),"www.","",1)</f>
        <v>smv-sitzmoebel.de</v>
      </c>
      <c r="D604" s="13">
        <f>COUNTIF($C$2:$C$801,C604)</f>
        <v>1</v>
      </c>
      <c r="E604" s="10" t="s">
        <v>635</v>
      </c>
      <c r="F604" s="4"/>
      <c r="G604" s="32" t="s">
        <v>4</v>
      </c>
      <c r="H604" s="31" t="s">
        <v>965</v>
      </c>
      <c r="I604" s="10" t="s">
        <v>977</v>
      </c>
    </row>
    <row r="605" spans="1:9" ht="23" customHeight="1" x14ac:dyDescent="0.15">
      <c r="A605" s="4" t="s">
        <v>28</v>
      </c>
      <c r="B605" s="6" t="s">
        <v>655</v>
      </c>
      <c r="C605" s="13" t="str">
        <f>SUBSTITUTE(REPLACE(REPLACE(B605,1,IFERROR(FIND("//",B605,1)+1,0),"")&amp;"/",FIND("/",REPLACE(B605,1,IFERROR(FIND("//",B605,1)+1,0),"")&amp;"/",1),LEN(B605),""),"www.","",1)</f>
        <v>smv-wohlsitzen.biz</v>
      </c>
      <c r="D605" s="13">
        <f>COUNTIF($C$2:$C$801,C605)</f>
        <v>1</v>
      </c>
      <c r="E605" s="10" t="s">
        <v>635</v>
      </c>
      <c r="F605" s="4"/>
      <c r="G605" s="32" t="s">
        <v>4</v>
      </c>
      <c r="H605" s="31" t="s">
        <v>965</v>
      </c>
      <c r="I605" s="10" t="s">
        <v>977</v>
      </c>
    </row>
    <row r="606" spans="1:9" ht="23" customHeight="1" x14ac:dyDescent="0.15">
      <c r="A606" s="4" t="s">
        <v>28</v>
      </c>
      <c r="B606" s="6" t="s">
        <v>182</v>
      </c>
      <c r="C606" s="13" t="str">
        <f>SUBSTITUTE(REPLACE(REPLACE(B606,1,IFERROR(FIND("//",B606,1)+1,0),"")&amp;"/",FIND("/",REPLACE(B606,1,IFERROR(FIND("//",B606,1)+1,0),"")&amp;"/",1),LEN(B606),""),"www.","",1)</f>
        <v>smv-wohlsitzen.com</v>
      </c>
      <c r="D606" s="13">
        <f>COUNTIF($C$2:$C$801,C606)</f>
        <v>1</v>
      </c>
      <c r="E606" s="10" t="s">
        <v>635</v>
      </c>
      <c r="F606" s="4"/>
      <c r="G606" s="32" t="s">
        <v>4</v>
      </c>
      <c r="H606" s="31" t="s">
        <v>965</v>
      </c>
      <c r="I606" s="10" t="s">
        <v>977</v>
      </c>
    </row>
    <row r="607" spans="1:9" ht="23" customHeight="1" x14ac:dyDescent="0.15">
      <c r="A607" s="4" t="s">
        <v>28</v>
      </c>
      <c r="B607" s="6" t="s">
        <v>666</v>
      </c>
      <c r="C607" s="13" t="str">
        <f>SUBSTITUTE(REPLACE(REPLACE(B607,1,IFERROR(FIND("//",B607,1)+1,0),"")&amp;"/",FIND("/",REPLACE(B607,1,IFERROR(FIND("//",B607,1)+1,0),"")&amp;"/",1),LEN(B607),""),"www.","",1)</f>
        <v>smv-wohlsitzen.de</v>
      </c>
      <c r="D607" s="13">
        <f>COUNTIF($C$2:$C$801,C607)</f>
        <v>1</v>
      </c>
      <c r="E607" s="10" t="s">
        <v>635</v>
      </c>
      <c r="F607" s="4" t="s">
        <v>13</v>
      </c>
      <c r="G607" s="31" t="s">
        <v>10</v>
      </c>
      <c r="H607" s="31" t="s">
        <v>965</v>
      </c>
      <c r="I607" s="29" t="s">
        <v>982</v>
      </c>
    </row>
    <row r="608" spans="1:9" ht="23" customHeight="1" x14ac:dyDescent="0.15">
      <c r="A608" s="4" t="s">
        <v>28</v>
      </c>
      <c r="B608" s="6" t="s">
        <v>675</v>
      </c>
      <c r="C608" s="13" t="str">
        <f>SUBSTITUTE(REPLACE(REPLACE(B608,1,IFERROR(FIND("//",B608,1)+1,0),"")&amp;"/",FIND("/",REPLACE(B608,1,IFERROR(FIND("//",B608,1)+1,0),"")&amp;"/",1),LEN(B608),""),"www.","",1)</f>
        <v>smv-wohlsitzen.eu</v>
      </c>
      <c r="D608" s="13">
        <f>COUNTIF($C$2:$C$801,C608)</f>
        <v>1</v>
      </c>
      <c r="E608" s="10" t="s">
        <v>635</v>
      </c>
      <c r="F608" s="4"/>
      <c r="G608" s="32" t="s">
        <v>4</v>
      </c>
      <c r="H608" s="31" t="s">
        <v>965</v>
      </c>
      <c r="I608" s="10" t="s">
        <v>977</v>
      </c>
    </row>
    <row r="609" spans="1:9" ht="23" customHeight="1" x14ac:dyDescent="0.15">
      <c r="A609" s="4" t="s">
        <v>28</v>
      </c>
      <c r="B609" s="6" t="s">
        <v>678</v>
      </c>
      <c r="C609" s="13" t="str">
        <f>SUBSTITUTE(REPLACE(REPLACE(B609,1,IFERROR(FIND("//",B609,1)+1,0),"")&amp;"/",FIND("/",REPLACE(B609,1,IFERROR(FIND("//",B609,1)+1,0),"")&amp;"/",1),LEN(B609),""),"www.","",1)</f>
        <v>smv-wohlsitzen.info</v>
      </c>
      <c r="D609" s="13">
        <f>COUNTIF($C$2:$C$801,C609)</f>
        <v>1</v>
      </c>
      <c r="E609" s="10" t="s">
        <v>635</v>
      </c>
      <c r="F609" s="4"/>
      <c r="G609" s="32" t="s">
        <v>4</v>
      </c>
      <c r="H609" s="31" t="s">
        <v>965</v>
      </c>
      <c r="I609" s="10" t="s">
        <v>977</v>
      </c>
    </row>
    <row r="610" spans="1:9" ht="23" customHeight="1" x14ac:dyDescent="0.15">
      <c r="A610" s="4" t="s">
        <v>28</v>
      </c>
      <c r="B610" s="6" t="s">
        <v>681</v>
      </c>
      <c r="C610" s="13" t="str">
        <f>SUBSTITUTE(REPLACE(REPLACE(B610,1,IFERROR(FIND("//",B610,1)+1,0),"")&amp;"/",FIND("/",REPLACE(B610,1,IFERROR(FIND("//",B610,1)+1,0),"")&amp;"/",1),LEN(B610),""),"www.","",1)</f>
        <v>smv-wohlsitzen.net</v>
      </c>
      <c r="D610" s="13">
        <f>COUNTIF($C$2:$C$801,C610)</f>
        <v>1</v>
      </c>
      <c r="E610" s="10" t="s">
        <v>635</v>
      </c>
      <c r="F610" s="4"/>
      <c r="G610" s="32" t="s">
        <v>4</v>
      </c>
      <c r="H610" s="31" t="s">
        <v>965</v>
      </c>
      <c r="I610" s="10" t="s">
        <v>977</v>
      </c>
    </row>
    <row r="611" spans="1:9" ht="23" customHeight="1" x14ac:dyDescent="0.15">
      <c r="A611" s="4" t="s">
        <v>28</v>
      </c>
      <c r="B611" s="6" t="s">
        <v>684</v>
      </c>
      <c r="C611" s="13" t="str">
        <f>SUBSTITUTE(REPLACE(REPLACE(B611,1,IFERROR(FIND("//",B611,1)+1,0),"")&amp;"/",FIND("/",REPLACE(B611,1,IFERROR(FIND("//",B611,1)+1,0),"")&amp;"/",1),LEN(B611),""),"www.","",1)</f>
        <v>smv-wohlsitzen.org</v>
      </c>
      <c r="D611" s="13">
        <f>COUNTIF($C$2:$C$801,C611)</f>
        <v>1</v>
      </c>
      <c r="E611" s="10" t="s">
        <v>635</v>
      </c>
      <c r="F611" s="4"/>
      <c r="G611" s="32" t="s">
        <v>4</v>
      </c>
      <c r="H611" s="31" t="s">
        <v>965</v>
      </c>
      <c r="I611" s="10" t="s">
        <v>977</v>
      </c>
    </row>
    <row r="612" spans="1:9" ht="23" customHeight="1" x14ac:dyDescent="0.15">
      <c r="A612" s="4" t="s">
        <v>28</v>
      </c>
      <c r="B612" s="6" t="s">
        <v>506</v>
      </c>
      <c r="C612" s="13" t="str">
        <f>SUBSTITUTE(REPLACE(REPLACE(B612,1,IFERROR(FIND("//",B612,1)+1,0),"")&amp;"/",FIND("/",REPLACE(B612,1,IFERROR(FIND("//",B612,1)+1,0),"")&amp;"/",1),LEN(B612),""),"www.","",1)</f>
        <v>smv.design</v>
      </c>
      <c r="D612" s="13">
        <f>COUNTIF($C$2:$C$801,C612)</f>
        <v>1</v>
      </c>
      <c r="E612" s="10"/>
      <c r="F612" s="4"/>
      <c r="G612" s="32" t="s">
        <v>4</v>
      </c>
      <c r="H612" s="31" t="s">
        <v>965</v>
      </c>
      <c r="I612" s="10" t="s">
        <v>977</v>
      </c>
    </row>
    <row r="613" spans="1:9" ht="23" customHeight="1" x14ac:dyDescent="0.15">
      <c r="A613" s="4" t="s">
        <v>28</v>
      </c>
      <c r="B613" s="6" t="s">
        <v>507</v>
      </c>
      <c r="C613" s="13" t="str">
        <f>SUBSTITUTE(REPLACE(REPLACE(B613,1,IFERROR(FIND("//",B613,1)+1,0),"")&amp;"/",FIND("/",REPLACE(B613,1,IFERROR(FIND("//",B613,1)+1,0),"")&amp;"/",1),LEN(B613),""),"www.","",1)</f>
        <v>smvgmbh.de</v>
      </c>
      <c r="D613" s="13">
        <f>COUNTIF($C$2:$C$801,C613)</f>
        <v>1</v>
      </c>
      <c r="E613" s="10"/>
      <c r="F613" s="4"/>
      <c r="G613" s="32" t="s">
        <v>4</v>
      </c>
      <c r="H613" s="31" t="s">
        <v>965</v>
      </c>
      <c r="I613" s="10" t="s">
        <v>977</v>
      </c>
    </row>
    <row r="614" spans="1:9" ht="23" customHeight="1" x14ac:dyDescent="0.15">
      <c r="A614" s="4" t="s">
        <v>28</v>
      </c>
      <c r="B614" s="6" t="s">
        <v>126</v>
      </c>
      <c r="C614" s="13" t="str">
        <f>SUBSTITUTE(REPLACE(REPLACE(B614,1,IFERROR(FIND("//",B614,1)+1,0),"")&amp;"/",FIND("/",REPLACE(B614,1,IFERROR(FIND("//",B614,1)+1,0),"")&amp;"/",1),LEN(B614),""),"www.","",1)</f>
        <v>sobotta-objekt.de</v>
      </c>
      <c r="D614" s="13">
        <f>COUNTIF($C$2:$C$801,C614)</f>
        <v>1</v>
      </c>
      <c r="E614" s="10" t="s">
        <v>28</v>
      </c>
      <c r="F614" s="4" t="s">
        <v>729</v>
      </c>
      <c r="G614" s="31" t="s">
        <v>4</v>
      </c>
      <c r="H614" s="31" t="s">
        <v>965</v>
      </c>
      <c r="I614" s="10" t="s">
        <v>977</v>
      </c>
    </row>
    <row r="615" spans="1:9" ht="23" customHeight="1" x14ac:dyDescent="0.15">
      <c r="A615" s="4" t="s">
        <v>28</v>
      </c>
      <c r="B615" s="6" t="s">
        <v>784</v>
      </c>
      <c r="C615" s="13" t="str">
        <f>SUBSTITUTE(REPLACE(REPLACE(B615,1,IFERROR(FIND("//",B615,1)+1,0),"")&amp;"/",FIND("/",REPLACE(B615,1,IFERROR(FIND("//",B615,1)+1,0),"")&amp;"/",1),LEN(B615),""),"www.","",1)</f>
        <v>soelring-museen.de</v>
      </c>
      <c r="D615" s="13">
        <f>COUNTIF($C$2:$C$801,C615)</f>
        <v>1</v>
      </c>
      <c r="E615" s="10"/>
      <c r="F615" s="4" t="s">
        <v>729</v>
      </c>
      <c r="G615" s="31" t="s">
        <v>4</v>
      </c>
      <c r="H615" s="31" t="s">
        <v>965</v>
      </c>
      <c r="I615" s="10" t="s">
        <v>977</v>
      </c>
    </row>
    <row r="616" spans="1:9" ht="23" customHeight="1" x14ac:dyDescent="0.15">
      <c r="A616" s="4" t="s">
        <v>28</v>
      </c>
      <c r="B616" s="6" t="s">
        <v>297</v>
      </c>
      <c r="C616" s="13" t="str">
        <f>SUBSTITUTE(REPLACE(REPLACE(B616,1,IFERROR(FIND("//",B616,1)+1,0),"")&amp;"/",FIND("/",REPLACE(B616,1,IFERROR(FIND("//",B616,1)+1,0),"")&amp;"/",1),LEN(B616),""),"www.","",1)</f>
        <v>sofa24.net</v>
      </c>
      <c r="D616" s="13">
        <f>COUNTIF($C$2:$C$801,C616)</f>
        <v>1</v>
      </c>
      <c r="E616" s="10" t="s">
        <v>298</v>
      </c>
      <c r="F616" s="4" t="s">
        <v>13</v>
      </c>
      <c r="G616" s="31" t="s">
        <v>6</v>
      </c>
      <c r="H616" s="31" t="s">
        <v>967</v>
      </c>
      <c r="I616" s="10" t="s">
        <v>979</v>
      </c>
    </row>
    <row r="617" spans="1:9" ht="23" customHeight="1" x14ac:dyDescent="0.15">
      <c r="A617" s="4" t="s">
        <v>28</v>
      </c>
      <c r="B617" s="6" t="s">
        <v>364</v>
      </c>
      <c r="C617" s="13" t="str">
        <f>SUBSTITUTE(REPLACE(REPLACE(B617,1,IFERROR(FIND("//",B617,1)+1,0),"")&amp;"/",FIND("/",REPLACE(B617,1,IFERROR(FIND("//",B617,1)+1,0),"")&amp;"/",1),LEN(B617),""),"www.","",1)</f>
        <v>soremba.de</v>
      </c>
      <c r="D617" s="13">
        <f>COUNTIF($C$2:$C$801,C617)</f>
        <v>1</v>
      </c>
      <c r="E617" s="10" t="s">
        <v>365</v>
      </c>
      <c r="F617" s="4" t="s">
        <v>729</v>
      </c>
      <c r="G617" s="31" t="s">
        <v>4</v>
      </c>
      <c r="H617" s="31" t="s">
        <v>965</v>
      </c>
      <c r="I617" s="10" t="s">
        <v>977</v>
      </c>
    </row>
    <row r="618" spans="1:9" ht="23" customHeight="1" x14ac:dyDescent="0.15">
      <c r="A618" s="4" t="s">
        <v>28</v>
      </c>
      <c r="B618" s="6" t="s">
        <v>837</v>
      </c>
      <c r="C618" s="13" t="str">
        <f>SUBSTITUTE(REPLACE(REPLACE(B618,1,IFERROR(FIND("//",B618,1)+1,0),"")&amp;"/",FIND("/",REPLACE(B618,1,IFERROR(FIND("//",B618,1)+1,0),"")&amp;"/",1),LEN(B618),""),"www.","",1)</f>
        <v>soundsmeister.com</v>
      </c>
      <c r="D618" s="13">
        <f>COUNTIF($C$2:$C$801,C618)</f>
        <v>1</v>
      </c>
      <c r="E618" s="10" t="s">
        <v>923</v>
      </c>
      <c r="F618" s="4" t="s">
        <v>730</v>
      </c>
      <c r="G618" s="31" t="s">
        <v>6</v>
      </c>
      <c r="H618" s="31" t="s">
        <v>967</v>
      </c>
      <c r="I618" s="10" t="s">
        <v>979</v>
      </c>
    </row>
    <row r="619" spans="1:9" ht="23" customHeight="1" x14ac:dyDescent="0.15">
      <c r="A619" s="4" t="s">
        <v>28</v>
      </c>
      <c r="B619" s="6" t="s">
        <v>858</v>
      </c>
      <c r="C619" s="13" t="str">
        <f>SUBSTITUTE(REPLACE(REPLACE(B619,1,IFERROR(FIND("//",B619,1)+1,0),"")&amp;"/",FIND("/",REPLACE(B619,1,IFERROR(FIND("//",B619,1)+1,0),"")&amp;"/",1),LEN(B619),""),"www.","",1)</f>
        <v>sparechangeinc.com</v>
      </c>
      <c r="D619" s="13">
        <f>COUNTIF($C$2:$C$801,C619)</f>
        <v>1</v>
      </c>
      <c r="E619" s="10"/>
      <c r="F619" s="4" t="s">
        <v>730</v>
      </c>
      <c r="G619" s="31" t="s">
        <v>5</v>
      </c>
      <c r="H619" s="31" t="s">
        <v>965</v>
      </c>
      <c r="I619" s="10" t="s">
        <v>981</v>
      </c>
    </row>
    <row r="620" spans="1:9" ht="23" customHeight="1" x14ac:dyDescent="0.15">
      <c r="A620" s="4" t="s">
        <v>28</v>
      </c>
      <c r="B620" s="6" t="s">
        <v>46</v>
      </c>
      <c r="C620" s="13" t="str">
        <f>SUBSTITUTE(REPLACE(REPLACE(B620,1,IFERROR(FIND("//",B620,1)+1,0),"")&amp;"/",FIND("/",REPLACE(B620,1,IFERROR(FIND("//",B620,1)+1,0),"")&amp;"/",1),LEN(B620),""),"www.","",1)</f>
        <v>srbconsulting.de</v>
      </c>
      <c r="D620" s="13">
        <f>COUNTIF($C$2:$C$801,C620)</f>
        <v>1</v>
      </c>
      <c r="E620" s="10" t="s">
        <v>14</v>
      </c>
      <c r="F620" s="4" t="s">
        <v>729</v>
      </c>
      <c r="G620" s="31" t="s">
        <v>4</v>
      </c>
      <c r="H620" s="31" t="s">
        <v>965</v>
      </c>
      <c r="I620" s="10" t="s">
        <v>977</v>
      </c>
    </row>
    <row r="621" spans="1:9" ht="23" customHeight="1" x14ac:dyDescent="0.15">
      <c r="A621" s="4" t="s">
        <v>28</v>
      </c>
      <c r="B621" s="6" t="s">
        <v>863</v>
      </c>
      <c r="C621" s="13" t="str">
        <f>SUBSTITUTE(REPLACE(REPLACE(B621,1,IFERROR(FIND("//",B621,1)+1,0),"")&amp;"/",FIND("/",REPLACE(B621,1,IFERROR(FIND("//",B621,1)+1,0),"")&amp;"/",1),LEN(B621),""),"www.","",1)</f>
        <v>staging.nzp.ch</v>
      </c>
      <c r="D621" s="13">
        <f>COUNTIF($C$2:$C$801,C621)</f>
        <v>1</v>
      </c>
      <c r="E621" s="10"/>
      <c r="F621" s="4" t="s">
        <v>739</v>
      </c>
      <c r="G621" s="31" t="s">
        <v>4</v>
      </c>
      <c r="H621" s="31" t="s">
        <v>965</v>
      </c>
      <c r="I621" s="10" t="s">
        <v>977</v>
      </c>
    </row>
    <row r="622" spans="1:9" ht="23" customHeight="1" x14ac:dyDescent="0.15">
      <c r="A622" s="4" t="s">
        <v>28</v>
      </c>
      <c r="B622" s="6" t="s">
        <v>1041</v>
      </c>
      <c r="C622" s="13" t="str">
        <f>SUBSTITUTE(REPLACE(REPLACE(B622,1,IFERROR(FIND("//",B622,1)+1,0),"")&amp;"/",FIND("/",REPLACE(B622,1,IFERROR(FIND("//",B622,1)+1,0),"")&amp;"/",1),LEN(B622),""),"www.","",1)</f>
        <v>starcourts.com</v>
      </c>
      <c r="D622" s="13">
        <f>COUNTIF($C$2:$C$801,C622)</f>
        <v>1</v>
      </c>
      <c r="E622" s="10" t="s">
        <v>928</v>
      </c>
      <c r="F622" s="4" t="s">
        <v>730</v>
      </c>
      <c r="G622" s="31" t="s">
        <v>6</v>
      </c>
      <c r="H622" s="31" t="s">
        <v>1084</v>
      </c>
      <c r="I622" s="10"/>
    </row>
    <row r="623" spans="1:9" ht="23" customHeight="1" x14ac:dyDescent="0.15">
      <c r="A623" s="4" t="s">
        <v>28</v>
      </c>
      <c r="B623" s="6" t="s">
        <v>567</v>
      </c>
      <c r="C623" s="13" t="str">
        <f>SUBSTITUTE(REPLACE(REPLACE(B623,1,IFERROR(FIND("//",B623,1)+1,0),"")&amp;"/",FIND("/",REPLACE(B623,1,IFERROR(FIND("//",B623,1)+1,0),"")&amp;"/",1),LEN(B623),""),"www.","",1)</f>
        <v>starke-objekte.de</v>
      </c>
      <c r="D623" s="13">
        <f>COUNTIF($C$2:$C$801,C623)</f>
        <v>1</v>
      </c>
      <c r="E623" s="10"/>
      <c r="F623" s="4" t="s">
        <v>729</v>
      </c>
      <c r="G623" s="31" t="s">
        <v>4</v>
      </c>
      <c r="H623" s="31" t="s">
        <v>965</v>
      </c>
      <c r="I623" s="10" t="s">
        <v>977</v>
      </c>
    </row>
    <row r="624" spans="1:9" ht="23" customHeight="1" x14ac:dyDescent="0.15">
      <c r="A624" s="4" t="s">
        <v>28</v>
      </c>
      <c r="B624" s="6" t="s">
        <v>598</v>
      </c>
      <c r="C624" s="13" t="str">
        <f>SUBSTITUTE(REPLACE(REPLACE(B624,1,IFERROR(FIND("//",B624,1)+1,0),"")&amp;"/",FIND("/",REPLACE(B624,1,IFERROR(FIND("//",B624,1)+1,0),"")&amp;"/",1),LEN(B624),""),"www.","",1)</f>
        <v>stb-osna.de</v>
      </c>
      <c r="D624" s="13">
        <f>COUNTIF($C$2:$C$801,C624)</f>
        <v>1</v>
      </c>
      <c r="E624" s="10" t="s">
        <v>28</v>
      </c>
      <c r="F624" s="4"/>
      <c r="G624" s="31" t="s">
        <v>5</v>
      </c>
      <c r="H624" s="31" t="s">
        <v>965</v>
      </c>
      <c r="I624" s="10" t="s">
        <v>981</v>
      </c>
    </row>
    <row r="625" spans="1:9" ht="23" customHeight="1" x14ac:dyDescent="0.15">
      <c r="A625" s="4" t="s">
        <v>28</v>
      </c>
      <c r="B625" s="6" t="s">
        <v>871</v>
      </c>
      <c r="C625" s="13" t="str">
        <f>SUBSTITUTE(REPLACE(REPLACE(B625,1,IFERROR(FIND("//",B625,1)+1,0),"")&amp;"/",FIND("/",REPLACE(B625,1,IFERROR(FIND("//",B625,1)+1,0),"")&amp;"/",1),LEN(B625),""),"www.","",1)</f>
        <v>stclement1.org</v>
      </c>
      <c r="D625" s="13">
        <f>COUNTIF($C$2:$C$801,C625)</f>
        <v>1</v>
      </c>
      <c r="E625" s="10" t="s">
        <v>923</v>
      </c>
      <c r="F625" s="4" t="s">
        <v>730</v>
      </c>
      <c r="G625" s="31" t="s">
        <v>6</v>
      </c>
      <c r="H625" s="31" t="s">
        <v>967</v>
      </c>
      <c r="I625" s="10" t="s">
        <v>979</v>
      </c>
    </row>
    <row r="626" spans="1:9" ht="23" customHeight="1" x14ac:dyDescent="0.15">
      <c r="A626" s="4" t="s">
        <v>28</v>
      </c>
      <c r="B626" s="6" t="s">
        <v>322</v>
      </c>
      <c r="C626" s="13" t="str">
        <f>SUBSTITUTE(REPLACE(REPLACE(B626,1,IFERROR(FIND("//",B626,1)+1,0),"")&amp;"/",FIND("/",REPLACE(B626,1,IFERROR(FIND("//",B626,1)+1,0),"")&amp;"/",1),LEN(B626),""),"www.","",1)</f>
        <v>steelcase-werkverkauf.de</v>
      </c>
      <c r="D626" s="13">
        <f>COUNTIF($C$2:$C$801,C626)</f>
        <v>1</v>
      </c>
      <c r="E626" s="10" t="s">
        <v>323</v>
      </c>
      <c r="F626" s="4" t="s">
        <v>13</v>
      </c>
      <c r="G626" s="31" t="s">
        <v>4</v>
      </c>
      <c r="H626" s="31" t="s">
        <v>965</v>
      </c>
      <c r="I626" s="10" t="s">
        <v>977</v>
      </c>
    </row>
    <row r="627" spans="1:9" ht="23" customHeight="1" x14ac:dyDescent="0.15">
      <c r="A627" s="4" t="s">
        <v>28</v>
      </c>
      <c r="B627" s="6" t="s">
        <v>1025</v>
      </c>
      <c r="C627" s="13" t="str">
        <f>SUBSTITUTE(REPLACE(REPLACE(B627,1,IFERROR(FIND("//",B627,1)+1,0),"")&amp;"/",FIND("/",REPLACE(B627,1,IFERROR(FIND("//",B627,1)+1,0),"")&amp;"/",1),LEN(B627),""),"www.","",1)</f>
        <v>steinwald-edv.de</v>
      </c>
      <c r="D627" s="13">
        <f>COUNTIF($C$2:$C$801,C627)</f>
        <v>1</v>
      </c>
      <c r="E627" s="10" t="s">
        <v>283</v>
      </c>
      <c r="F627" s="14" t="s">
        <v>729</v>
      </c>
      <c r="G627" s="32" t="s">
        <v>4</v>
      </c>
      <c r="H627" s="31" t="s">
        <v>1084</v>
      </c>
      <c r="I627" s="10"/>
    </row>
    <row r="628" spans="1:9" ht="23" customHeight="1" x14ac:dyDescent="0.15">
      <c r="A628" s="4" t="s">
        <v>28</v>
      </c>
      <c r="B628" s="6" t="s">
        <v>348</v>
      </c>
      <c r="C628" s="13" t="str">
        <f>SUBSTITUTE(REPLACE(REPLACE(B628,1,IFERROR(FIND("//",B628,1)+1,0),"")&amp;"/",FIND("/",REPLACE(B628,1,IFERROR(FIND("//",B628,1)+1,0),"")&amp;"/",1),LEN(B628),""),"www.","",1)</f>
        <v>stellenanzeigen-in-celle.de</v>
      </c>
      <c r="D628" s="13">
        <f>COUNTIF($C$2:$C$801,C628)</f>
        <v>1</v>
      </c>
      <c r="E628" s="10" t="s">
        <v>246</v>
      </c>
      <c r="F628" s="4" t="s">
        <v>743</v>
      </c>
      <c r="G628" s="31" t="s">
        <v>5</v>
      </c>
      <c r="H628" s="31" t="s">
        <v>965</v>
      </c>
      <c r="I628" s="10" t="s">
        <v>981</v>
      </c>
    </row>
    <row r="629" spans="1:9" ht="23" customHeight="1" x14ac:dyDescent="0.15">
      <c r="A629" s="4" t="s">
        <v>28</v>
      </c>
      <c r="B629" s="6" t="s">
        <v>1011</v>
      </c>
      <c r="C629" s="13" t="str">
        <f>SUBSTITUTE(REPLACE(REPLACE(B629,1,IFERROR(FIND("//",B629,1)+1,0),"")&amp;"/",FIND("/",REPLACE(B629,1,IFERROR(FIND("//",B629,1)+1,0),"")&amp;"/",1),LEN(B629),""),"www.","",1)</f>
        <v>stepone-bo.loehne.de</v>
      </c>
      <c r="D629" s="13">
        <f>COUNTIF($C$2:$C$801,C629)</f>
        <v>1</v>
      </c>
      <c r="E629" s="10" t="s">
        <v>1075</v>
      </c>
      <c r="F629" s="14" t="s">
        <v>729</v>
      </c>
      <c r="G629" s="32" t="s">
        <v>4</v>
      </c>
      <c r="H629" s="31" t="s">
        <v>1084</v>
      </c>
      <c r="I629" s="10"/>
    </row>
    <row r="630" spans="1:9" ht="23" customHeight="1" x14ac:dyDescent="0.15">
      <c r="A630" s="4" t="s">
        <v>28</v>
      </c>
      <c r="B630" s="6" t="s">
        <v>148</v>
      </c>
      <c r="C630" s="13" t="str">
        <f>SUBSTITUTE(REPLACE(REPLACE(B630,1,IFERROR(FIND("//",B630,1)+1,0),"")&amp;"/",FIND("/",REPLACE(B630,1,IFERROR(FIND("//",B630,1)+1,0),"")&amp;"/",1),LEN(B630),""),"www.","",1)</f>
        <v>steppe-ambiente.com</v>
      </c>
      <c r="D630" s="13">
        <f>COUNTIF($C$2:$C$801,C630)</f>
        <v>1</v>
      </c>
      <c r="E630" s="10" t="s">
        <v>14</v>
      </c>
      <c r="F630" s="4" t="s">
        <v>729</v>
      </c>
      <c r="G630" s="31" t="s">
        <v>5</v>
      </c>
      <c r="H630" s="31" t="s">
        <v>965</v>
      </c>
      <c r="I630" s="10" t="s">
        <v>981</v>
      </c>
    </row>
    <row r="631" spans="1:9" ht="23" customHeight="1" x14ac:dyDescent="0.15">
      <c r="A631" s="4" t="s">
        <v>28</v>
      </c>
      <c r="B631" s="6" t="s">
        <v>24</v>
      </c>
      <c r="C631" s="13" t="str">
        <f>SUBSTITUTE(REPLACE(REPLACE(B631,1,IFERROR(FIND("//",B631,1)+1,0),"")&amp;"/",FIND("/",REPLACE(B631,1,IFERROR(FIND("//",B631,1)+1,0),"")&amp;"/",1),LEN(B631),""),"www.","",1)</f>
        <v>steppe-ambiente.de</v>
      </c>
      <c r="D631" s="13">
        <f>COUNTIF($C$2:$C$801,C631)</f>
        <v>1</v>
      </c>
      <c r="E631" s="10" t="s">
        <v>14</v>
      </c>
      <c r="F631" s="4" t="s">
        <v>729</v>
      </c>
      <c r="G631" s="31" t="s">
        <v>5</v>
      </c>
      <c r="H631" s="31" t="s">
        <v>965</v>
      </c>
      <c r="I631" s="10" t="s">
        <v>981</v>
      </c>
    </row>
    <row r="632" spans="1:9" ht="23" customHeight="1" x14ac:dyDescent="0.15">
      <c r="A632" s="4" t="s">
        <v>28</v>
      </c>
      <c r="B632" s="6" t="s">
        <v>387</v>
      </c>
      <c r="C632" s="13" t="str">
        <f>SUBSTITUTE(REPLACE(REPLACE(B632,1,IFERROR(FIND("//",B632,1)+1,0),"")&amp;"/",FIND("/",REPLACE(B632,1,IFERROR(FIND("//",B632,1)+1,0),"")&amp;"/",1),LEN(B632),""),"www.","",1)</f>
        <v>stobbe-buero-objekt.de</v>
      </c>
      <c r="D632" s="13">
        <f>COUNTIF($C$2:$C$801,C632)</f>
        <v>1</v>
      </c>
      <c r="E632" s="10" t="s">
        <v>633</v>
      </c>
      <c r="F632" s="4" t="s">
        <v>729</v>
      </c>
      <c r="G632" s="31" t="s">
        <v>4</v>
      </c>
      <c r="H632" s="31" t="s">
        <v>965</v>
      </c>
      <c r="I632" s="10" t="s">
        <v>977</v>
      </c>
    </row>
    <row r="633" spans="1:9" ht="23" customHeight="1" x14ac:dyDescent="0.15">
      <c r="A633" s="4" t="s">
        <v>28</v>
      </c>
      <c r="B633" s="6" t="s">
        <v>277</v>
      </c>
      <c r="C633" s="13" t="str">
        <f>SUBSTITUTE(REPLACE(REPLACE(B633,1,IFERROR(FIND("//",B633,1)+1,0),"")&amp;"/",FIND("/",REPLACE(B633,1,IFERROR(FIND("//",B633,1)+1,0),"")&amp;"/",1),LEN(B633),""),"www.","",1)</f>
        <v>store-locator.com</v>
      </c>
      <c r="D633" s="13">
        <f>COUNTIF($C$2:$C$801,C633)</f>
        <v>1</v>
      </c>
      <c r="E633" s="10" t="s">
        <v>237</v>
      </c>
      <c r="F633" s="4" t="s">
        <v>25</v>
      </c>
      <c r="G633" s="31" t="s">
        <v>5</v>
      </c>
      <c r="H633" s="31" t="s">
        <v>965</v>
      </c>
      <c r="I633" s="10" t="s">
        <v>981</v>
      </c>
    </row>
    <row r="634" spans="1:9" ht="23" customHeight="1" x14ac:dyDescent="0.15">
      <c r="A634" s="4" t="s">
        <v>28</v>
      </c>
      <c r="B634" s="6" t="s">
        <v>636</v>
      </c>
      <c r="C634" s="13" t="str">
        <f>SUBSTITUTE(REPLACE(REPLACE(B634,1,IFERROR(FIND("//",B634,1)+1,0),"")&amp;"/",FIND("/",REPLACE(B634,1,IFERROR(FIND("//",B634,1)+1,0),"")&amp;"/",1),LEN(B634),""),"www.","",1)</f>
        <v>stratford-models.co.uk</v>
      </c>
      <c r="D634" s="13">
        <f>COUNTIF($C$2:$C$801,C634)</f>
        <v>1</v>
      </c>
      <c r="E634" s="10" t="s">
        <v>543</v>
      </c>
      <c r="F634" s="4"/>
      <c r="G634" s="31" t="s">
        <v>5</v>
      </c>
      <c r="H634" s="31" t="s">
        <v>965</v>
      </c>
      <c r="I634" s="10" t="s">
        <v>981</v>
      </c>
    </row>
    <row r="635" spans="1:9" ht="23" customHeight="1" x14ac:dyDescent="0.15">
      <c r="A635" s="4" t="s">
        <v>28</v>
      </c>
      <c r="B635" s="6" t="s">
        <v>449</v>
      </c>
      <c r="C635" s="13" t="str">
        <f>SUBSTITUTE(REPLACE(REPLACE(B635,1,IFERROR(FIND("//",B635,1)+1,0),"")&amp;"/",FIND("/",REPLACE(B635,1,IFERROR(FIND("//",B635,1)+1,0),"")&amp;"/",1),LEN(B635),""),"www.","",1)</f>
        <v>streit-einrichtungswelten.de</v>
      </c>
      <c r="D635" s="13">
        <f>COUNTIF($C$2:$C$801,C635)</f>
        <v>1</v>
      </c>
      <c r="E635" s="10" t="s">
        <v>450</v>
      </c>
      <c r="F635" s="4" t="s">
        <v>729</v>
      </c>
      <c r="G635" s="31" t="s">
        <v>5</v>
      </c>
      <c r="H635" s="31" t="s">
        <v>965</v>
      </c>
      <c r="I635" s="10" t="s">
        <v>981</v>
      </c>
    </row>
    <row r="636" spans="1:9" ht="23" customHeight="1" x14ac:dyDescent="0.15">
      <c r="A636" s="4" t="s">
        <v>28</v>
      </c>
      <c r="B636" s="6" t="s">
        <v>629</v>
      </c>
      <c r="C636" s="13" t="str">
        <f>SUBSTITUTE(REPLACE(REPLACE(B636,1,IFERROR(FIND("//",B636,1)+1,0),"")&amp;"/",FIND("/",REPLACE(B636,1,IFERROR(FIND("//",B636,1)+1,0),"")&amp;"/",1),LEN(B636),""),"www.","",1)</f>
        <v>stuhl.fanbloomingtastic.com</v>
      </c>
      <c r="D636" s="13">
        <f>COUNTIF($C$2:$C$801,C636)</f>
        <v>1</v>
      </c>
      <c r="E636" s="10" t="s">
        <v>630</v>
      </c>
      <c r="F636" s="4" t="s">
        <v>730</v>
      </c>
      <c r="G636" s="31" t="s">
        <v>5</v>
      </c>
      <c r="H636" s="31" t="s">
        <v>965</v>
      </c>
      <c r="I636" s="10" t="s">
        <v>981</v>
      </c>
    </row>
    <row r="637" spans="1:9" ht="23" customHeight="1" x14ac:dyDescent="0.15">
      <c r="A637" s="4" t="s">
        <v>28</v>
      </c>
      <c r="B637" s="6" t="s">
        <v>748</v>
      </c>
      <c r="C637" s="13" t="str">
        <f>SUBSTITUTE(REPLACE(REPLACE(B637,1,IFERROR(FIND("//",B637,1)+1,0),"")&amp;"/",FIND("/",REPLACE(B637,1,IFERROR(FIND("//",B637,1)+1,0),"")&amp;"/",1),LEN(B637),""),"www.","",1)</f>
        <v>sturm-eningen.de</v>
      </c>
      <c r="D637" s="13">
        <f>COUNTIF($C$2:$C$801,C637)</f>
        <v>1</v>
      </c>
      <c r="E637" s="10"/>
      <c r="F637" s="4" t="s">
        <v>729</v>
      </c>
      <c r="G637" s="31" t="s">
        <v>4</v>
      </c>
      <c r="H637" s="31" t="s">
        <v>965</v>
      </c>
      <c r="I637" s="10" t="s">
        <v>977</v>
      </c>
    </row>
    <row r="638" spans="1:9" ht="23" customHeight="1" x14ac:dyDescent="0.15">
      <c r="A638" s="4" t="s">
        <v>28</v>
      </c>
      <c r="B638" s="6" t="s">
        <v>451</v>
      </c>
      <c r="C638" s="13" t="str">
        <f>SUBSTITUTE(REPLACE(REPLACE(B638,1,IFERROR(FIND("//",B638,1)+1,0),"")&amp;"/",FIND("/",REPLACE(B638,1,IFERROR(FIND("//",B638,1)+1,0),"")&amp;"/",1),LEN(B638),""),"www.","",1)</f>
        <v>suara-muhammadiyah.com</v>
      </c>
      <c r="D638" s="13">
        <f>COUNTIF($C$2:$C$801,C638)</f>
        <v>1</v>
      </c>
      <c r="E638" s="10"/>
      <c r="F638" s="4"/>
      <c r="G638" s="31" t="s">
        <v>5</v>
      </c>
      <c r="H638" s="31" t="s">
        <v>965</v>
      </c>
      <c r="I638" s="10" t="s">
        <v>981</v>
      </c>
    </row>
    <row r="639" spans="1:9" ht="23" customHeight="1" x14ac:dyDescent="0.15">
      <c r="A639" s="4" t="s">
        <v>28</v>
      </c>
      <c r="B639" s="6" t="s">
        <v>175</v>
      </c>
      <c r="C639" s="13" t="str">
        <f>SUBSTITUTE(REPLACE(REPLACE(B639,1,IFERROR(FIND("//",B639,1)+1,0),"")&amp;"/",FIND("/",REPLACE(B639,1,IFERROR(FIND("//",B639,1)+1,0),"")&amp;"/",1),LEN(B639),""),"www.","",1)</f>
        <v>suche-branchen.de</v>
      </c>
      <c r="D639" s="13">
        <f>COUNTIF($C$2:$C$801,C639)</f>
        <v>1</v>
      </c>
      <c r="E639" s="10" t="s">
        <v>713</v>
      </c>
      <c r="F639" s="4" t="s">
        <v>25</v>
      </c>
      <c r="G639" s="31" t="s">
        <v>5</v>
      </c>
      <c r="H639" s="31" t="s">
        <v>965</v>
      </c>
      <c r="I639" s="10" t="s">
        <v>981</v>
      </c>
    </row>
    <row r="640" spans="1:9" ht="23" customHeight="1" x14ac:dyDescent="0.15">
      <c r="A640" s="4" t="s">
        <v>28</v>
      </c>
      <c r="B640" s="6" t="s">
        <v>205</v>
      </c>
      <c r="C640" s="13" t="str">
        <f>SUBSTITUTE(REPLACE(REPLACE(B640,1,IFERROR(FIND("//",B640,1)+1,0),"")&amp;"/",FIND("/",REPLACE(B640,1,IFERROR(FIND("//",B640,1)+1,0),"")&amp;"/",1),LEN(B640),""),"www.","",1)</f>
        <v>suche.t-online.de</v>
      </c>
      <c r="D640" s="13">
        <f>COUNTIF($C$2:$C$801,C640)</f>
        <v>1</v>
      </c>
      <c r="E640" s="10" t="s">
        <v>720</v>
      </c>
      <c r="F640" s="4" t="s">
        <v>25</v>
      </c>
      <c r="G640" s="31" t="s">
        <v>5</v>
      </c>
      <c r="H640" s="31" t="s">
        <v>965</v>
      </c>
      <c r="I640" s="10" t="s">
        <v>981</v>
      </c>
    </row>
    <row r="641" spans="1:9" ht="23" customHeight="1" x14ac:dyDescent="0.15">
      <c r="A641" s="4" t="s">
        <v>28</v>
      </c>
      <c r="B641" s="6" t="s">
        <v>253</v>
      </c>
      <c r="C641" s="13" t="str">
        <f>SUBSTITUTE(REPLACE(REPLACE(B641,1,IFERROR(FIND("//",B641,1)+1,0),"")&amp;"/",FIND("/",REPLACE(B641,1,IFERROR(FIND("//",B641,1)+1,0),"")&amp;"/",1),LEN(B641),""),"www.","",1)</f>
        <v>suchnase.de</v>
      </c>
      <c r="D641" s="13">
        <f>COUNTIF($C$2:$C$801,C641)</f>
        <v>1</v>
      </c>
      <c r="E641" s="10" t="s">
        <v>254</v>
      </c>
      <c r="F641" s="4" t="s">
        <v>25</v>
      </c>
      <c r="G641" s="31" t="s">
        <v>5</v>
      </c>
      <c r="H641" s="31" t="s">
        <v>975</v>
      </c>
      <c r="I641" s="10" t="s">
        <v>981</v>
      </c>
    </row>
    <row r="642" spans="1:9" ht="23" customHeight="1" x14ac:dyDescent="0.15">
      <c r="A642" s="4" t="s">
        <v>28</v>
      </c>
      <c r="B642" s="6" t="s">
        <v>452</v>
      </c>
      <c r="C642" s="13" t="str">
        <f>SUBSTITUTE(REPLACE(REPLACE(B642,1,IFERROR(FIND("//",B642,1)+1,0),"")&amp;"/",FIND("/",REPLACE(B642,1,IFERROR(FIND("//",B642,1)+1,0),"")&amp;"/",1),LEN(B642),""),"www.","",1)</f>
        <v>sueltrop-bueromoebel.de</v>
      </c>
      <c r="D642" s="13">
        <f>COUNTIF($C$2:$C$801,C642)</f>
        <v>1</v>
      </c>
      <c r="E642" s="10"/>
      <c r="F642" s="4" t="s">
        <v>729</v>
      </c>
      <c r="G642" s="31" t="s">
        <v>4</v>
      </c>
      <c r="H642" s="31" t="s">
        <v>965</v>
      </c>
      <c r="I642" s="10" t="s">
        <v>977</v>
      </c>
    </row>
    <row r="643" spans="1:9" ht="23" customHeight="1" x14ac:dyDescent="0.15">
      <c r="A643" s="4" t="s">
        <v>28</v>
      </c>
      <c r="B643" s="6" t="s">
        <v>797</v>
      </c>
      <c r="C643" s="13" t="str">
        <f>SUBSTITUTE(REPLACE(REPLACE(B643,1,IFERROR(FIND("//",B643,1)+1,0),"")&amp;"/",FIND("/",REPLACE(B643,1,IFERROR(FIND("//",B643,1)+1,0),"")&amp;"/",1),LEN(B643),""),"www.","",1)</f>
        <v>sueltrop.com</v>
      </c>
      <c r="D643" s="13">
        <f>COUNTIF($C$2:$C$801,C643)</f>
        <v>1</v>
      </c>
      <c r="E643" s="10"/>
      <c r="F643" s="4" t="s">
        <v>729</v>
      </c>
      <c r="G643" s="31" t="s">
        <v>4</v>
      </c>
      <c r="H643" s="31" t="s">
        <v>965</v>
      </c>
      <c r="I643" s="10" t="s">
        <v>977</v>
      </c>
    </row>
    <row r="644" spans="1:9" ht="23" customHeight="1" x14ac:dyDescent="0.15">
      <c r="A644" s="4" t="s">
        <v>28</v>
      </c>
      <c r="B644" s="6" t="s">
        <v>508</v>
      </c>
      <c r="C644" s="13" t="str">
        <f>SUBSTITUTE(REPLACE(REPLACE(B644,1,IFERROR(FIND("//",B644,1)+1,0),"")&amp;"/",FIND("/",REPLACE(B644,1,IFERROR(FIND("//",B644,1)+1,0),"")&amp;"/",1),LEN(B644),""),"www.","",1)</f>
        <v>sueltrop.net</v>
      </c>
      <c r="D644" s="13">
        <f>COUNTIF($C$2:$C$801,C644)</f>
        <v>1</v>
      </c>
      <c r="E644" s="10" t="s">
        <v>27</v>
      </c>
      <c r="F644" s="4" t="s">
        <v>729</v>
      </c>
      <c r="G644" s="31" t="s">
        <v>4</v>
      </c>
      <c r="H644" s="31" t="s">
        <v>965</v>
      </c>
      <c r="I644" s="10" t="s">
        <v>977</v>
      </c>
    </row>
    <row r="645" spans="1:9" ht="23" customHeight="1" x14ac:dyDescent="0.15">
      <c r="A645" s="4" t="s">
        <v>28</v>
      </c>
      <c r="B645" s="6" t="s">
        <v>815</v>
      </c>
      <c r="C645" s="13" t="str">
        <f>SUBSTITUTE(REPLACE(REPLACE(B645,1,IFERROR(FIND("//",B645,1)+1,0),"")&amp;"/",FIND("/",REPLACE(B645,1,IFERROR(FIND("//",B645,1)+1,0),"")&amp;"/",1),LEN(B645),""),"www.","",1)</f>
        <v>sundermann-buerokonzepte.de</v>
      </c>
      <c r="D645" s="13">
        <f>COUNTIF($C$2:$C$801,C645)</f>
        <v>1</v>
      </c>
      <c r="E645" s="10" t="s">
        <v>241</v>
      </c>
      <c r="F645" s="4" t="s">
        <v>729</v>
      </c>
      <c r="G645" s="31" t="s">
        <v>4</v>
      </c>
      <c r="H645" s="31" t="s">
        <v>965</v>
      </c>
      <c r="I645" s="10" t="s">
        <v>977</v>
      </c>
    </row>
    <row r="646" spans="1:9" ht="23" customHeight="1" x14ac:dyDescent="0.15">
      <c r="A646" s="4" t="s">
        <v>28</v>
      </c>
      <c r="B646" s="6" t="s">
        <v>1002</v>
      </c>
      <c r="C646" s="13" t="str">
        <f>SUBSTITUTE(REPLACE(REPLACE(B646,1,IFERROR(FIND("//",B646,1)+1,0),"")&amp;"/",FIND("/",REPLACE(B646,1,IFERROR(FIND("//",B646,1)+1,0),"")&amp;"/",1),LEN(B646),""),"www.","",1)</f>
        <v>sundw.de</v>
      </c>
      <c r="D646" s="13">
        <f>COUNTIF($C$2:$C$801,C646)</f>
        <v>1</v>
      </c>
      <c r="E646" s="10" t="s">
        <v>1074</v>
      </c>
      <c r="F646" s="14" t="s">
        <v>729</v>
      </c>
      <c r="G646" s="32" t="s">
        <v>4</v>
      </c>
      <c r="H646" s="31" t="s">
        <v>1084</v>
      </c>
      <c r="I646" s="10"/>
    </row>
    <row r="647" spans="1:9" ht="23" customHeight="1" x14ac:dyDescent="0.15">
      <c r="A647" s="4" t="s">
        <v>28</v>
      </c>
      <c r="B647" s="6" t="s">
        <v>862</v>
      </c>
      <c r="C647" s="13" t="str">
        <f>SUBSTITUTE(REPLACE(REPLACE(B647,1,IFERROR(FIND("//",B647,1)+1,0),"")&amp;"/",FIND("/",REPLACE(B647,1,IFERROR(FIND("//",B647,1)+1,0),"")&amp;"/",1),LEN(B647),""),"www.","",1)</f>
        <v>surrey-office-furniture.co.uk</v>
      </c>
      <c r="D647" s="13">
        <f>COUNTIF($C$2:$C$801,C647)</f>
        <v>1</v>
      </c>
      <c r="E647" s="10" t="s">
        <v>491</v>
      </c>
      <c r="F647" s="4" t="s">
        <v>730</v>
      </c>
      <c r="G647" s="31" t="s">
        <v>5</v>
      </c>
      <c r="H647" s="31" t="s">
        <v>965</v>
      </c>
      <c r="I647" s="10" t="s">
        <v>981</v>
      </c>
    </row>
    <row r="648" spans="1:9" ht="23" customHeight="1" x14ac:dyDescent="0.15">
      <c r="A648" s="4" t="s">
        <v>28</v>
      </c>
      <c r="B648" s="6" t="s">
        <v>509</v>
      </c>
      <c r="C648" s="13" t="str">
        <f>SUBSTITUTE(REPLACE(REPLACE(B648,1,IFERROR(FIND("//",B648,1)+1,0),"")&amp;"/",FIND("/",REPLACE(B648,1,IFERROR(FIND("//",B648,1)+1,0),"")&amp;"/",1),LEN(B648),""),"www.","",1)</f>
        <v>svenanwarbibi.com</v>
      </c>
      <c r="D648" s="13">
        <f>COUNTIF($C$2:$C$801,C648)</f>
        <v>1</v>
      </c>
      <c r="E648" s="10" t="s">
        <v>453</v>
      </c>
      <c r="F648" s="4" t="s">
        <v>729</v>
      </c>
      <c r="G648" s="31" t="s">
        <v>4</v>
      </c>
      <c r="H648" s="31" t="s">
        <v>965</v>
      </c>
      <c r="I648" s="10" t="s">
        <v>977</v>
      </c>
    </row>
    <row r="649" spans="1:9" ht="23" customHeight="1" x14ac:dyDescent="0.15">
      <c r="A649" s="4" t="s">
        <v>28</v>
      </c>
      <c r="B649" s="6" t="s">
        <v>608</v>
      </c>
      <c r="C649" s="13" t="str">
        <f>SUBSTITUTE(REPLACE(REPLACE(B649,1,IFERROR(FIND("//",B649,1)+1,0),"")&amp;"/",FIND("/",REPLACE(B649,1,IFERROR(FIND("//",B649,1)+1,0),"")&amp;"/",1),LEN(B649),""),"www.","",1)</f>
        <v>tageszeitung-24.de</v>
      </c>
      <c r="D649" s="13">
        <f>COUNTIF($C$2:$C$801,C649)</f>
        <v>1</v>
      </c>
      <c r="E649" s="10" t="s">
        <v>246</v>
      </c>
      <c r="F649" s="4" t="s">
        <v>25</v>
      </c>
      <c r="G649" s="31" t="s">
        <v>4</v>
      </c>
      <c r="H649" s="31" t="s">
        <v>965</v>
      </c>
      <c r="I649" s="10" t="s">
        <v>977</v>
      </c>
    </row>
    <row r="650" spans="1:9" ht="23" customHeight="1" x14ac:dyDescent="0.15">
      <c r="A650" s="4" t="s">
        <v>28</v>
      </c>
      <c r="B650" s="6" t="s">
        <v>219</v>
      </c>
      <c r="C650" s="13" t="str">
        <f>SUBSTITUTE(REPLACE(REPLACE(B650,1,IFERROR(FIND("//",B650,1)+1,0),"")&amp;"/",FIND("/",REPLACE(B650,1,IFERROR(FIND("//",B650,1)+1,0),"")&amp;"/",1),LEN(B650),""),"www.","",1)</f>
        <v>takeoffice.de</v>
      </c>
      <c r="D650" s="13">
        <f>COUNTIF($C$2:$C$801,C650)</f>
        <v>1</v>
      </c>
      <c r="E650" s="10" t="s">
        <v>28</v>
      </c>
      <c r="F650" s="4" t="s">
        <v>729</v>
      </c>
      <c r="G650" s="31" t="s">
        <v>5</v>
      </c>
      <c r="H650" s="31" t="s">
        <v>965</v>
      </c>
      <c r="I650" s="10" t="s">
        <v>981</v>
      </c>
    </row>
    <row r="651" spans="1:9" ht="23" customHeight="1" x14ac:dyDescent="0.15">
      <c r="A651" s="4" t="s">
        <v>28</v>
      </c>
      <c r="B651" s="6" t="s">
        <v>870</v>
      </c>
      <c r="C651" s="13" t="str">
        <f>SUBSTITUTE(REPLACE(REPLACE(B651,1,IFERROR(FIND("//",B651,1)+1,0),"")&amp;"/",FIND("/",REPLACE(B651,1,IFERROR(FIND("//",B651,1)+1,0),"")&amp;"/",1),LEN(B651),""),"www.","",1)</f>
        <v>tarantovecchia.org</v>
      </c>
      <c r="D651" s="13">
        <f>COUNTIF($C$2:$C$801,C651)</f>
        <v>1</v>
      </c>
      <c r="E651" s="10" t="s">
        <v>923</v>
      </c>
      <c r="F651" s="4" t="s">
        <v>730</v>
      </c>
      <c r="G651" s="31" t="s">
        <v>6</v>
      </c>
      <c r="H651" s="31" t="s">
        <v>967</v>
      </c>
      <c r="I651" s="10" t="s">
        <v>979</v>
      </c>
    </row>
    <row r="652" spans="1:9" ht="23" customHeight="1" x14ac:dyDescent="0.15">
      <c r="A652" s="4" t="s">
        <v>28</v>
      </c>
      <c r="B652" s="6" t="s">
        <v>161</v>
      </c>
      <c r="C652" s="13" t="str">
        <f>SUBSTITUTE(REPLACE(REPLACE(B652,1,IFERROR(FIND("//",B652,1)+1,0),"")&amp;"/",FIND("/",REPLACE(B652,1,IFERROR(FIND("//",B652,1)+1,0),"")&amp;"/",1),LEN(B652),""),"www.","",1)</f>
        <v>tbs-bueroservice.de</v>
      </c>
      <c r="D652" s="13">
        <f>COUNTIF($C$2:$C$801,C652)</f>
        <v>1</v>
      </c>
      <c r="E652" s="10" t="s">
        <v>692</v>
      </c>
      <c r="F652" s="4"/>
      <c r="G652" s="31" t="s">
        <v>5</v>
      </c>
      <c r="H652" s="31" t="s">
        <v>965</v>
      </c>
      <c r="I652" s="10" t="s">
        <v>981</v>
      </c>
    </row>
    <row r="653" spans="1:9" ht="23" customHeight="1" x14ac:dyDescent="0.15">
      <c r="A653" s="4" t="s">
        <v>28</v>
      </c>
      <c r="B653" s="6" t="s">
        <v>288</v>
      </c>
      <c r="C653" s="13" t="str">
        <f>SUBSTITUTE(REPLACE(REPLACE(B653,1,IFERROR(FIND("//",B653,1)+1,0),"")&amp;"/",FIND("/",REPLACE(B653,1,IFERROR(FIND("//",B653,1)+1,0),"")&amp;"/",1),LEN(B653),""),"www.","",1)</f>
        <v>teamotion.de</v>
      </c>
      <c r="D653" s="13">
        <f>COUNTIF($C$2:$C$801,C653)</f>
        <v>1</v>
      </c>
      <c r="E653" s="10" t="s">
        <v>568</v>
      </c>
      <c r="F653" s="4" t="s">
        <v>739</v>
      </c>
      <c r="G653" s="31" t="s">
        <v>4</v>
      </c>
      <c r="H653" s="31" t="s">
        <v>965</v>
      </c>
      <c r="I653" s="10" t="s">
        <v>977</v>
      </c>
    </row>
    <row r="654" spans="1:9" ht="23" customHeight="1" x14ac:dyDescent="0.15">
      <c r="A654" s="4" t="s">
        <v>28</v>
      </c>
      <c r="B654" s="6" t="s">
        <v>560</v>
      </c>
      <c r="C654" s="13" t="str">
        <f>SUBSTITUTE(REPLACE(REPLACE(B654,1,IFERROR(FIND("//",B654,1)+1,0),"")&amp;"/",FIND("/",REPLACE(B654,1,IFERROR(FIND("//",B654,1)+1,0),"")&amp;"/",1),LEN(B654),""),"www.","",1)</f>
        <v>tektorum.de</v>
      </c>
      <c r="D654" s="13">
        <f>COUNTIF($C$2:$C$801,C654)</f>
        <v>1</v>
      </c>
      <c r="E654" s="10" t="s">
        <v>275</v>
      </c>
      <c r="F654" s="4" t="s">
        <v>13</v>
      </c>
      <c r="G654" s="31" t="s">
        <v>4</v>
      </c>
      <c r="H654" s="31" t="s">
        <v>965</v>
      </c>
      <c r="I654" s="10" t="s">
        <v>977</v>
      </c>
    </row>
    <row r="655" spans="1:9" ht="23" customHeight="1" x14ac:dyDescent="0.15">
      <c r="A655" s="4" t="s">
        <v>28</v>
      </c>
      <c r="B655" s="6" t="s">
        <v>829</v>
      </c>
      <c r="C655" s="13" t="str">
        <f>SUBSTITUTE(REPLACE(REPLACE(B655,1,IFERROR(FIND("//",B655,1)+1,0),"")&amp;"/",FIND("/",REPLACE(B655,1,IFERROR(FIND("//",B655,1)+1,0),"")&amp;"/",1),LEN(B655),""),"www.","",1)</f>
        <v>teresaduckfineart.com</v>
      </c>
      <c r="D655" s="13">
        <f>COUNTIF($C$2:$C$801,C655)</f>
        <v>1</v>
      </c>
      <c r="E655" s="10" t="s">
        <v>923</v>
      </c>
      <c r="F655" s="4" t="s">
        <v>730</v>
      </c>
      <c r="G655" s="31" t="s">
        <v>6</v>
      </c>
      <c r="H655" s="31" t="s">
        <v>967</v>
      </c>
      <c r="I655" s="10" t="s">
        <v>979</v>
      </c>
    </row>
    <row r="656" spans="1:9" ht="23" customHeight="1" x14ac:dyDescent="0.15">
      <c r="A656" s="4" t="s">
        <v>28</v>
      </c>
      <c r="B656" s="6" t="s">
        <v>798</v>
      </c>
      <c r="C656" s="13" t="str">
        <f>SUBSTITUTE(REPLACE(REPLACE(B656,1,IFERROR(FIND("//",B656,1)+1,0),"")&amp;"/",FIND("/",REPLACE(B656,1,IFERROR(FIND("//",B656,1)+1,0),"")&amp;"/",1),LEN(B656),""),"www.","",1)</f>
        <v>tg-contor.de</v>
      </c>
      <c r="D656" s="13">
        <f>COUNTIF($C$2:$C$801,C656)</f>
        <v>1</v>
      </c>
      <c r="E656" s="10" t="s">
        <v>241</v>
      </c>
      <c r="F656" s="4" t="s">
        <v>729</v>
      </c>
      <c r="G656" s="31" t="s">
        <v>4</v>
      </c>
      <c r="H656" s="31" t="s">
        <v>965</v>
      </c>
      <c r="I656" s="10" t="s">
        <v>977</v>
      </c>
    </row>
    <row r="657" spans="1:9" ht="23" customHeight="1" x14ac:dyDescent="0.15">
      <c r="A657" s="4" t="s">
        <v>28</v>
      </c>
      <c r="B657" s="6" t="s">
        <v>779</v>
      </c>
      <c r="C657" s="13" t="str">
        <f>SUBSTITUTE(REPLACE(REPLACE(B657,1,IFERROR(FIND("//",B657,1)+1,0),"")&amp;"/",FIND("/",REPLACE(B657,1,IFERROR(FIND("//",B657,1)+1,0),"")&amp;"/",1),LEN(B657),""),"www.","",1)</f>
        <v>the-coconutoil.blogspot.com</v>
      </c>
      <c r="D657" s="13">
        <f>COUNTIF($C$2:$C$801,C657)</f>
        <v>1</v>
      </c>
      <c r="E657" s="10"/>
      <c r="F657" s="4" t="s">
        <v>730</v>
      </c>
      <c r="G657" s="31" t="s">
        <v>6</v>
      </c>
      <c r="H657" s="31" t="s">
        <v>970</v>
      </c>
      <c r="I657" s="10" t="s">
        <v>979</v>
      </c>
    </row>
    <row r="658" spans="1:9" ht="23" customHeight="1" x14ac:dyDescent="0.15">
      <c r="A658" s="4" t="s">
        <v>28</v>
      </c>
      <c r="B658" s="6" t="s">
        <v>1021</v>
      </c>
      <c r="C658" s="13" t="str">
        <f>SUBSTITUTE(REPLACE(REPLACE(B658,1,IFERROR(FIND("//",B658,1)+1,0),"")&amp;"/",FIND("/",REPLACE(B658,1,IFERROR(FIND("//",B658,1)+1,0),"")&amp;"/",1),LEN(B658),""),"www.","",1)</f>
        <v>thebestplaces.de</v>
      </c>
      <c r="D658" s="13">
        <f>COUNTIF($C$2:$C$801,C658)</f>
        <v>1</v>
      </c>
      <c r="E658" s="10" t="s">
        <v>237</v>
      </c>
      <c r="F658" s="4" t="s">
        <v>25</v>
      </c>
      <c r="G658" s="31" t="s">
        <v>4</v>
      </c>
      <c r="H658" s="31" t="s">
        <v>1084</v>
      </c>
      <c r="I658" s="10"/>
    </row>
    <row r="659" spans="1:9" ht="23" customHeight="1" x14ac:dyDescent="0.15">
      <c r="A659" s="4" t="s">
        <v>28</v>
      </c>
      <c r="B659" s="6" t="s">
        <v>854</v>
      </c>
      <c r="C659" s="13" t="str">
        <f>SUBSTITUTE(REPLACE(REPLACE(B659,1,IFERROR(FIND("//",B659,1)+1,0),"")&amp;"/",FIND("/",REPLACE(B659,1,IFERROR(FIND("//",B659,1)+1,0),"")&amp;"/",1),LEN(B659),""),"www.","",1)</f>
        <v>theblowingrockgrille.com</v>
      </c>
      <c r="D659" s="13">
        <f>COUNTIF($C$2:$C$801,C659)</f>
        <v>1</v>
      </c>
      <c r="E659" s="10" t="s">
        <v>237</v>
      </c>
      <c r="F659" s="4" t="s">
        <v>13</v>
      </c>
      <c r="G659" s="31" t="s">
        <v>5</v>
      </c>
      <c r="H659" s="31" t="s">
        <v>965</v>
      </c>
      <c r="I659" s="10" t="s">
        <v>981</v>
      </c>
    </row>
    <row r="660" spans="1:9" ht="23" customHeight="1" x14ac:dyDescent="0.15">
      <c r="A660" s="4" t="s">
        <v>28</v>
      </c>
      <c r="B660" s="6" t="s">
        <v>1003</v>
      </c>
      <c r="C660" s="35" t="str">
        <f>SUBSTITUTE(REPLACE(REPLACE(B660,1,IFERROR(FIND("//",B660,1)+1,0),"")&amp;"/",FIND("/",REPLACE(B660,1,IFERROR(FIND("//",B660,1)+1,0),"")&amp;"/",1),LEN(B660),""),"www.","",1)</f>
        <v>thoxan.com</v>
      </c>
      <c r="D660" s="13">
        <f>COUNTIF($C$2:$C$801,C660)</f>
        <v>1</v>
      </c>
      <c r="E660" s="10" t="s">
        <v>1068</v>
      </c>
      <c r="F660" s="4" t="s">
        <v>739</v>
      </c>
      <c r="G660" s="31" t="s">
        <v>4</v>
      </c>
      <c r="H660" s="31" t="s">
        <v>1084</v>
      </c>
      <c r="I660" s="10"/>
    </row>
    <row r="661" spans="1:9" ht="23" customHeight="1" x14ac:dyDescent="0.15">
      <c r="A661" s="4" t="s">
        <v>28</v>
      </c>
      <c r="B661" s="6" t="s">
        <v>510</v>
      </c>
      <c r="C661" s="13" t="str">
        <f>SUBSTITUTE(REPLACE(REPLACE(B661,1,IFERROR(FIND("//",B661,1)+1,0),"")&amp;"/",FIND("/",REPLACE(B661,1,IFERROR(FIND("//",B661,1)+1,0),"")&amp;"/",1),LEN(B661),""),"www.","",1)</f>
        <v>threesistersfolkartschool.com</v>
      </c>
      <c r="D661" s="13">
        <f>COUNTIF($C$2:$C$801,C661)</f>
        <v>1</v>
      </c>
      <c r="E661" s="10" t="s">
        <v>454</v>
      </c>
      <c r="F661" s="4" t="s">
        <v>730</v>
      </c>
      <c r="G661" s="31" t="s">
        <v>5</v>
      </c>
      <c r="H661" s="31" t="s">
        <v>965</v>
      </c>
      <c r="I661" s="10" t="s">
        <v>981</v>
      </c>
    </row>
    <row r="662" spans="1:9" ht="23" customHeight="1" x14ac:dyDescent="0.15">
      <c r="A662" s="4" t="s">
        <v>28</v>
      </c>
      <c r="B662" s="6" t="s">
        <v>1040</v>
      </c>
      <c r="C662" s="13" t="str">
        <f>SUBSTITUTE(REPLACE(REPLACE(B662,1,IFERROR(FIND("//",B662,1)+1,0),"")&amp;"/",FIND("/",REPLACE(B662,1,IFERROR(FIND("//",B662,1)+1,0),"")&amp;"/",1),LEN(B662),""),"www.","",1)</f>
        <v>tina-kalas880.firebaseapp.com</v>
      </c>
      <c r="D662" s="13">
        <f>COUNTIF($C$2:$C$801,C662)</f>
        <v>1</v>
      </c>
      <c r="E662" s="10" t="s">
        <v>922</v>
      </c>
      <c r="F662" s="4" t="s">
        <v>730</v>
      </c>
      <c r="G662" s="31" t="s">
        <v>6</v>
      </c>
      <c r="H662" s="31" t="s">
        <v>1084</v>
      </c>
      <c r="I662" s="10"/>
    </row>
    <row r="663" spans="1:9" ht="23" customHeight="1" x14ac:dyDescent="0.15">
      <c r="A663" s="4" t="s">
        <v>28</v>
      </c>
      <c r="B663" s="6" t="s">
        <v>825</v>
      </c>
      <c r="C663" s="13" t="str">
        <f>SUBSTITUTE(REPLACE(REPLACE(B663,1,IFERROR(FIND("//",B663,1)+1,0),"")&amp;"/",FIND("/",REPLACE(B663,1,IFERROR(FIND("//",B663,1)+1,0),"")&amp;"/",1),LEN(B663),""),"www.","",1)</f>
        <v>tina-kalas880.web.app</v>
      </c>
      <c r="D663" s="13">
        <f>COUNTIF($C$2:$C$801,C663)</f>
        <v>1</v>
      </c>
      <c r="E663" s="10" t="s">
        <v>922</v>
      </c>
      <c r="F663" s="4" t="s">
        <v>730</v>
      </c>
      <c r="G663" s="31" t="s">
        <v>6</v>
      </c>
      <c r="H663" s="31" t="s">
        <v>970</v>
      </c>
      <c r="I663" s="16" t="s">
        <v>985</v>
      </c>
    </row>
    <row r="664" spans="1:9" ht="23" customHeight="1" x14ac:dyDescent="0.15">
      <c r="A664" s="4" t="s">
        <v>28</v>
      </c>
      <c r="B664" s="6" t="s">
        <v>455</v>
      </c>
      <c r="C664" s="13" t="str">
        <f>SUBSTITUTE(REPLACE(REPLACE(B664,1,IFERROR(FIND("//",B664,1)+1,0),"")&amp;"/",FIND("/",REPLACE(B664,1,IFERROR(FIND("//",B664,1)+1,0),"")&amp;"/",1),LEN(B664),""),"www.","",1)</f>
        <v>tivnea.gq</v>
      </c>
      <c r="D664" s="13">
        <f>COUNTIF($C$2:$C$801,C664)</f>
        <v>1</v>
      </c>
      <c r="E664" s="10" t="s">
        <v>456</v>
      </c>
      <c r="F664" s="4"/>
      <c r="G664" s="31" t="s">
        <v>5</v>
      </c>
      <c r="H664" s="31" t="s">
        <v>965</v>
      </c>
      <c r="I664" s="10" t="s">
        <v>981</v>
      </c>
    </row>
    <row r="665" spans="1:9" ht="23" customHeight="1" x14ac:dyDescent="0.15">
      <c r="A665" s="4" t="s">
        <v>28</v>
      </c>
      <c r="B665" s="6" t="s">
        <v>951</v>
      </c>
      <c r="C665" s="13" t="str">
        <f>SUBSTITUTE(REPLACE(REPLACE(B665,1,IFERROR(FIND("//",B665,1)+1,0),"")&amp;"/",FIND("/",REPLACE(B665,1,IFERROR(FIND("//",B665,1)+1,0),"")&amp;"/",1),LEN(B665),""),"www.","",1)</f>
        <v>tokaro.com</v>
      </c>
      <c r="D665" s="13">
        <f>COUNTIF($C$2:$C$801,C665)</f>
        <v>1</v>
      </c>
      <c r="E665" s="10" t="s">
        <v>704</v>
      </c>
      <c r="F665" s="4" t="s">
        <v>730</v>
      </c>
      <c r="G665" s="31" t="s">
        <v>5</v>
      </c>
      <c r="H665" s="31" t="s">
        <v>965</v>
      </c>
      <c r="I665" s="10" t="s">
        <v>981</v>
      </c>
    </row>
    <row r="666" spans="1:9" ht="23" customHeight="1" x14ac:dyDescent="0.15">
      <c r="A666" s="4" t="s">
        <v>28</v>
      </c>
      <c r="B666" s="6" t="s">
        <v>122</v>
      </c>
      <c r="C666" s="13" t="str">
        <f>SUBSTITUTE(REPLACE(REPLACE(B666,1,IFERROR(FIND("//",B666,1)+1,0),"")&amp;"/",FIND("/",REPLACE(B666,1,IFERROR(FIND("//",B666,1)+1,0),"")&amp;"/",1),LEN(B666),""),"www.","",1)</f>
        <v>tokaro.de</v>
      </c>
      <c r="D666" s="13">
        <f>COUNTIF($C$2:$C$801,C666)</f>
        <v>1</v>
      </c>
      <c r="E666" s="10" t="s">
        <v>704</v>
      </c>
      <c r="F666" s="4"/>
      <c r="G666" s="31" t="s">
        <v>5</v>
      </c>
      <c r="H666" s="31" t="s">
        <v>965</v>
      </c>
      <c r="I666" s="10" t="s">
        <v>981</v>
      </c>
    </row>
    <row r="667" spans="1:9" ht="23" customHeight="1" x14ac:dyDescent="0.15">
      <c r="A667" s="4" t="s">
        <v>28</v>
      </c>
      <c r="B667" s="6" t="s">
        <v>31</v>
      </c>
      <c r="C667" s="13" t="str">
        <f>SUBSTITUTE(REPLACE(REPLACE(B667,1,IFERROR(FIND("//",B667,1)+1,0),"")&amp;"/",FIND("/",REPLACE(B667,1,IFERROR(FIND("//",B667,1)+1,0),"")&amp;"/",1),LEN(B667),""),"www.","",1)</f>
        <v>ton-objekt.de</v>
      </c>
      <c r="D667" s="13">
        <f>COUNTIF($C$2:$C$801,C667)</f>
        <v>1</v>
      </c>
      <c r="E667" s="10" t="s">
        <v>28</v>
      </c>
      <c r="F667" s="4" t="s">
        <v>729</v>
      </c>
      <c r="G667" s="31" t="s">
        <v>4</v>
      </c>
      <c r="H667" s="31" t="s">
        <v>965</v>
      </c>
      <c r="I667" s="10" t="s">
        <v>977</v>
      </c>
    </row>
    <row r="668" spans="1:9" ht="23" customHeight="1" x14ac:dyDescent="0.15">
      <c r="A668" s="4" t="s">
        <v>28</v>
      </c>
      <c r="B668" s="6" t="s">
        <v>511</v>
      </c>
      <c r="C668" s="13" t="str">
        <f>SUBSTITUTE(REPLACE(REPLACE(B668,1,IFERROR(FIND("//",B668,1)+1,0),"")&amp;"/",FIND("/",REPLACE(B668,1,IFERROR(FIND("//",B668,1)+1,0),"")&amp;"/",1),LEN(B668),""),"www.","",1)</f>
        <v>top-office-vertrieb.de</v>
      </c>
      <c r="D668" s="13">
        <f>COUNTIF($C$2:$C$801,C668)</f>
        <v>1</v>
      </c>
      <c r="E668" s="10" t="s">
        <v>237</v>
      </c>
      <c r="F668" s="4" t="s">
        <v>729</v>
      </c>
      <c r="G668" s="31" t="s">
        <v>5</v>
      </c>
      <c r="H668" s="31" t="s">
        <v>965</v>
      </c>
      <c r="I668" s="10" t="s">
        <v>981</v>
      </c>
    </row>
    <row r="669" spans="1:9" ht="23" customHeight="1" x14ac:dyDescent="0.15">
      <c r="A669" s="4" t="s">
        <v>28</v>
      </c>
      <c r="B669" s="6" t="s">
        <v>512</v>
      </c>
      <c r="C669" s="13" t="str">
        <f>SUBSTITUTE(REPLACE(REPLACE(B669,1,IFERROR(FIND("//",B669,1)+1,0),"")&amp;"/",FIND("/",REPLACE(B669,1,IFERROR(FIND("//",B669,1)+1,0),"")&amp;"/",1),LEN(B669),""),"www.","",1)</f>
        <v>top-office-vision.com</v>
      </c>
      <c r="D669" s="13">
        <f>COUNTIF($C$2:$C$801,C669)</f>
        <v>1</v>
      </c>
      <c r="E669" s="10" t="s">
        <v>237</v>
      </c>
      <c r="F669" s="4" t="s">
        <v>729</v>
      </c>
      <c r="G669" s="31" t="s">
        <v>5</v>
      </c>
      <c r="H669" s="31" t="s">
        <v>965</v>
      </c>
      <c r="I669" s="10" t="s">
        <v>981</v>
      </c>
    </row>
    <row r="670" spans="1:9" ht="23" customHeight="1" x14ac:dyDescent="0.15">
      <c r="A670" s="4" t="s">
        <v>28</v>
      </c>
      <c r="B670" s="6" t="s">
        <v>513</v>
      </c>
      <c r="C670" s="13" t="str">
        <f>SUBSTITUTE(REPLACE(REPLACE(B670,1,IFERROR(FIND("//",B670,1)+1,0),"")&amp;"/",FIND("/",REPLACE(B670,1,IFERROR(FIND("//",B670,1)+1,0),"")&amp;"/",1),LEN(B670),""),"www.","",1)</f>
        <v>top-office-vision.de</v>
      </c>
      <c r="D670" s="13">
        <f>COUNTIF($C$2:$C$801,C670)</f>
        <v>1</v>
      </c>
      <c r="E670" s="10" t="s">
        <v>237</v>
      </c>
      <c r="F670" s="4" t="s">
        <v>729</v>
      </c>
      <c r="G670" s="31" t="s">
        <v>5</v>
      </c>
      <c r="H670" s="31" t="s">
        <v>965</v>
      </c>
      <c r="I670" s="10" t="s">
        <v>981</v>
      </c>
    </row>
    <row r="671" spans="1:9" ht="23" customHeight="1" x14ac:dyDescent="0.15">
      <c r="A671" s="4" t="s">
        <v>28</v>
      </c>
      <c r="B671" s="6" t="s">
        <v>1012</v>
      </c>
      <c r="C671" s="13" t="str">
        <f>SUBSTITUTE(REPLACE(REPLACE(B671,1,IFERROR(FIND("//",B671,1)+1,0),"")&amp;"/",FIND("/",REPLACE(B671,1,IFERROR(FIND("//",B671,1)+1,0),"")&amp;"/",1),LEN(B671),""),"www.","",1)</f>
        <v>toptohigh.com</v>
      </c>
      <c r="D671" s="13">
        <f>COUNTIF($C$2:$C$801,C671)</f>
        <v>1</v>
      </c>
      <c r="E671" s="10" t="s">
        <v>926</v>
      </c>
      <c r="F671" s="4" t="s">
        <v>730</v>
      </c>
      <c r="G671" s="31" t="s">
        <v>6</v>
      </c>
      <c r="H671" s="31" t="s">
        <v>1084</v>
      </c>
      <c r="I671" s="10"/>
    </row>
    <row r="672" spans="1:9" ht="23" customHeight="1" x14ac:dyDescent="0.15">
      <c r="A672" s="4" t="s">
        <v>28</v>
      </c>
      <c r="B672" s="6" t="s">
        <v>514</v>
      </c>
      <c r="C672" s="13" t="str">
        <f>SUBSTITUTE(REPLACE(REPLACE(B672,1,IFERROR(FIND("//",B672,1)+1,0),"")&amp;"/",FIND("/",REPLACE(B672,1,IFERROR(FIND("//",B672,1)+1,0),"")&amp;"/",1),LEN(B672),""),"www.","",1)</f>
        <v>tov.de</v>
      </c>
      <c r="D672" s="13">
        <f>COUNTIF($C$2:$C$801,C672)</f>
        <v>1</v>
      </c>
      <c r="E672" s="10" t="s">
        <v>237</v>
      </c>
      <c r="F672" s="4" t="s">
        <v>729</v>
      </c>
      <c r="G672" s="31" t="s">
        <v>5</v>
      </c>
      <c r="H672" s="31" t="s">
        <v>965</v>
      </c>
      <c r="I672" s="10" t="s">
        <v>981</v>
      </c>
    </row>
    <row r="673" spans="1:9" ht="23" customHeight="1" x14ac:dyDescent="0.15">
      <c r="A673" s="4" t="s">
        <v>28</v>
      </c>
      <c r="B673" s="6" t="s">
        <v>270</v>
      </c>
      <c r="C673" s="13" t="str">
        <f>SUBSTITUTE(REPLACE(REPLACE(B673,1,IFERROR(FIND("//",B673,1)+1,0),"")&amp;"/",FIND("/",REPLACE(B673,1,IFERROR(FIND("//",B673,1)+1,0),"")&amp;"/",1),LEN(B673),""),"www.","",1)</f>
        <v>transplo.com</v>
      </c>
      <c r="D673" s="13">
        <f>COUNTIF($C$2:$C$801,C673)</f>
        <v>1</v>
      </c>
      <c r="E673" s="10" t="s">
        <v>271</v>
      </c>
      <c r="F673" s="4" t="s">
        <v>25</v>
      </c>
      <c r="G673" s="31" t="s">
        <v>4</v>
      </c>
      <c r="H673" s="31" t="s">
        <v>965</v>
      </c>
      <c r="I673" s="10" t="s">
        <v>977</v>
      </c>
    </row>
    <row r="674" spans="1:9" ht="23" customHeight="1" x14ac:dyDescent="0.15">
      <c r="A674" s="4" t="s">
        <v>28</v>
      </c>
      <c r="B674" s="6" t="s">
        <v>515</v>
      </c>
      <c r="C674" s="13" t="str">
        <f>SUBSTITUTE(REPLACE(REPLACE(B674,1,IFERROR(FIND("//",B674,1)+1,0),"")&amp;"/",FIND("/",REPLACE(B674,1,IFERROR(FIND("//",B674,1)+1,0),"")&amp;"/",1),LEN(B674),""),"www.","",1)</f>
        <v>treff-punkt-gesundheit.de</v>
      </c>
      <c r="D674" s="13">
        <f>COUNTIF($C$2:$C$801,C674)</f>
        <v>1</v>
      </c>
      <c r="E674" s="10" t="s">
        <v>237</v>
      </c>
      <c r="F674" s="4"/>
      <c r="G674" s="31" t="s">
        <v>5</v>
      </c>
      <c r="H674" s="31" t="s">
        <v>965</v>
      </c>
      <c r="I674" s="10" t="s">
        <v>981</v>
      </c>
    </row>
    <row r="675" spans="1:9" ht="23" customHeight="1" x14ac:dyDescent="0.15">
      <c r="A675" s="4" t="s">
        <v>28</v>
      </c>
      <c r="B675" s="6" t="s">
        <v>374</v>
      </c>
      <c r="C675" s="13" t="str">
        <f>SUBSTITUTE(REPLACE(REPLACE(B675,1,IFERROR(FIND("//",B675,1)+1,0),"")&amp;"/",FIND("/",REPLACE(B675,1,IFERROR(FIND("//",B675,1)+1,0),"")&amp;"/",1),LEN(B675),""),"www.","",1)</f>
        <v>trendagentur.de</v>
      </c>
      <c r="D675" s="13">
        <f>COUNTIF($C$2:$C$801,C675)</f>
        <v>1</v>
      </c>
      <c r="E675" s="10" t="s">
        <v>11</v>
      </c>
      <c r="F675" s="4" t="s">
        <v>733</v>
      </c>
      <c r="G675" s="31" t="s">
        <v>4</v>
      </c>
      <c r="H675" s="31" t="s">
        <v>965</v>
      </c>
      <c r="I675" s="10" t="s">
        <v>977</v>
      </c>
    </row>
    <row r="676" spans="1:9" ht="23" customHeight="1" x14ac:dyDescent="0.15">
      <c r="A676" s="4" t="s">
        <v>28</v>
      </c>
      <c r="B676" s="6" t="s">
        <v>102</v>
      </c>
      <c r="C676" s="13" t="str">
        <f>SUBSTITUTE(REPLACE(REPLACE(B676,1,IFERROR(FIND("//",B676,1)+1,0),"")&amp;"/",FIND("/",REPLACE(B676,1,IFERROR(FIND("//",B676,1)+1,0),"")&amp;"/",1),LEN(B676),""),"www.","",1)</f>
        <v>trendkraft.de</v>
      </c>
      <c r="D676" s="13">
        <f>COUNTIF($C$2:$C$801,C676)</f>
        <v>1</v>
      </c>
      <c r="E676" s="10" t="s">
        <v>261</v>
      </c>
      <c r="F676" s="4" t="s">
        <v>731</v>
      </c>
      <c r="G676" s="31" t="s">
        <v>4</v>
      </c>
      <c r="H676" s="31" t="s">
        <v>965</v>
      </c>
      <c r="I676" s="10" t="s">
        <v>977</v>
      </c>
    </row>
    <row r="677" spans="1:9" ht="23" customHeight="1" x14ac:dyDescent="0.15">
      <c r="A677" s="4" t="s">
        <v>28</v>
      </c>
      <c r="B677" s="6" t="s">
        <v>550</v>
      </c>
      <c r="C677" s="13" t="str">
        <f>SUBSTITUTE(REPLACE(REPLACE(B677,1,IFERROR(FIND("//",B677,1)+1,0),"")&amp;"/",FIND("/",REPLACE(B677,1,IFERROR(FIND("//",B677,1)+1,0),"")&amp;"/",1),LEN(B677),""),"www.","",1)</f>
        <v>trendkraft.io</v>
      </c>
      <c r="D677" s="13">
        <f>COUNTIF($C$2:$C$801,C677)</f>
        <v>2</v>
      </c>
      <c r="E677" s="10" t="s">
        <v>261</v>
      </c>
      <c r="F677" s="4" t="s">
        <v>731</v>
      </c>
      <c r="G677" s="31" t="s">
        <v>4</v>
      </c>
      <c r="H677" s="31" t="s">
        <v>965</v>
      </c>
      <c r="I677" s="10" t="s">
        <v>977</v>
      </c>
    </row>
    <row r="678" spans="1:9" ht="23" customHeight="1" x14ac:dyDescent="0.15">
      <c r="A678" s="4" t="s">
        <v>28</v>
      </c>
      <c r="B678" s="6" t="s">
        <v>260</v>
      </c>
      <c r="C678" s="13" t="str">
        <f>SUBSTITUTE(REPLACE(REPLACE(B678,1,IFERROR(FIND("//",B678,1)+1,0),"")&amp;"/",FIND("/",REPLACE(B678,1,IFERROR(FIND("//",B678,1)+1,0),"")&amp;"/",1),LEN(B678),""),"www.","",1)</f>
        <v>trendkraft.io</v>
      </c>
      <c r="D678" s="13">
        <f>COUNTIF($C$2:$C$801,C678)</f>
        <v>2</v>
      </c>
      <c r="E678" s="10" t="s">
        <v>261</v>
      </c>
      <c r="F678" s="4" t="s">
        <v>731</v>
      </c>
      <c r="G678" s="31" t="s">
        <v>4</v>
      </c>
      <c r="H678" s="31" t="s">
        <v>965</v>
      </c>
      <c r="I678" s="10" t="s">
        <v>977</v>
      </c>
    </row>
    <row r="679" spans="1:9" ht="23" customHeight="1" x14ac:dyDescent="0.15">
      <c r="A679" s="4" t="s">
        <v>28</v>
      </c>
      <c r="B679" s="6" t="s">
        <v>292</v>
      </c>
      <c r="C679" s="13" t="str">
        <f>SUBSTITUTE(REPLACE(REPLACE(B679,1,IFERROR(FIND("//",B679,1)+1,0),"")&amp;"/",FIND("/",REPLACE(B679,1,IFERROR(FIND("//",B679,1)+1,0),"")&amp;"/",1),LEN(B679),""),"www.","",1)</f>
        <v>trendwelten.eu</v>
      </c>
      <c r="D679" s="13">
        <f>COUNTIF($C$2:$C$801,C679)</f>
        <v>1</v>
      </c>
      <c r="E679" s="10" t="s">
        <v>293</v>
      </c>
      <c r="F679" s="4" t="s">
        <v>732</v>
      </c>
      <c r="G679" s="31" t="s">
        <v>4</v>
      </c>
      <c r="H679" s="31" t="s">
        <v>965</v>
      </c>
      <c r="I679" s="10" t="s">
        <v>977</v>
      </c>
    </row>
    <row r="680" spans="1:9" ht="23" customHeight="1" x14ac:dyDescent="0.15">
      <c r="A680" s="4" t="s">
        <v>28</v>
      </c>
      <c r="B680" s="6" t="s">
        <v>457</v>
      </c>
      <c r="C680" s="13" t="str">
        <f>SUBSTITUTE(REPLACE(REPLACE(B680,1,IFERROR(FIND("//",B680,1)+1,0),"")&amp;"/",FIND("/",REPLACE(B680,1,IFERROR(FIND("//",B680,1)+1,0),"")&amp;"/",1),LEN(B680),""),"www.","",1)</f>
        <v>tsukijis.com</v>
      </c>
      <c r="D680" s="13">
        <f>COUNTIF($C$2:$C$801,C680)</f>
        <v>1</v>
      </c>
      <c r="E680" s="10" t="s">
        <v>333</v>
      </c>
      <c r="F680" s="4"/>
      <c r="G680" s="31" t="s">
        <v>5</v>
      </c>
      <c r="H680" s="31" t="s">
        <v>965</v>
      </c>
      <c r="I680" s="10" t="s">
        <v>981</v>
      </c>
    </row>
    <row r="681" spans="1:9" ht="23" customHeight="1" x14ac:dyDescent="0.15">
      <c r="A681" s="4" t="s">
        <v>28</v>
      </c>
      <c r="B681" s="6" t="s">
        <v>201</v>
      </c>
      <c r="C681" s="13" t="str">
        <f>SUBSTITUTE(REPLACE(REPLACE(B681,1,IFERROR(FIND("//",B681,1)+1,0),"")&amp;"/",FIND("/",REPLACE(B681,1,IFERROR(FIND("//",B681,1)+1,0),"")&amp;"/",1),LEN(B681),""),"www.","",1)</f>
        <v>ttg-gmbh.de</v>
      </c>
      <c r="D681" s="13">
        <f>COUNTIF($C$2:$C$801,C681)</f>
        <v>1</v>
      </c>
      <c r="E681" s="10" t="s">
        <v>237</v>
      </c>
      <c r="F681" s="4"/>
      <c r="G681" s="31" t="s">
        <v>5</v>
      </c>
      <c r="H681" s="31" t="s">
        <v>965</v>
      </c>
      <c r="I681" s="10" t="s">
        <v>981</v>
      </c>
    </row>
    <row r="682" spans="1:9" ht="23" customHeight="1" x14ac:dyDescent="0.15">
      <c r="A682" s="4" t="s">
        <v>28</v>
      </c>
      <c r="B682" s="6" t="s">
        <v>830</v>
      </c>
      <c r="C682" s="13" t="str">
        <f>SUBSTITUTE(REPLACE(REPLACE(B682,1,IFERROR(FIND("//",B682,1)+1,0),"")&amp;"/",FIND("/",REPLACE(B682,1,IFERROR(FIND("//",B682,1)+1,0),"")&amp;"/",1),LEN(B682),""),"www.","",1)</f>
        <v>tuwendy.blogspot.com</v>
      </c>
      <c r="D682" s="13">
        <f>COUNTIF($C$2:$C$801,C682)</f>
        <v>1</v>
      </c>
      <c r="E682" s="10"/>
      <c r="F682" s="4" t="s">
        <v>730</v>
      </c>
      <c r="G682" s="31" t="s">
        <v>6</v>
      </c>
      <c r="H682" s="31" t="s">
        <v>970</v>
      </c>
      <c r="I682" s="10" t="s">
        <v>979</v>
      </c>
    </row>
    <row r="683" spans="1:9" ht="23" customHeight="1" x14ac:dyDescent="0.15">
      <c r="A683" s="4" t="s">
        <v>28</v>
      </c>
      <c r="B683" s="6" t="s">
        <v>325</v>
      </c>
      <c r="C683" s="13" t="str">
        <f>SUBSTITUTE(REPLACE(REPLACE(B683,1,IFERROR(FIND("//",B683,1)+1,0),"")&amp;"/",FIND("/",REPLACE(B683,1,IFERROR(FIND("//",B683,1)+1,0),"")&amp;"/",1),LEN(B683),""),"www.","",1)</f>
        <v>ubsysteme.de</v>
      </c>
      <c r="D683" s="13">
        <f>COUNTIF($C$2:$C$801,C683)</f>
        <v>1</v>
      </c>
      <c r="E683" s="10" t="s">
        <v>11</v>
      </c>
      <c r="F683" s="4" t="s">
        <v>729</v>
      </c>
      <c r="G683" s="31" t="s">
        <v>4</v>
      </c>
      <c r="H683" s="31" t="s">
        <v>965</v>
      </c>
      <c r="I683" s="10" t="s">
        <v>977</v>
      </c>
    </row>
    <row r="684" spans="1:9" ht="23" customHeight="1" x14ac:dyDescent="0.15">
      <c r="A684" s="4" t="s">
        <v>28</v>
      </c>
      <c r="B684" s="6" t="s">
        <v>609</v>
      </c>
      <c r="C684" s="13" t="str">
        <f>SUBSTITUTE(REPLACE(REPLACE(B684,1,IFERROR(FIND("//",B684,1)+1,0),"")&amp;"/",FIND("/",REPLACE(B684,1,IFERROR(FIND("//",B684,1)+1,0),"")&amp;"/",1),LEN(B684),""),"www.","",1)</f>
        <v>udo-staehling.de</v>
      </c>
      <c r="D684" s="13">
        <f>COUNTIF($C$2:$C$801,C684)</f>
        <v>1</v>
      </c>
      <c r="E684" s="10" t="s">
        <v>28</v>
      </c>
      <c r="F684" s="4" t="s">
        <v>729</v>
      </c>
      <c r="G684" s="31" t="s">
        <v>4</v>
      </c>
      <c r="H684" s="31" t="s">
        <v>965</v>
      </c>
      <c r="I684" s="10" t="s">
        <v>977</v>
      </c>
    </row>
    <row r="685" spans="1:9" ht="23" customHeight="1" x14ac:dyDescent="0.15">
      <c r="A685" s="4" t="s">
        <v>28</v>
      </c>
      <c r="B685" s="6" t="s">
        <v>516</v>
      </c>
      <c r="C685" s="13" t="str">
        <f>SUBSTITUTE(REPLACE(REPLACE(B685,1,IFERROR(FIND("//",B685,1)+1,0),"")&amp;"/",FIND("/",REPLACE(B685,1,IFERROR(FIND("//",B685,1)+1,0),"")&amp;"/",1),LEN(B685),""),"www.","",1)</f>
        <v>ulrikeschwarz.com</v>
      </c>
      <c r="D685" s="13">
        <f>COUNTIF($C$2:$C$801,C685)</f>
        <v>1</v>
      </c>
      <c r="E685" s="10" t="s">
        <v>517</v>
      </c>
      <c r="F685" s="4"/>
      <c r="G685" s="31" t="s">
        <v>5</v>
      </c>
      <c r="H685" s="31" t="s">
        <v>965</v>
      </c>
      <c r="I685" s="10" t="s">
        <v>981</v>
      </c>
    </row>
    <row r="686" spans="1:9" ht="23" customHeight="1" x14ac:dyDescent="0.15">
      <c r="A686" s="4" t="s">
        <v>28</v>
      </c>
      <c r="B686" s="6" t="s">
        <v>232</v>
      </c>
      <c r="C686" s="13" t="str">
        <f>SUBSTITUTE(REPLACE(REPLACE(B686,1,IFERROR(FIND("//",B686,1)+1,0),"")&amp;"/",FIND("/",REPLACE(B686,1,IFERROR(FIND("//",B686,1)+1,0),"")&amp;"/",1),LEN(B686),""),"www.","",1)</f>
        <v>uni-muenster.de</v>
      </c>
      <c r="D686" s="13">
        <f>COUNTIF($C$2:$C$801,C686)</f>
        <v>1</v>
      </c>
      <c r="E686" s="10" t="s">
        <v>241</v>
      </c>
      <c r="F686" s="4" t="s">
        <v>13</v>
      </c>
      <c r="G686" s="31" t="s">
        <v>10</v>
      </c>
      <c r="H686" s="31" t="s">
        <v>746</v>
      </c>
      <c r="I686" s="10" t="s">
        <v>978</v>
      </c>
    </row>
    <row r="687" spans="1:9" ht="23" customHeight="1" x14ac:dyDescent="0.15">
      <c r="A687" s="4" t="s">
        <v>28</v>
      </c>
      <c r="B687" s="6" t="s">
        <v>772</v>
      </c>
      <c r="C687" s="35" t="str">
        <f>SUBSTITUTE(REPLACE(REPLACE(B687,1,IFERROR(FIND("//",B687,1)+1,0),"")&amp;"/",FIND("/",REPLACE(B687,1,IFERROR(FIND("//",B687,1)+1,0),"")&amp;"/",1),LEN(B687),""),"www.","",1)</f>
        <v>unikatoo.com</v>
      </c>
      <c r="D687" s="13">
        <f>COUNTIF($C$2:$C$801,C687)</f>
        <v>1</v>
      </c>
      <c r="E687" s="10" t="s">
        <v>902</v>
      </c>
      <c r="F687" s="4" t="s">
        <v>732</v>
      </c>
      <c r="G687" s="31" t="s">
        <v>4</v>
      </c>
      <c r="H687" s="31" t="s">
        <v>965</v>
      </c>
      <c r="I687" s="10" t="s">
        <v>977</v>
      </c>
    </row>
    <row r="688" spans="1:9" ht="23" customHeight="1" x14ac:dyDescent="0.15">
      <c r="A688" s="4" t="s">
        <v>28</v>
      </c>
      <c r="B688" s="6" t="s">
        <v>199</v>
      </c>
      <c r="C688" s="13" t="str">
        <f>SUBSTITUTE(REPLACE(REPLACE(B688,1,IFERROR(FIND("//",B688,1)+1,0),"")&amp;"/",FIND("/",REPLACE(B688,1,IFERROR(FIND("//",B688,1)+1,0),"")&amp;"/",1),LEN(B688),""),"www.","",1)</f>
        <v>unitel-buerosysteme.de</v>
      </c>
      <c r="D688" s="13">
        <f>COUNTIF($C$2:$C$801,C688)</f>
        <v>1</v>
      </c>
      <c r="E688" s="10" t="s">
        <v>11</v>
      </c>
      <c r="F688" s="4" t="s">
        <v>729</v>
      </c>
      <c r="G688" s="31" t="s">
        <v>4</v>
      </c>
      <c r="H688" s="31" t="s">
        <v>965</v>
      </c>
      <c r="I688" s="10" t="s">
        <v>977</v>
      </c>
    </row>
    <row r="689" spans="1:9" ht="23" customHeight="1" x14ac:dyDescent="0.15">
      <c r="A689" s="4" t="s">
        <v>28</v>
      </c>
      <c r="B689" s="6" t="s">
        <v>626</v>
      </c>
      <c r="C689" s="13" t="str">
        <f>SUBSTITUTE(REPLACE(REPLACE(B689,1,IFERROR(FIND("//",B689,1)+1,0),"")&amp;"/",FIND("/",REPLACE(B689,1,IFERROR(FIND("//",B689,1)+1,0),"")&amp;"/",1),LEN(B689),""),"www.","",1)</f>
        <v>updowntoday.com</v>
      </c>
      <c r="D689" s="13">
        <f>COUNTIF($C$2:$C$801,C689)</f>
        <v>1</v>
      </c>
      <c r="E689" s="10" t="s">
        <v>275</v>
      </c>
      <c r="F689" s="4" t="s">
        <v>25</v>
      </c>
      <c r="G689" s="31" t="s">
        <v>4</v>
      </c>
      <c r="H689" s="31" t="s">
        <v>965</v>
      </c>
      <c r="I689" s="10" t="s">
        <v>977</v>
      </c>
    </row>
    <row r="690" spans="1:9" ht="23" customHeight="1" x14ac:dyDescent="0.15">
      <c r="A690" s="4" t="s">
        <v>28</v>
      </c>
      <c r="B690" s="6" t="s">
        <v>799</v>
      </c>
      <c r="C690" s="13" t="str">
        <f>SUBSTITUTE(REPLACE(REPLACE(B690,1,IFERROR(FIND("//",B690,1)+1,0),"")&amp;"/",FIND("/",REPLACE(B690,1,IFERROR(FIND("//",B690,1)+1,0),"")&amp;"/",1),LEN(B690),""),"www.","",1)</f>
        <v>usedevelopments.com</v>
      </c>
      <c r="D690" s="13">
        <f>COUNTIF($C$2:$C$801,C690)</f>
        <v>1</v>
      </c>
      <c r="E690" s="10" t="s">
        <v>274</v>
      </c>
      <c r="F690" s="4" t="s">
        <v>730</v>
      </c>
      <c r="G690" s="31" t="s">
        <v>5</v>
      </c>
      <c r="H690" s="31" t="s">
        <v>965</v>
      </c>
      <c r="I690" s="10" t="s">
        <v>981</v>
      </c>
    </row>
    <row r="691" spans="1:9" ht="23" customHeight="1" x14ac:dyDescent="0.15">
      <c r="A691" s="4" t="s">
        <v>28</v>
      </c>
      <c r="B691" s="6" t="s">
        <v>776</v>
      </c>
      <c r="C691" s="13" t="str">
        <f>SUBSTITUTE(REPLACE(REPLACE(B691,1,IFERROR(FIND("//",B691,1)+1,0),"")&amp;"/",FIND("/",REPLACE(B691,1,IFERROR(FIND("//",B691,1)+1,0),"")&amp;"/",1),LEN(B691),""),"www.","",1)</f>
        <v>vegconomist.com</v>
      </c>
      <c r="D691" s="13">
        <f>COUNTIF($C$2:$C$801,C691)</f>
        <v>1</v>
      </c>
      <c r="E691" s="10" t="s">
        <v>241</v>
      </c>
      <c r="F691" s="4" t="s">
        <v>732</v>
      </c>
      <c r="G691" s="31" t="s">
        <v>4</v>
      </c>
      <c r="H691" s="31" t="s">
        <v>965</v>
      </c>
      <c r="I691" s="10" t="s">
        <v>977</v>
      </c>
    </row>
    <row r="692" spans="1:9" ht="23" customHeight="1" x14ac:dyDescent="0.15">
      <c r="A692" s="4" t="s">
        <v>28</v>
      </c>
      <c r="B692" s="6" t="s">
        <v>276</v>
      </c>
      <c r="C692" s="13" t="str">
        <f>SUBSTITUTE(REPLACE(REPLACE(B692,1,IFERROR(FIND("//",B692,1)+1,0),"")&amp;"/",FIND("/",REPLACE(B692,1,IFERROR(FIND("//",B692,1)+1,0),"")&amp;"/",1),LEN(B692),""),"www.","",1)</f>
        <v>vegconomist.de</v>
      </c>
      <c r="D692" s="13">
        <f>COUNTIF($C$2:$C$801,C692)</f>
        <v>1</v>
      </c>
      <c r="E692" s="10" t="s">
        <v>539</v>
      </c>
      <c r="F692" s="4" t="s">
        <v>737</v>
      </c>
      <c r="G692" s="31" t="s">
        <v>4</v>
      </c>
      <c r="H692" s="31" t="s">
        <v>965</v>
      </c>
      <c r="I692" s="10" t="s">
        <v>977</v>
      </c>
    </row>
    <row r="693" spans="1:9" ht="23" customHeight="1" x14ac:dyDescent="0.15">
      <c r="A693" s="4" t="s">
        <v>28</v>
      </c>
      <c r="B693" s="6" t="s">
        <v>1039</v>
      </c>
      <c r="C693" s="13" t="str">
        <f>SUBSTITUTE(REPLACE(REPLACE(B693,1,IFERROR(FIND("//",B693,1)+1,0),"")&amp;"/",FIND("/",REPLACE(B693,1,IFERROR(FIND("//",B693,1)+1,0),"")&amp;"/",1),LEN(B693),""),"www.","",1)</f>
        <v>vestarka.com</v>
      </c>
      <c r="D693" s="13">
        <f>COUNTIF($C$2:$C$801,C693)</f>
        <v>1</v>
      </c>
      <c r="E693" s="10" t="s">
        <v>1079</v>
      </c>
      <c r="F693" s="4" t="s">
        <v>730</v>
      </c>
      <c r="G693" s="31" t="s">
        <v>5</v>
      </c>
      <c r="H693" s="31" t="s">
        <v>1084</v>
      </c>
      <c r="I693" s="10"/>
    </row>
    <row r="694" spans="1:9" ht="23" customHeight="1" x14ac:dyDescent="0.15">
      <c r="A694" s="4" t="s">
        <v>28</v>
      </c>
      <c r="B694" s="6" t="s">
        <v>1014</v>
      </c>
      <c r="C694" s="35" t="str">
        <f>SUBSTITUTE(REPLACE(REPLACE(B694,1,IFERROR(FIND("//",B694,1)+1,0),"")&amp;"/",FIND("/",REPLACE(B694,1,IFERROR(FIND("//",B694,1)+1,0),"")&amp;"/",1),LEN(B694),""),"www.","",1)</f>
        <v>vogelsaenger.de</v>
      </c>
      <c r="D694" s="13">
        <f>COUNTIF($C$2:$C$801,C694)</f>
        <v>1</v>
      </c>
      <c r="E694" s="10" t="s">
        <v>306</v>
      </c>
      <c r="F694" s="4" t="s">
        <v>739</v>
      </c>
      <c r="G694" s="31" t="s">
        <v>4</v>
      </c>
      <c r="H694" s="31" t="s">
        <v>1084</v>
      </c>
      <c r="I694" s="10"/>
    </row>
    <row r="695" spans="1:9" ht="23" customHeight="1" x14ac:dyDescent="0.15">
      <c r="A695" s="4" t="s">
        <v>28</v>
      </c>
      <c r="B695" s="6" t="s">
        <v>883</v>
      </c>
      <c r="C695" s="13" t="str">
        <f>SUBSTITUTE(REPLACE(REPLACE(B695,1,IFERROR(FIND("//",B695,1)+1,0),"")&amp;"/",FIND("/",REPLACE(B695,1,IFERROR(FIND("//",B695,1)+1,0),"")&amp;"/",1),LEN(B695),""),"www.","",1)</f>
        <v>voko-flanjak.de</v>
      </c>
      <c r="D695" s="13">
        <f>COUNTIF($C$2:$C$801,C695)</f>
        <v>1</v>
      </c>
      <c r="E695" s="10" t="s">
        <v>241</v>
      </c>
      <c r="F695" s="4" t="s">
        <v>729</v>
      </c>
      <c r="G695" s="31" t="s">
        <v>4</v>
      </c>
      <c r="H695" s="31" t="s">
        <v>965</v>
      </c>
      <c r="I695" s="10" t="s">
        <v>977</v>
      </c>
    </row>
    <row r="696" spans="1:9" ht="23" customHeight="1" x14ac:dyDescent="0.15">
      <c r="A696" s="4" t="s">
        <v>28</v>
      </c>
      <c r="B696" s="6" t="s">
        <v>957</v>
      </c>
      <c r="C696" s="13" t="str">
        <f>SUBSTITUTE(REPLACE(REPLACE(B696,1,IFERROR(FIND("//",B696,1)+1,0),"")&amp;"/",FIND("/",REPLACE(B696,1,IFERROR(FIND("//",B696,1)+1,0),"")&amp;"/",1),LEN(B696),""),"www.","",1)</f>
        <v>vtx-deutschland.de</v>
      </c>
      <c r="D696" s="13">
        <f>COUNTIF($C$2:$C$801,C696)</f>
        <v>1</v>
      </c>
      <c r="E696" s="10"/>
      <c r="F696" s="4" t="s">
        <v>25</v>
      </c>
      <c r="G696" s="31" t="s">
        <v>4</v>
      </c>
      <c r="H696" s="31" t="s">
        <v>965</v>
      </c>
      <c r="I696" s="10" t="s">
        <v>977</v>
      </c>
    </row>
    <row r="697" spans="1:9" ht="23" customHeight="1" x14ac:dyDescent="0.15">
      <c r="A697" s="4" t="s">
        <v>28</v>
      </c>
      <c r="B697" s="6" t="s">
        <v>211</v>
      </c>
      <c r="C697" s="13" t="str">
        <f>SUBSTITUTE(REPLACE(REPLACE(B697,1,IFERROR(FIND("//",B697,1)+1,0),"")&amp;"/",FIND("/",REPLACE(B697,1,IFERROR(FIND("//",B697,1)+1,0),"")&amp;"/",1),LEN(B697),""),"www.","",1)</f>
        <v>vullriede-buerosysteme.de</v>
      </c>
      <c r="D697" s="13">
        <f>COUNTIF($C$2:$C$801,C697)</f>
        <v>1</v>
      </c>
      <c r="E697" s="10" t="s">
        <v>640</v>
      </c>
      <c r="F697" s="4" t="s">
        <v>729</v>
      </c>
      <c r="G697" s="31" t="s">
        <v>4</v>
      </c>
      <c r="H697" s="31" t="s">
        <v>965</v>
      </c>
      <c r="I697" s="10" t="s">
        <v>977</v>
      </c>
    </row>
    <row r="698" spans="1:9" ht="23" customHeight="1" x14ac:dyDescent="0.15">
      <c r="A698" s="4" t="s">
        <v>28</v>
      </c>
      <c r="B698" s="6" t="s">
        <v>806</v>
      </c>
      <c r="C698" s="13" t="str">
        <f>SUBSTITUTE(REPLACE(REPLACE(B698,1,IFERROR(FIND("//",B698,1)+1,0),"")&amp;"/",FIND("/",REPLACE(B698,1,IFERROR(FIND("//",B698,1)+1,0),"")&amp;"/",1),LEN(B698),""),"www.","",1)</f>
        <v>wambach-gmbh.de</v>
      </c>
      <c r="D698" s="13">
        <f>COUNTIF($C$2:$C$801,C698)</f>
        <v>1</v>
      </c>
      <c r="E698" s="10" t="s">
        <v>241</v>
      </c>
      <c r="F698" s="4" t="s">
        <v>729</v>
      </c>
      <c r="G698" s="31" t="s">
        <v>4</v>
      </c>
      <c r="H698" s="31" t="s">
        <v>965</v>
      </c>
      <c r="I698" s="10" t="s">
        <v>977</v>
      </c>
    </row>
    <row r="699" spans="1:9" ht="23" customHeight="1" x14ac:dyDescent="0.15">
      <c r="A699" s="4" t="s">
        <v>28</v>
      </c>
      <c r="B699" s="6" t="s">
        <v>1038</v>
      </c>
      <c r="C699" s="13" t="str">
        <f>SUBSTITUTE(REPLACE(REPLACE(B699,1,IFERROR(FIND("//",B699,1)+1,0),"")&amp;"/",FIND("/",REPLACE(B699,1,IFERROR(FIND("//",B699,1)+1,0),"")&amp;"/",1),LEN(B699),""),"www.","",1)</f>
        <v>wayranks.com</v>
      </c>
      <c r="D699" s="13">
        <f>COUNTIF($C$2:$C$801,C699)</f>
        <v>1</v>
      </c>
      <c r="E699" s="10" t="s">
        <v>926</v>
      </c>
      <c r="F699" s="4" t="s">
        <v>730</v>
      </c>
      <c r="G699" s="31" t="s">
        <v>6</v>
      </c>
      <c r="H699" s="31" t="s">
        <v>1084</v>
      </c>
      <c r="I699" s="10"/>
    </row>
    <row r="700" spans="1:9" ht="23" customHeight="1" x14ac:dyDescent="0.15">
      <c r="A700" s="4" t="s">
        <v>28</v>
      </c>
      <c r="B700" s="6" t="s">
        <v>875</v>
      </c>
      <c r="C700" s="13" t="str">
        <f>SUBSTITUTE(REPLACE(REPLACE(B700,1,IFERROR(FIND("//",B700,1)+1,0),"")&amp;"/",FIND("/",REPLACE(B700,1,IFERROR(FIND("//",B700,1)+1,0),"")&amp;"/",1),LEN(B700),""),"www.","",1)</f>
        <v>wbhandelsagentur.de</v>
      </c>
      <c r="D700" s="13">
        <f>COUNTIF($C$2:$C$801,C700)</f>
        <v>1</v>
      </c>
      <c r="E700" s="10" t="s">
        <v>895</v>
      </c>
      <c r="F700" s="4" t="s">
        <v>729</v>
      </c>
      <c r="G700" s="31" t="s">
        <v>4</v>
      </c>
      <c r="H700" s="31" t="s">
        <v>965</v>
      </c>
      <c r="I700" s="10" t="s">
        <v>977</v>
      </c>
    </row>
    <row r="701" spans="1:9" ht="23" customHeight="1" x14ac:dyDescent="0.15">
      <c r="A701" s="4" t="s">
        <v>28</v>
      </c>
      <c r="B701" s="6" t="s">
        <v>891</v>
      </c>
      <c r="C701" s="13" t="str">
        <f>SUBSTITUTE(REPLACE(REPLACE(B701,1,IFERROR(FIND("//",B701,1)+1,0),"")&amp;"/",FIND("/",REPLACE(B701,1,IFERROR(FIND("//",B701,1)+1,0),"")&amp;"/",1),LEN(B701),""),"www.","",1)</f>
        <v>web.office360.de</v>
      </c>
      <c r="D701" s="13">
        <f>COUNTIF($C$2:$C$801,C701)</f>
        <v>1</v>
      </c>
      <c r="E701" s="10" t="s">
        <v>905</v>
      </c>
      <c r="F701" s="4" t="s">
        <v>729</v>
      </c>
      <c r="G701" s="31" t="s">
        <v>4</v>
      </c>
      <c r="H701" s="31" t="s">
        <v>965</v>
      </c>
      <c r="I701" s="10" t="s">
        <v>977</v>
      </c>
    </row>
    <row r="702" spans="1:9" ht="23" customHeight="1" x14ac:dyDescent="0.15">
      <c r="A702" s="4" t="s">
        <v>28</v>
      </c>
      <c r="B702" s="6" t="s">
        <v>191</v>
      </c>
      <c r="C702" s="13" t="str">
        <f>SUBSTITUTE(REPLACE(REPLACE(B702,1,IFERROR(FIND("//",B702,1)+1,0),"")&amp;"/",FIND("/",REPLACE(B702,1,IFERROR(FIND("//",B702,1)+1,0),"")&amp;"/",1),LEN(B702),""),"www.","",1)</f>
        <v>webcolourdata.com</v>
      </c>
      <c r="D702" s="13">
        <f>COUNTIF($C$2:$C$801,C702)</f>
        <v>1</v>
      </c>
      <c r="E702" s="10" t="s">
        <v>246</v>
      </c>
      <c r="F702" s="4" t="s">
        <v>25</v>
      </c>
      <c r="G702" s="31" t="s">
        <v>4</v>
      </c>
      <c r="H702" s="31" t="s">
        <v>965</v>
      </c>
      <c r="I702" s="10" t="s">
        <v>977</v>
      </c>
    </row>
    <row r="703" spans="1:9" ht="23" customHeight="1" x14ac:dyDescent="0.15">
      <c r="A703" s="4" t="s">
        <v>28</v>
      </c>
      <c r="B703" s="6" t="s">
        <v>160</v>
      </c>
      <c r="C703" s="13" t="str">
        <f>SUBSTITUTE(REPLACE(REPLACE(B703,1,IFERROR(FIND("//",B703,1)+1,0),"")&amp;"/",FIND("/",REPLACE(B703,1,IFERROR(FIND("//",B703,1)+1,0),"")&amp;"/",1),LEN(B703),""),"www.","",1)</f>
        <v>weber-os.ch</v>
      </c>
      <c r="D703" s="13">
        <f>COUNTIF($C$2:$C$801,C703)</f>
        <v>1</v>
      </c>
      <c r="E703" s="10" t="s">
        <v>691</v>
      </c>
      <c r="F703" s="4" t="s">
        <v>739</v>
      </c>
      <c r="G703" s="31" t="s">
        <v>4</v>
      </c>
      <c r="H703" s="31" t="s">
        <v>965</v>
      </c>
      <c r="I703" s="10" t="s">
        <v>977</v>
      </c>
    </row>
    <row r="704" spans="1:9" ht="23" customHeight="1" x14ac:dyDescent="0.15">
      <c r="A704" s="4" t="s">
        <v>28</v>
      </c>
      <c r="B704" s="6" t="s">
        <v>266</v>
      </c>
      <c r="C704" s="13" t="str">
        <f>SUBSTITUTE(REPLACE(REPLACE(B704,1,IFERROR(FIND("//",B704,1)+1,0),"")&amp;"/",FIND("/",REPLACE(B704,1,IFERROR(FIND("//",B704,1)+1,0),"")&amp;"/",1),LEN(B704),""),"www.","",1)</f>
        <v>webinhalt.de</v>
      </c>
      <c r="D704" s="13">
        <f>COUNTIF($C$2:$C$801,C704)</f>
        <v>1</v>
      </c>
      <c r="E704" s="10" t="s">
        <v>246</v>
      </c>
      <c r="F704" s="4" t="s">
        <v>25</v>
      </c>
      <c r="G704" s="31" t="s">
        <v>4</v>
      </c>
      <c r="H704" s="31" t="s">
        <v>965</v>
      </c>
      <c r="I704" s="10" t="s">
        <v>977</v>
      </c>
    </row>
    <row r="705" spans="1:9" ht="23" customHeight="1" x14ac:dyDescent="0.15">
      <c r="A705" s="4" t="s">
        <v>28</v>
      </c>
      <c r="B705" s="6" t="s">
        <v>224</v>
      </c>
      <c r="C705" s="13" t="str">
        <f>SUBSTITUTE(REPLACE(REPLACE(B705,1,IFERROR(FIND("//",B705,1)+1,0),"")&amp;"/",FIND("/",REPLACE(B705,1,IFERROR(FIND("//",B705,1)+1,0),"")&amp;"/",1),LEN(B705),""),"www.","",1)</f>
        <v>webkatalog-2007.de</v>
      </c>
      <c r="D705" s="13">
        <f>COUNTIF($C$2:$C$801,C705)</f>
        <v>1</v>
      </c>
      <c r="E705" s="10" t="s">
        <v>724</v>
      </c>
      <c r="F705" s="4" t="s">
        <v>25</v>
      </c>
      <c r="G705" s="31" t="s">
        <v>5</v>
      </c>
      <c r="H705" s="31" t="s">
        <v>965</v>
      </c>
      <c r="I705" s="10" t="s">
        <v>981</v>
      </c>
    </row>
    <row r="706" spans="1:9" ht="23" customHeight="1" x14ac:dyDescent="0.15">
      <c r="A706" s="4" t="s">
        <v>28</v>
      </c>
      <c r="B706" s="6" t="s">
        <v>1037</v>
      </c>
      <c r="C706" s="13" t="str">
        <f>SUBSTITUTE(REPLACE(REPLACE(B706,1,IFERROR(FIND("//",B706,1)+1,0),"")&amp;"/",FIND("/",REPLACE(B706,1,IFERROR(FIND("//",B706,1)+1,0),"")&amp;"/",1),LEN(B706),""),"www.","",1)</f>
        <v>webranksite.com</v>
      </c>
      <c r="D706" s="13">
        <f>COUNTIF($C$2:$C$801,C706)</f>
        <v>1</v>
      </c>
      <c r="E706" s="10" t="s">
        <v>928</v>
      </c>
      <c r="F706" s="4" t="s">
        <v>730</v>
      </c>
      <c r="G706" s="31" t="s">
        <v>6</v>
      </c>
      <c r="H706" s="31" t="s">
        <v>1084</v>
      </c>
      <c r="I706" s="10"/>
    </row>
    <row r="707" spans="1:9" ht="23" customHeight="1" x14ac:dyDescent="0.15">
      <c r="A707" s="4" t="s">
        <v>28</v>
      </c>
      <c r="B707" s="6" t="s">
        <v>1036</v>
      </c>
      <c r="C707" s="13" t="str">
        <f>SUBSTITUTE(REPLACE(REPLACE(B707,1,IFERROR(FIND("//",B707,1)+1,0),"")&amp;"/",FIND("/",REPLACE(B707,1,IFERROR(FIND("//",B707,1)+1,0),"")&amp;"/",1),LEN(B707),""),"www.","",1)</f>
        <v>websitedetection.com</v>
      </c>
      <c r="D707" s="13">
        <f>COUNTIF($C$2:$C$801,C707)</f>
        <v>1</v>
      </c>
      <c r="E707" s="10" t="s">
        <v>250</v>
      </c>
      <c r="F707" s="4" t="s">
        <v>730</v>
      </c>
      <c r="G707" s="31" t="s">
        <v>5</v>
      </c>
      <c r="H707" s="31" t="s">
        <v>1084</v>
      </c>
      <c r="I707" s="10"/>
    </row>
    <row r="708" spans="1:9" ht="23" customHeight="1" x14ac:dyDescent="0.15">
      <c r="A708" s="4" t="s">
        <v>28</v>
      </c>
      <c r="B708" s="6" t="s">
        <v>583</v>
      </c>
      <c r="C708" s="13" t="str">
        <f>SUBSTITUTE(REPLACE(REPLACE(B708,1,IFERROR(FIND("//",B708,1)+1,0),"")&amp;"/",FIND("/",REPLACE(B708,1,IFERROR(FIND("//",B708,1)+1,0),"")&amp;"/",1),LEN(B708),""),"www.","",1)</f>
        <v>wegscheider-os.de</v>
      </c>
      <c r="D708" s="13">
        <f>COUNTIF($C$2:$C$801,C708)</f>
        <v>1</v>
      </c>
      <c r="E708" s="10" t="s">
        <v>27</v>
      </c>
      <c r="F708" s="4" t="s">
        <v>729</v>
      </c>
      <c r="G708" s="31" t="s">
        <v>4</v>
      </c>
      <c r="H708" s="31" t="s">
        <v>965</v>
      </c>
      <c r="I708" s="10" t="s">
        <v>977</v>
      </c>
    </row>
    <row r="709" spans="1:9" ht="23" customHeight="1" x14ac:dyDescent="0.15">
      <c r="A709" s="4" t="s">
        <v>28</v>
      </c>
      <c r="B709" s="6" t="s">
        <v>217</v>
      </c>
      <c r="C709" s="13" t="str">
        <f>SUBSTITUTE(REPLACE(REPLACE(B709,1,IFERROR(FIND("//",B709,1)+1,0),"")&amp;"/",FIND("/",REPLACE(B709,1,IFERROR(FIND("//",B709,1)+1,0),"")&amp;"/",1),LEN(B709),""),"www.","",1)</f>
        <v>welt-verzeichnis.de</v>
      </c>
      <c r="D709" s="13">
        <f>COUNTIF($C$2:$C$801,C709)</f>
        <v>1</v>
      </c>
      <c r="E709" s="10" t="s">
        <v>722</v>
      </c>
      <c r="F709" s="4"/>
      <c r="G709" s="31" t="s">
        <v>5</v>
      </c>
      <c r="H709" s="31" t="s">
        <v>965</v>
      </c>
      <c r="I709" s="10" t="s">
        <v>981</v>
      </c>
    </row>
    <row r="710" spans="1:9" ht="23" customHeight="1" x14ac:dyDescent="0.15">
      <c r="A710" s="4" t="s">
        <v>28</v>
      </c>
      <c r="B710" s="6" t="s">
        <v>74</v>
      </c>
      <c r="C710" s="13" t="str">
        <f>SUBSTITUTE(REPLACE(REPLACE(B710,1,IFERROR(FIND("//",B710,1)+1,0),"")&amp;"/",FIND("/",REPLACE(B710,1,IFERROR(FIND("//",B710,1)+1,0),"")&amp;"/",1),LEN(B710),""),"www.","",1)</f>
        <v>wema-buero.de</v>
      </c>
      <c r="D710" s="13">
        <f>COUNTIF($C$2:$C$801,C710)</f>
        <v>1</v>
      </c>
      <c r="E710" s="10" t="s">
        <v>14</v>
      </c>
      <c r="F710" s="4" t="s">
        <v>729</v>
      </c>
      <c r="G710" s="31" t="s">
        <v>4</v>
      </c>
      <c r="H710" s="31" t="s">
        <v>965</v>
      </c>
      <c r="I710" s="10" t="s">
        <v>977</v>
      </c>
    </row>
    <row r="711" spans="1:9" ht="23" customHeight="1" x14ac:dyDescent="0.15">
      <c r="A711" s="4" t="s">
        <v>28</v>
      </c>
      <c r="B711" s="6" t="s">
        <v>63</v>
      </c>
      <c r="C711" s="13" t="str">
        <f>SUBSTITUTE(REPLACE(REPLACE(B711,1,IFERROR(FIND("//",B711,1)+1,0),"")&amp;"/",FIND("/",REPLACE(B711,1,IFERROR(FIND("//",B711,1)+1,0),"")&amp;"/",1),LEN(B711),""),"www.","",1)</f>
        <v>wema-raumkonzepte.de</v>
      </c>
      <c r="D711" s="13">
        <f>COUNTIF($C$2:$C$801,C711)</f>
        <v>1</v>
      </c>
      <c r="E711" s="10" t="s">
        <v>28</v>
      </c>
      <c r="F711" s="4" t="s">
        <v>729</v>
      </c>
      <c r="G711" s="31" t="s">
        <v>4</v>
      </c>
      <c r="H711" s="31" t="s">
        <v>965</v>
      </c>
      <c r="I711" s="10" t="s">
        <v>977</v>
      </c>
    </row>
    <row r="712" spans="1:9" ht="23" customHeight="1" x14ac:dyDescent="0.15">
      <c r="A712" s="4" t="s">
        <v>28</v>
      </c>
      <c r="B712" s="6" t="s">
        <v>346</v>
      </c>
      <c r="C712" s="13" t="str">
        <f>SUBSTITUTE(REPLACE(REPLACE(B712,1,IFERROR(FIND("//",B712,1)+1,0),"")&amp;"/",FIND("/",REPLACE(B712,1,IFERROR(FIND("//",B712,1)+1,0),"")&amp;"/",1),LEN(B712),""),"www.","",1)</f>
        <v>wermke-buero.de</v>
      </c>
      <c r="D712" s="13">
        <f>COUNTIF($C$2:$C$801,C712)</f>
        <v>1</v>
      </c>
      <c r="E712" s="10" t="s">
        <v>347</v>
      </c>
      <c r="F712" s="4" t="s">
        <v>729</v>
      </c>
      <c r="G712" s="31" t="s">
        <v>4</v>
      </c>
      <c r="H712" s="31" t="s">
        <v>965</v>
      </c>
      <c r="I712" s="10" t="s">
        <v>977</v>
      </c>
    </row>
    <row r="713" spans="1:9" ht="23" customHeight="1" x14ac:dyDescent="0.15">
      <c r="A713" s="4" t="s">
        <v>28</v>
      </c>
      <c r="B713" s="6" t="s">
        <v>343</v>
      </c>
      <c r="C713" s="13" t="str">
        <f>SUBSTITUTE(REPLACE(REPLACE(B713,1,IFERROR(FIND("//",B713,1)+1,0),"")&amp;"/",FIND("/",REPLACE(B713,1,IFERROR(FIND("//",B713,1)+1,0),"")&amp;"/",1),LEN(B713),""),"www.","",1)</f>
        <v>wfg-hf.de</v>
      </c>
      <c r="D713" s="13">
        <f>COUNTIF($C$2:$C$801,C713)</f>
        <v>1</v>
      </c>
      <c r="E713" s="10" t="s">
        <v>274</v>
      </c>
      <c r="F713" s="4" t="s">
        <v>25</v>
      </c>
      <c r="G713" s="31" t="s">
        <v>4</v>
      </c>
      <c r="H713" s="31" t="s">
        <v>965</v>
      </c>
      <c r="I713" s="10" t="s">
        <v>977</v>
      </c>
    </row>
    <row r="714" spans="1:9" ht="23" customHeight="1" x14ac:dyDescent="0.15">
      <c r="A714" s="4" t="s">
        <v>28</v>
      </c>
      <c r="B714" s="6" t="s">
        <v>954</v>
      </c>
      <c r="C714" s="13" t="str">
        <f>SUBSTITUTE(REPLACE(REPLACE(B714,1,IFERROR(FIND("//",B714,1)+1,0),"")&amp;"/",FIND("/",REPLACE(B714,1,IFERROR(FIND("//",B714,1)+1,0),"")&amp;"/",1),LEN(B714),""),"www.","",1)</f>
        <v>wini-360grad.de</v>
      </c>
      <c r="D714" s="13">
        <f>COUNTIF($C$2:$C$801,C714)</f>
        <v>1</v>
      </c>
      <c r="E714" s="10" t="s">
        <v>237</v>
      </c>
      <c r="F714" s="4" t="s">
        <v>729</v>
      </c>
      <c r="G714" s="31" t="s">
        <v>5</v>
      </c>
      <c r="H714" s="31" t="s">
        <v>965</v>
      </c>
      <c r="I714" s="10" t="s">
        <v>981</v>
      </c>
    </row>
    <row r="715" spans="1:9" ht="23" customHeight="1" x14ac:dyDescent="0.15">
      <c r="A715" s="4" t="s">
        <v>28</v>
      </c>
      <c r="B715" s="6" t="s">
        <v>747</v>
      </c>
      <c r="C715" s="13" t="str">
        <f>SUBSTITUTE(REPLACE(REPLACE(B715,1,IFERROR(FIND("//",B715,1)+1,0),"")&amp;"/",FIND("/",REPLACE(B715,1,IFERROR(FIND("//",B715,1)+1,0),"")&amp;"/",1),LEN(B715),""),"www.","",1)</f>
        <v>wini.de</v>
      </c>
      <c r="D715" s="13">
        <f>COUNTIF($C$2:$C$801,C715)</f>
        <v>1</v>
      </c>
      <c r="E715" s="10" t="s">
        <v>237</v>
      </c>
      <c r="F715" s="4" t="s">
        <v>733</v>
      </c>
      <c r="G715" s="31" t="s">
        <v>5</v>
      </c>
      <c r="H715" s="31" t="s">
        <v>965</v>
      </c>
      <c r="I715" s="10" t="s">
        <v>981</v>
      </c>
    </row>
    <row r="716" spans="1:9" ht="23" customHeight="1" x14ac:dyDescent="0.15">
      <c r="A716" s="4" t="s">
        <v>28</v>
      </c>
      <c r="B716" s="6" t="s">
        <v>195</v>
      </c>
      <c r="C716" s="13" t="str">
        <f>SUBSTITUTE(REPLACE(REPLACE(B716,1,IFERROR(FIND("//",B716,1)+1,0),"")&amp;"/",FIND("/",REPLACE(B716,1,IFERROR(FIND("//",B716,1)+1,0),"")&amp;"/",1),LEN(B716),""),"www.","",1)</f>
        <v>wipper-shop.de</v>
      </c>
      <c r="D716" s="13">
        <f>COUNTIF($C$2:$C$801,C716)</f>
        <v>1</v>
      </c>
      <c r="E716" s="10" t="s">
        <v>14</v>
      </c>
      <c r="F716" s="4" t="s">
        <v>729</v>
      </c>
      <c r="G716" s="31" t="s">
        <v>4</v>
      </c>
      <c r="H716" s="31" t="s">
        <v>965</v>
      </c>
      <c r="I716" s="10" t="s">
        <v>977</v>
      </c>
    </row>
    <row r="717" spans="1:9" ht="23" customHeight="1" x14ac:dyDescent="0.15">
      <c r="A717" s="4" t="s">
        <v>28</v>
      </c>
      <c r="B717" s="6" t="s">
        <v>308</v>
      </c>
      <c r="C717" s="13" t="str">
        <f>SUBSTITUTE(REPLACE(REPLACE(B717,1,IFERROR(FIND("//",B717,1)+1,0),"")&amp;"/",FIND("/",REPLACE(B717,1,IFERROR(FIND("//",B717,1)+1,0),"")&amp;"/",1),LEN(B717),""),"www.","",1)</f>
        <v>wipperbuerodesign.de</v>
      </c>
      <c r="D717" s="13">
        <f>COUNTIF($C$2:$C$801,C717)</f>
        <v>1</v>
      </c>
      <c r="E717" s="10" t="s">
        <v>241</v>
      </c>
      <c r="F717" s="4" t="s">
        <v>729</v>
      </c>
      <c r="G717" s="31" t="s">
        <v>4</v>
      </c>
      <c r="H717" s="31" t="s">
        <v>965</v>
      </c>
      <c r="I717" s="10" t="s">
        <v>977</v>
      </c>
    </row>
    <row r="718" spans="1:9" ht="23" customHeight="1" x14ac:dyDescent="0.15">
      <c r="A718" s="4" t="s">
        <v>28</v>
      </c>
      <c r="B718" s="6" t="s">
        <v>549</v>
      </c>
      <c r="C718" s="35" t="str">
        <f>SUBSTITUTE(REPLACE(REPLACE(B718,1,IFERROR(FIND("//",B718,1)+1,0),"")&amp;"/",FIND("/",REPLACE(B718,1,IFERROR(FIND("//",B718,1)+1,0),"")&amp;"/",1),LEN(B718),""),"www.","",1)</f>
        <v>wirtschaft-regional.net</v>
      </c>
      <c r="D718" s="13">
        <f>COUNTIF($C$2:$C$801,C718)</f>
        <v>1</v>
      </c>
      <c r="E718" s="10" t="s">
        <v>237</v>
      </c>
      <c r="F718" s="4" t="s">
        <v>732</v>
      </c>
      <c r="G718" s="31" t="s">
        <v>4</v>
      </c>
      <c r="H718" s="31" t="s">
        <v>965</v>
      </c>
      <c r="I718" s="10" t="s">
        <v>977</v>
      </c>
    </row>
    <row r="719" spans="1:9" ht="23" customHeight="1" x14ac:dyDescent="0.15">
      <c r="A719" s="4" t="s">
        <v>28</v>
      </c>
      <c r="B719" s="6" t="s">
        <v>1024</v>
      </c>
      <c r="C719" s="13" t="str">
        <f>SUBSTITUTE(REPLACE(REPLACE(B719,1,IFERROR(FIND("//",B719,1)+1,0),"")&amp;"/",FIND("/",REPLACE(B719,1,IFERROR(FIND("//",B719,1)+1,0),"")&amp;"/",1),LEN(B719),""),"www.","",1)</f>
        <v>wishkarma.com</v>
      </c>
      <c r="D719" s="13">
        <f>COUNTIF($C$2:$C$801,C719)</f>
        <v>1</v>
      </c>
      <c r="E719" s="10" t="s">
        <v>907</v>
      </c>
      <c r="F719" s="4" t="s">
        <v>25</v>
      </c>
      <c r="G719" s="31" t="s">
        <v>4</v>
      </c>
      <c r="H719" s="31" t="s">
        <v>1084</v>
      </c>
      <c r="I719" s="10"/>
    </row>
    <row r="720" spans="1:9" ht="23" customHeight="1" x14ac:dyDescent="0.15">
      <c r="A720" s="4" t="s">
        <v>28</v>
      </c>
      <c r="B720" s="6" t="s">
        <v>998</v>
      </c>
      <c r="C720" s="35" t="str">
        <f>SUBSTITUTE(REPLACE(REPLACE(B720,1,IFERROR(FIND("//",B720,1)+1,0),"")&amp;"/",FIND("/",REPLACE(B720,1,IFERROR(FIND("//",B720,1)+1,0),"")&amp;"/",1),LEN(B720),""),"www.","",1)</f>
        <v>wissensmanagement.net</v>
      </c>
      <c r="D720" s="13">
        <f>COUNTIF($C$2:$C$801,C720)</f>
        <v>1</v>
      </c>
      <c r="E720" s="10" t="s">
        <v>1071</v>
      </c>
      <c r="F720" s="4" t="s">
        <v>732</v>
      </c>
      <c r="G720" s="31" t="s">
        <v>4</v>
      </c>
      <c r="H720" s="31" t="s">
        <v>1084</v>
      </c>
      <c r="I720" s="10"/>
    </row>
    <row r="721" spans="1:9" ht="23" customHeight="1" x14ac:dyDescent="0.15">
      <c r="A721" s="4" t="s">
        <v>28</v>
      </c>
      <c r="B721" s="6" t="s">
        <v>55</v>
      </c>
      <c r="C721" s="13" t="str">
        <f>SUBSTITUTE(REPLACE(REPLACE(B721,1,IFERROR(FIND("//",B721,1)+1,0),"")&amp;"/",FIND("/",REPLACE(B721,1,IFERROR(FIND("//",B721,1)+1,0),"")&amp;"/",1),LEN(B721),""),"www.","",1)</f>
        <v>witte-dresden.de</v>
      </c>
      <c r="D721" s="13">
        <f>COUNTIF($C$2:$C$801,C721)</f>
        <v>1</v>
      </c>
      <c r="E721" s="10" t="s">
        <v>28</v>
      </c>
      <c r="F721" s="4" t="s">
        <v>729</v>
      </c>
      <c r="G721" s="31" t="s">
        <v>4</v>
      </c>
      <c r="H721" s="31" t="s">
        <v>965</v>
      </c>
      <c r="I721" s="10" t="s">
        <v>977</v>
      </c>
    </row>
    <row r="722" spans="1:9" ht="23" customHeight="1" x14ac:dyDescent="0.15">
      <c r="A722" s="4" t="s">
        <v>28</v>
      </c>
      <c r="B722" s="6" t="s">
        <v>800</v>
      </c>
      <c r="C722" s="13" t="str">
        <f>SUBSTITUTE(REPLACE(REPLACE(B722,1,IFERROR(FIND("//",B722,1)+1,0),"")&amp;"/",FIND("/",REPLACE(B722,1,IFERROR(FIND("//",B722,1)+1,0),"")&amp;"/",1),LEN(B722),""),"www.","",1)</f>
        <v>wks-buerotechnik.de</v>
      </c>
      <c r="D722" s="13">
        <f>COUNTIF($C$2:$C$801,C722)</f>
        <v>1</v>
      </c>
      <c r="E722" s="10"/>
      <c r="F722" s="4" t="s">
        <v>729</v>
      </c>
      <c r="G722" s="31" t="s">
        <v>4</v>
      </c>
      <c r="H722" s="31" t="s">
        <v>965</v>
      </c>
      <c r="I722" s="10" t="s">
        <v>977</v>
      </c>
    </row>
    <row r="723" spans="1:9" ht="23" customHeight="1" x14ac:dyDescent="0.15">
      <c r="A723" s="4" t="s">
        <v>28</v>
      </c>
      <c r="B723" s="6" t="s">
        <v>872</v>
      </c>
      <c r="C723" s="13" t="str">
        <f>SUBSTITUTE(REPLACE(REPLACE(B723,1,IFERROR(FIND("//",B723,1)+1,0),"")&amp;"/",FIND("/",REPLACE(B723,1,IFERROR(FIND("//",B723,1)+1,0),"")&amp;"/",1),LEN(B723),""),"www.","",1)</f>
        <v>wks2.srv2.msbu.de</v>
      </c>
      <c r="D723" s="13">
        <f>COUNTIF($C$2:$C$801,C723)</f>
        <v>1</v>
      </c>
      <c r="E723" s="10"/>
      <c r="F723" s="4" t="s">
        <v>729</v>
      </c>
      <c r="G723" s="31" t="s">
        <v>4</v>
      </c>
      <c r="H723" s="31" t="s">
        <v>965</v>
      </c>
      <c r="I723" s="10" t="s">
        <v>977</v>
      </c>
    </row>
    <row r="724" spans="1:9" ht="23" customHeight="1" x14ac:dyDescent="0.15">
      <c r="A724" s="4" t="s">
        <v>28</v>
      </c>
      <c r="B724" s="6" t="s">
        <v>756</v>
      </c>
      <c r="C724" s="13" t="str">
        <f>SUBSTITUTE(REPLACE(REPLACE(B724,1,IFERROR(FIND("//",B724,1)+1,0),"")&amp;"/",FIND("/",REPLACE(B724,1,IFERROR(FIND("//",B724,1)+1,0),"")&amp;"/",1),LEN(B724),""),"www.","",1)</f>
        <v>wlw.at</v>
      </c>
      <c r="D724" s="13">
        <f>COUNTIF($C$2:$C$801,C724)</f>
        <v>1</v>
      </c>
      <c r="E724" s="10" t="s">
        <v>893</v>
      </c>
      <c r="F724" s="4" t="s">
        <v>25</v>
      </c>
      <c r="G724" s="31" t="s">
        <v>10</v>
      </c>
      <c r="H724" s="31" t="s">
        <v>973</v>
      </c>
      <c r="I724" s="29" t="s">
        <v>983</v>
      </c>
    </row>
    <row r="725" spans="1:9" ht="23" customHeight="1" x14ac:dyDescent="0.15">
      <c r="A725" s="4" t="s">
        <v>28</v>
      </c>
      <c r="B725" s="6" t="s">
        <v>789</v>
      </c>
      <c r="C725" s="13" t="str">
        <f>SUBSTITUTE(REPLACE(REPLACE(B725,1,IFERROR(FIND("//",B725,1)+1,0),"")&amp;"/",FIND("/",REPLACE(B725,1,IFERROR(FIND("//",B725,1)+1,0),"")&amp;"/",1),LEN(B725),""),"www.","",1)</f>
        <v>wlw.be</v>
      </c>
      <c r="D725" s="13">
        <f>COUNTIF($C$2:$C$801,C725)</f>
        <v>1</v>
      </c>
      <c r="E725" s="10" t="s">
        <v>895</v>
      </c>
      <c r="F725" s="4" t="s">
        <v>25</v>
      </c>
      <c r="G725" s="31" t="s">
        <v>10</v>
      </c>
      <c r="H725" s="31" t="s">
        <v>973</v>
      </c>
      <c r="I725" s="29" t="s">
        <v>983</v>
      </c>
    </row>
    <row r="726" spans="1:9" ht="23" customHeight="1" x14ac:dyDescent="0.15">
      <c r="A726" s="4" t="s">
        <v>28</v>
      </c>
      <c r="B726" s="6" t="s">
        <v>757</v>
      </c>
      <c r="C726" s="13" t="str">
        <f>SUBSTITUTE(REPLACE(REPLACE(B726,1,IFERROR(FIND("//",B726,1)+1,0),"")&amp;"/",FIND("/",REPLACE(B726,1,IFERROR(FIND("//",B726,1)+1,0),"")&amp;"/",1),LEN(B726),""),"www.","",1)</f>
        <v>wlw.ch</v>
      </c>
      <c r="D726" s="13">
        <f>COUNTIF($C$2:$C$801,C726)</f>
        <v>1</v>
      </c>
      <c r="E726" s="10" t="s">
        <v>894</v>
      </c>
      <c r="F726" s="4" t="s">
        <v>25</v>
      </c>
      <c r="G726" s="31" t="s">
        <v>10</v>
      </c>
      <c r="H726" s="31" t="s">
        <v>973</v>
      </c>
      <c r="I726" s="29" t="s">
        <v>983</v>
      </c>
    </row>
    <row r="727" spans="1:9" ht="23" customHeight="1" x14ac:dyDescent="0.15">
      <c r="A727" s="4" t="s">
        <v>28</v>
      </c>
      <c r="B727" s="6" t="s">
        <v>240</v>
      </c>
      <c r="C727" s="13" t="str">
        <f>SUBSTITUTE(REPLACE(REPLACE(B727,1,IFERROR(FIND("//",B727,1)+1,0),"")&amp;"/",FIND("/",REPLACE(B727,1,IFERROR(FIND("//",B727,1)+1,0),"")&amp;"/",1),LEN(B727),""),"www.","",1)</f>
        <v>wlw.de</v>
      </c>
      <c r="D727" s="13">
        <f>COUNTIF($C$2:$C$801,C727)</f>
        <v>1</v>
      </c>
      <c r="E727" s="10" t="s">
        <v>237</v>
      </c>
      <c r="F727" s="4" t="s">
        <v>25</v>
      </c>
      <c r="G727" s="31" t="s">
        <v>4</v>
      </c>
      <c r="H727" s="31" t="s">
        <v>965</v>
      </c>
      <c r="I727" s="10" t="s">
        <v>977</v>
      </c>
    </row>
    <row r="728" spans="1:9" ht="23" customHeight="1" x14ac:dyDescent="0.15">
      <c r="A728" s="4" t="s">
        <v>28</v>
      </c>
      <c r="B728" s="6" t="s">
        <v>803</v>
      </c>
      <c r="C728" s="13" t="str">
        <f>SUBSTITUTE(REPLACE(REPLACE(B728,1,IFERROR(FIND("//",B728,1)+1,0),"")&amp;"/",FIND("/",REPLACE(B728,1,IFERROR(FIND("//",B728,1)+1,0),"")&amp;"/",1),LEN(B728),""),"www.","",1)</f>
        <v>wlw.lu</v>
      </c>
      <c r="D728" s="13">
        <f>COUNTIF($C$2:$C$801,C728)</f>
        <v>1</v>
      </c>
      <c r="E728" s="10" t="s">
        <v>894</v>
      </c>
      <c r="F728" s="4" t="s">
        <v>25</v>
      </c>
      <c r="G728" s="31" t="s">
        <v>10</v>
      </c>
      <c r="H728" s="31" t="s">
        <v>973</v>
      </c>
      <c r="I728" s="29" t="s">
        <v>983</v>
      </c>
    </row>
    <row r="729" spans="1:9" ht="23" customHeight="1" x14ac:dyDescent="0.15">
      <c r="A729" s="4" t="s">
        <v>28</v>
      </c>
      <c r="B729" s="6" t="s">
        <v>887</v>
      </c>
      <c r="C729" s="13" t="str">
        <f>SUBSTITUTE(REPLACE(REPLACE(B729,1,IFERROR(FIND("//",B729,1)+1,0),"")&amp;"/",FIND("/",REPLACE(B729,1,IFERROR(FIND("//",B729,1)+1,0),"")&amp;"/",1),LEN(B729),""),"www.","",1)</f>
        <v>wn-deutschland.de</v>
      </c>
      <c r="D729" s="13">
        <f>COUNTIF($C$2:$C$801,C729)</f>
        <v>1</v>
      </c>
      <c r="E729" s="10" t="s">
        <v>275</v>
      </c>
      <c r="F729" s="4" t="s">
        <v>25</v>
      </c>
      <c r="G729" s="31" t="s">
        <v>4</v>
      </c>
      <c r="H729" s="31" t="s">
        <v>965</v>
      </c>
      <c r="I729" s="10" t="s">
        <v>977</v>
      </c>
    </row>
    <row r="730" spans="1:9" ht="23" customHeight="1" x14ac:dyDescent="0.15">
      <c r="A730" s="4" t="s">
        <v>28</v>
      </c>
      <c r="B730" s="6" t="s">
        <v>1005</v>
      </c>
      <c r="C730" s="13" t="str">
        <f>SUBSTITUTE(REPLACE(REPLACE(B730,1,IFERROR(FIND("//",B730,1)+1,0),"")&amp;"/",FIND("/",REPLACE(B730,1,IFERROR(FIND("//",B730,1)+1,0),"")&amp;"/",1),LEN(B730),""),"www.","",1)</f>
        <v>wn-nrw.de</v>
      </c>
      <c r="D730" s="13">
        <f>COUNTIF($C$2:$C$801,C730)</f>
        <v>1</v>
      </c>
      <c r="E730" s="10" t="s">
        <v>275</v>
      </c>
      <c r="F730" s="4" t="s">
        <v>25</v>
      </c>
      <c r="G730" s="31" t="s">
        <v>4</v>
      </c>
      <c r="H730" s="31" t="s">
        <v>1084</v>
      </c>
      <c r="I730" s="10"/>
    </row>
    <row r="731" spans="1:9" ht="23" customHeight="1" x14ac:dyDescent="0.15">
      <c r="A731" s="4" t="s">
        <v>28</v>
      </c>
      <c r="B731" s="6" t="s">
        <v>656</v>
      </c>
      <c r="C731" s="13" t="str">
        <f>SUBSTITUTE(REPLACE(REPLACE(B731,1,IFERROR(FIND("//",B731,1)+1,0),"")&amp;"/",FIND("/",REPLACE(B731,1,IFERROR(FIND("//",B731,1)+1,0),"")&amp;"/",1),LEN(B731),""),"www.","",1)</f>
        <v>wohlsitzen.biz</v>
      </c>
      <c r="D731" s="13">
        <f>COUNTIF($C$2:$C$801,C731)</f>
        <v>1</v>
      </c>
      <c r="E731" s="10" t="s">
        <v>635</v>
      </c>
      <c r="F731" s="4"/>
      <c r="G731" s="31" t="s">
        <v>4</v>
      </c>
      <c r="H731" s="31" t="s">
        <v>965</v>
      </c>
      <c r="I731" s="10" t="s">
        <v>977</v>
      </c>
    </row>
    <row r="732" spans="1:9" ht="23" customHeight="1" x14ac:dyDescent="0.15">
      <c r="A732" s="4" t="s">
        <v>28</v>
      </c>
      <c r="B732" s="6" t="s">
        <v>660</v>
      </c>
      <c r="C732" s="13" t="str">
        <f>SUBSTITUTE(REPLACE(REPLACE(B732,1,IFERROR(FIND("//",B732,1)+1,0),"")&amp;"/",FIND("/",REPLACE(B732,1,IFERROR(FIND("//",B732,1)+1,0),"")&amp;"/",1),LEN(B732),""),"www.","",1)</f>
        <v>wohlsitzen.com</v>
      </c>
      <c r="D732" s="13">
        <f>COUNTIF($C$2:$C$801,C732)</f>
        <v>1</v>
      </c>
      <c r="E732" s="10" t="s">
        <v>635</v>
      </c>
      <c r="F732" s="4"/>
      <c r="G732" s="31" t="s">
        <v>4</v>
      </c>
      <c r="H732" s="31" t="s">
        <v>965</v>
      </c>
      <c r="I732" s="10" t="s">
        <v>977</v>
      </c>
    </row>
    <row r="733" spans="1:9" ht="23" customHeight="1" x14ac:dyDescent="0.15">
      <c r="A733" s="4" t="s">
        <v>28</v>
      </c>
      <c r="B733" s="6" t="s">
        <v>104</v>
      </c>
      <c r="C733" s="13" t="str">
        <f>SUBSTITUTE(REPLACE(REPLACE(B733,1,IFERROR(FIND("//",B733,1)+1,0),"")&amp;"/",FIND("/",REPLACE(B733,1,IFERROR(FIND("//",B733,1)+1,0),"")&amp;"/",1),LEN(B733),""),"www.","",1)</f>
        <v>wohlsitzen.de</v>
      </c>
      <c r="D733" s="13">
        <f>COUNTIF($C$2:$C$801,C733)</f>
        <v>1</v>
      </c>
      <c r="E733" s="10" t="s">
        <v>14</v>
      </c>
      <c r="F733" s="4"/>
      <c r="G733" s="31" t="s">
        <v>4</v>
      </c>
      <c r="H733" s="31" t="s">
        <v>965</v>
      </c>
      <c r="I733" s="10" t="s">
        <v>977</v>
      </c>
    </row>
    <row r="734" spans="1:9" ht="23" customHeight="1" x14ac:dyDescent="0.15">
      <c r="A734" s="4" t="s">
        <v>28</v>
      </c>
      <c r="B734" s="6" t="s">
        <v>676</v>
      </c>
      <c r="C734" s="13" t="str">
        <f>SUBSTITUTE(REPLACE(REPLACE(B734,1,IFERROR(FIND("//",B734,1)+1,0),"")&amp;"/",FIND("/",REPLACE(B734,1,IFERROR(FIND("//",B734,1)+1,0),"")&amp;"/",1),LEN(B734),""),"www.","",1)</f>
        <v>wohlsitzen.eu</v>
      </c>
      <c r="D734" s="13">
        <f>COUNTIF($C$2:$C$801,C734)</f>
        <v>1</v>
      </c>
      <c r="E734" s="10" t="s">
        <v>635</v>
      </c>
      <c r="F734" s="4"/>
      <c r="G734" s="31" t="s">
        <v>4</v>
      </c>
      <c r="H734" s="31" t="s">
        <v>965</v>
      </c>
      <c r="I734" s="10" t="s">
        <v>977</v>
      </c>
    </row>
    <row r="735" spans="1:9" ht="23" customHeight="1" x14ac:dyDescent="0.15">
      <c r="A735" s="4" t="s">
        <v>28</v>
      </c>
      <c r="B735" s="6" t="s">
        <v>679</v>
      </c>
      <c r="C735" s="13" t="str">
        <f>SUBSTITUTE(REPLACE(REPLACE(B735,1,IFERROR(FIND("//",B735,1)+1,0),"")&amp;"/",FIND("/",REPLACE(B735,1,IFERROR(FIND("//",B735,1)+1,0),"")&amp;"/",1),LEN(B735),""),"www.","",1)</f>
        <v>wohlsitzen.info</v>
      </c>
      <c r="D735" s="13">
        <f>COUNTIF($C$2:$C$801,C735)</f>
        <v>1</v>
      </c>
      <c r="E735" s="10" t="s">
        <v>635</v>
      </c>
      <c r="F735" s="4"/>
      <c r="G735" s="31" t="s">
        <v>4</v>
      </c>
      <c r="H735" s="31" t="s">
        <v>965</v>
      </c>
      <c r="I735" s="10" t="s">
        <v>977</v>
      </c>
    </row>
    <row r="736" spans="1:9" ht="23" customHeight="1" x14ac:dyDescent="0.15">
      <c r="A736" s="4" t="s">
        <v>28</v>
      </c>
      <c r="B736" s="6" t="s">
        <v>682</v>
      </c>
      <c r="C736" s="13" t="str">
        <f>SUBSTITUTE(REPLACE(REPLACE(B736,1,IFERROR(FIND("//",B736,1)+1,0),"")&amp;"/",FIND("/",REPLACE(B736,1,IFERROR(FIND("//",B736,1)+1,0),"")&amp;"/",1),LEN(B736),""),"www.","",1)</f>
        <v>wohlsitzen.net</v>
      </c>
      <c r="D736" s="13">
        <f>COUNTIF($C$2:$C$801,C736)</f>
        <v>1</v>
      </c>
      <c r="E736" s="10" t="s">
        <v>635</v>
      </c>
      <c r="F736" s="4"/>
      <c r="G736" s="31" t="s">
        <v>4</v>
      </c>
      <c r="H736" s="31" t="s">
        <v>965</v>
      </c>
      <c r="I736" s="10" t="s">
        <v>977</v>
      </c>
    </row>
    <row r="737" spans="1:9" ht="23" customHeight="1" x14ac:dyDescent="0.15">
      <c r="A737" s="4" t="s">
        <v>28</v>
      </c>
      <c r="B737" s="6" t="s">
        <v>685</v>
      </c>
      <c r="C737" s="13" t="str">
        <f>SUBSTITUTE(REPLACE(REPLACE(B737,1,IFERROR(FIND("//",B737,1)+1,0),"")&amp;"/",FIND("/",REPLACE(B737,1,IFERROR(FIND("//",B737,1)+1,0),"")&amp;"/",1),LEN(B737),""),"www.","",1)</f>
        <v>wohlsitzen.org</v>
      </c>
      <c r="D737" s="13">
        <f>COUNTIF($C$2:$C$801,C737)</f>
        <v>1</v>
      </c>
      <c r="E737" s="10" t="s">
        <v>635</v>
      </c>
      <c r="F737" s="4"/>
      <c r="G737" s="31" t="s">
        <v>4</v>
      </c>
      <c r="H737" s="31" t="s">
        <v>965</v>
      </c>
      <c r="I737" s="10" t="s">
        <v>977</v>
      </c>
    </row>
    <row r="738" spans="1:9" ht="23" customHeight="1" x14ac:dyDescent="0.15">
      <c r="A738" s="4" t="s">
        <v>28</v>
      </c>
      <c r="B738" s="6" t="s">
        <v>850</v>
      </c>
      <c r="C738" s="13" t="str">
        <f>SUBSTITUTE(REPLACE(REPLACE(B738,1,IFERROR(FIND("//",B738,1)+1,0),"")&amp;"/",FIND("/",REPLACE(B738,1,IFERROR(FIND("//",B738,1)+1,0),"")&amp;"/",1),LEN(B738),""),"www.","",1)</f>
        <v>wohndesign.ultradelarue.com</v>
      </c>
      <c r="D738" s="13">
        <f>COUNTIF($C$2:$C$801,C738)</f>
        <v>1</v>
      </c>
      <c r="E738" s="10" t="s">
        <v>920</v>
      </c>
      <c r="F738" s="4" t="s">
        <v>730</v>
      </c>
      <c r="G738" s="31" t="s">
        <v>5</v>
      </c>
      <c r="H738" s="31" t="s">
        <v>965</v>
      </c>
      <c r="I738" s="10" t="s">
        <v>981</v>
      </c>
    </row>
    <row r="739" spans="1:9" ht="23" customHeight="1" x14ac:dyDescent="0.15">
      <c r="A739" s="4" t="s">
        <v>28</v>
      </c>
      <c r="B739" s="6" t="s">
        <v>937</v>
      </c>
      <c r="C739" s="13" t="str">
        <f>SUBSTITUTE(REPLACE(REPLACE(B739,1,IFERROR(FIND("//",B739,1)+1,0),"")&amp;"/",FIND("/",REPLACE(B739,1,IFERROR(FIND("//",B739,1)+1,0),"")&amp;"/",1),LEN(B739),""),"www.","",1)</f>
        <v>wohndesignes.blogspot.com</v>
      </c>
      <c r="D739" s="13">
        <f>COUNTIF($C$2:$C$801,C739)</f>
        <v>1</v>
      </c>
      <c r="E739" s="10" t="s">
        <v>630</v>
      </c>
      <c r="F739" s="4" t="s">
        <v>730</v>
      </c>
      <c r="G739" s="31" t="s">
        <v>6</v>
      </c>
      <c r="H739" s="31" t="s">
        <v>970</v>
      </c>
      <c r="I739" s="16" t="s">
        <v>985</v>
      </c>
    </row>
    <row r="740" spans="1:9" ht="23" customHeight="1" x14ac:dyDescent="0.15">
      <c r="A740" s="4" t="s">
        <v>28</v>
      </c>
      <c r="B740" s="6" t="s">
        <v>938</v>
      </c>
      <c r="C740" s="13" t="str">
        <f>SUBSTITUTE(REPLACE(REPLACE(B740,1,IFERROR(FIND("//",B740,1)+1,0),"")&amp;"/",FIND("/",REPLACE(B740,1,IFERROR(FIND("//",B740,1)+1,0),"")&amp;"/",1),LEN(B740),""),"www.","",1)</f>
        <v>wohndesignlove.blogspot.com</v>
      </c>
      <c r="D740" s="13">
        <f>COUNTIF($C$2:$C$801,C740)</f>
        <v>1</v>
      </c>
      <c r="E740" s="10" t="s">
        <v>630</v>
      </c>
      <c r="F740" s="4" t="s">
        <v>730</v>
      </c>
      <c r="G740" s="31" t="s">
        <v>6</v>
      </c>
      <c r="H740" s="31" t="s">
        <v>970</v>
      </c>
      <c r="I740" s="16" t="s">
        <v>985</v>
      </c>
    </row>
    <row r="741" spans="1:9" ht="23" customHeight="1" x14ac:dyDescent="0.15">
      <c r="A741" s="4" t="s">
        <v>28</v>
      </c>
      <c r="B741" s="6" t="s">
        <v>280</v>
      </c>
      <c r="C741" s="35" t="str">
        <f>SUBSTITUTE(REPLACE(REPLACE(B741,1,IFERROR(FIND("//",B741,1)+1,0),"")&amp;"/",FIND("/",REPLACE(B741,1,IFERROR(FIND("//",B741,1)+1,0),"")&amp;"/",1),LEN(B741),""),"www.","",1)</f>
        <v>wohnen-einrichten.de</v>
      </c>
      <c r="D741" s="13">
        <f>COUNTIF($C$2:$C$801,C741)</f>
        <v>1</v>
      </c>
      <c r="E741" s="10" t="s">
        <v>237</v>
      </c>
      <c r="F741" s="4" t="s">
        <v>733</v>
      </c>
      <c r="G741" s="31" t="s">
        <v>4</v>
      </c>
      <c r="H741" s="31" t="s">
        <v>965</v>
      </c>
      <c r="I741" s="10" t="s">
        <v>977</v>
      </c>
    </row>
    <row r="742" spans="1:9" ht="23" customHeight="1" x14ac:dyDescent="0.15">
      <c r="A742" s="4" t="s">
        <v>28</v>
      </c>
      <c r="B742" s="6" t="s">
        <v>584</v>
      </c>
      <c r="C742" s="13" t="str">
        <f>SUBSTITUTE(REPLACE(REPLACE(B742,1,IFERROR(FIND("//",B742,1)+1,0),"")&amp;"/",FIND("/",REPLACE(B742,1,IFERROR(FIND("//",B742,1)+1,0),"")&amp;"/",1),LEN(B742),""),"www.","",1)</f>
        <v>wohninsider.at</v>
      </c>
      <c r="D742" s="13">
        <f>COUNTIF($C$2:$C$801,C742)</f>
        <v>2</v>
      </c>
      <c r="E742" s="10" t="s">
        <v>237</v>
      </c>
      <c r="F742" s="4" t="s">
        <v>731</v>
      </c>
      <c r="G742" s="31" t="s">
        <v>4</v>
      </c>
      <c r="H742" s="31" t="s">
        <v>965</v>
      </c>
      <c r="I742" s="10" t="s">
        <v>977</v>
      </c>
    </row>
    <row r="743" spans="1:9" ht="23" customHeight="1" x14ac:dyDescent="0.15">
      <c r="A743" s="4" t="s">
        <v>28</v>
      </c>
      <c r="B743" s="6" t="s">
        <v>257</v>
      </c>
      <c r="C743" s="13" t="str">
        <f>SUBSTITUTE(REPLACE(REPLACE(B743,1,IFERROR(FIND("//",B743,1)+1,0),"")&amp;"/",FIND("/",REPLACE(B743,1,IFERROR(FIND("//",B743,1)+1,0),"")&amp;"/",1),LEN(B743),""),"www.","",1)</f>
        <v>wohninsider.at</v>
      </c>
      <c r="D743" s="13">
        <f>COUNTIF($C$2:$C$801,C743)</f>
        <v>2</v>
      </c>
      <c r="E743" s="10" t="s">
        <v>237</v>
      </c>
      <c r="F743" s="4" t="s">
        <v>731</v>
      </c>
      <c r="G743" s="31" t="s">
        <v>4</v>
      </c>
      <c r="H743" s="31" t="s">
        <v>965</v>
      </c>
      <c r="I743" s="10" t="s">
        <v>977</v>
      </c>
    </row>
    <row r="744" spans="1:9" ht="23" customHeight="1" x14ac:dyDescent="0.15">
      <c r="A744" s="4" t="s">
        <v>28</v>
      </c>
      <c r="B744" s="6" t="s">
        <v>822</v>
      </c>
      <c r="C744" s="13" t="str">
        <f>SUBSTITUTE(REPLACE(REPLACE(B744,1,IFERROR(FIND("//",B744,1)+1,0),"")&amp;"/",FIND("/",REPLACE(B744,1,IFERROR(FIND("//",B744,1)+1,0),"")&amp;"/",1),LEN(B744),""),"www.","",1)</f>
        <v>wohnkultur.netlify.app</v>
      </c>
      <c r="D744" s="13">
        <f>COUNTIF($C$2:$C$801,C744)</f>
        <v>1</v>
      </c>
      <c r="E744" s="10" t="s">
        <v>920</v>
      </c>
      <c r="F744" s="4" t="s">
        <v>730</v>
      </c>
      <c r="G744" s="31" t="s">
        <v>5</v>
      </c>
      <c r="H744" s="31" t="s">
        <v>965</v>
      </c>
      <c r="I744" s="10" t="s">
        <v>981</v>
      </c>
    </row>
    <row r="745" spans="1:9" ht="23" customHeight="1" x14ac:dyDescent="0.15">
      <c r="A745" s="4" t="s">
        <v>28</v>
      </c>
      <c r="B745" s="6" t="s">
        <v>939</v>
      </c>
      <c r="C745" s="13" t="str">
        <f>SUBSTITUTE(REPLACE(REPLACE(B745,1,IFERROR(FIND("//",B745,1)+1,0),"")&amp;"/",FIND("/",REPLACE(B745,1,IFERROR(FIND("//",B745,1)+1,0),"")&amp;"/",1),LEN(B745),""),"www.","",1)</f>
        <v>wohnkulturdesign.blogspot.com</v>
      </c>
      <c r="D745" s="13">
        <f>COUNTIF($C$2:$C$801,C745)</f>
        <v>1</v>
      </c>
      <c r="E745" s="10" t="s">
        <v>630</v>
      </c>
      <c r="F745" s="4" t="s">
        <v>730</v>
      </c>
      <c r="G745" s="31" t="s">
        <v>6</v>
      </c>
      <c r="H745" s="31" t="s">
        <v>970</v>
      </c>
      <c r="I745" s="16" t="s">
        <v>985</v>
      </c>
    </row>
    <row r="746" spans="1:9" ht="23" customHeight="1" x14ac:dyDescent="0.15">
      <c r="A746" s="4" t="s">
        <v>28</v>
      </c>
      <c r="B746" s="6" t="s">
        <v>940</v>
      </c>
      <c r="C746" s="13" t="str">
        <f>SUBSTITUTE(REPLACE(REPLACE(B746,1,IFERROR(FIND("//",B746,1)+1,0),"")&amp;"/",FIND("/",REPLACE(B746,1,IFERROR(FIND("//",B746,1)+1,0),"")&amp;"/",1),LEN(B746),""),"www.","",1)</f>
        <v>wohnungdesignideas.blogspot.com</v>
      </c>
      <c r="D746" s="13">
        <f>COUNTIF($C$2:$C$801,C746)</f>
        <v>1</v>
      </c>
      <c r="E746" s="10" t="s">
        <v>630</v>
      </c>
      <c r="F746" s="4" t="s">
        <v>730</v>
      </c>
      <c r="G746" s="31" t="s">
        <v>6</v>
      </c>
      <c r="H746" s="31" t="s">
        <v>970</v>
      </c>
      <c r="I746" s="16" t="s">
        <v>985</v>
      </c>
    </row>
    <row r="747" spans="1:9" ht="23" customHeight="1" x14ac:dyDescent="0.15">
      <c r="A747" s="4" t="s">
        <v>28</v>
      </c>
      <c r="B747" s="6" t="s">
        <v>518</v>
      </c>
      <c r="C747" s="13" t="str">
        <f>SUBSTITUTE(REPLACE(REPLACE(B747,1,IFERROR(FIND("//",B747,1)+1,0),"")&amp;"/",FIND("/",REPLACE(B747,1,IFERROR(FIND("//",B747,1)+1,0),"")&amp;"/",1),LEN(B747),""),"www.","",1)</f>
        <v>woodenhome101.com</v>
      </c>
      <c r="D747" s="13">
        <f>COUNTIF($C$2:$C$801,C747)</f>
        <v>1</v>
      </c>
      <c r="E747" s="10" t="s">
        <v>519</v>
      </c>
      <c r="F747" s="4" t="s">
        <v>730</v>
      </c>
      <c r="G747" s="31" t="s">
        <v>5</v>
      </c>
      <c r="H747" s="31" t="s">
        <v>965</v>
      </c>
      <c r="I747" s="10" t="s">
        <v>981</v>
      </c>
    </row>
    <row r="748" spans="1:9" ht="23" customHeight="1" x14ac:dyDescent="0.15">
      <c r="A748" s="4" t="s">
        <v>28</v>
      </c>
      <c r="B748" s="6" t="s">
        <v>520</v>
      </c>
      <c r="C748" s="13" t="str">
        <f>SUBSTITUTE(REPLACE(REPLACE(B748,1,IFERROR(FIND("//",B748,1)+1,0),"")&amp;"/",FIND("/",REPLACE(B748,1,IFERROR(FIND("//",B748,1)+1,0),"")&amp;"/",1),LEN(B748),""),"www.","",1)</f>
        <v>workandrelax.de</v>
      </c>
      <c r="D748" s="13">
        <f>COUNTIF($C$2:$C$801,C748)</f>
        <v>1</v>
      </c>
      <c r="E748" s="10" t="s">
        <v>241</v>
      </c>
      <c r="F748" s="4" t="s">
        <v>729</v>
      </c>
      <c r="G748" s="31" t="s">
        <v>4</v>
      </c>
      <c r="H748" s="31" t="s">
        <v>965</v>
      </c>
      <c r="I748" s="10" t="s">
        <v>977</v>
      </c>
    </row>
    <row r="749" spans="1:9" ht="23" customHeight="1" x14ac:dyDescent="0.15">
      <c r="A749" s="4" t="s">
        <v>28</v>
      </c>
      <c r="B749" s="6" t="s">
        <v>1035</v>
      </c>
      <c r="C749" s="13" t="str">
        <f>SUBSTITUTE(REPLACE(REPLACE(B749,1,IFERROR(FIND("//",B749,1)+1,0),"")&amp;"/",FIND("/",REPLACE(B749,1,IFERROR(FIND("//",B749,1)+1,0),"")&amp;"/",1),LEN(B749),""),"www.","",1)</f>
        <v>worldranksite.com</v>
      </c>
      <c r="D749" s="13">
        <f>COUNTIF($C$2:$C$801,C749)</f>
        <v>1</v>
      </c>
      <c r="E749" s="10" t="s">
        <v>928</v>
      </c>
      <c r="F749" s="4" t="s">
        <v>730</v>
      </c>
      <c r="G749" s="31" t="s">
        <v>6</v>
      </c>
      <c r="H749" s="31" t="s">
        <v>1084</v>
      </c>
      <c r="I749" s="10"/>
    </row>
    <row r="750" spans="1:9" ht="23" customHeight="1" x14ac:dyDescent="0.15">
      <c r="A750" s="4" t="s">
        <v>28</v>
      </c>
      <c r="B750" s="6" t="s">
        <v>943</v>
      </c>
      <c r="C750" s="13" t="str">
        <f>SUBSTITUTE(REPLACE(REPLACE(B750,1,IFERROR(FIND("//",B750,1)+1,0),"")&amp;"/",FIND("/",REPLACE(B750,1,IFERROR(FIND("//",B750,1)+1,0),"")&amp;"/",1),LEN(B750),""),"www.","",1)</f>
        <v>worldwidetopsite.com</v>
      </c>
      <c r="D750" s="13">
        <f>COUNTIF($C$2:$C$801,C750)</f>
        <v>1</v>
      </c>
      <c r="E750" s="10" t="s">
        <v>928</v>
      </c>
      <c r="F750" s="4" t="s">
        <v>730</v>
      </c>
      <c r="G750" s="31" t="s">
        <v>5</v>
      </c>
      <c r="H750" s="31" t="s">
        <v>965</v>
      </c>
      <c r="I750" s="10" t="s">
        <v>981</v>
      </c>
    </row>
    <row r="751" spans="1:9" ht="23" customHeight="1" x14ac:dyDescent="0.15">
      <c r="A751" s="4" t="s">
        <v>28</v>
      </c>
      <c r="B751" s="6" t="s">
        <v>200</v>
      </c>
      <c r="C751" s="13" t="str">
        <f>SUBSTITUTE(REPLACE(REPLACE(B751,1,IFERROR(FIND("//",B751,1)+1,0),"")&amp;"/",FIND("/",REPLACE(B751,1,IFERROR(FIND("//",B751,1)+1,0),"")&amp;"/",1),LEN(B751),""),"www.","",1)</f>
        <v>wortundidee.de</v>
      </c>
      <c r="D751" s="13">
        <f>COUNTIF($C$2:$C$801,C751)</f>
        <v>1</v>
      </c>
      <c r="E751" s="10" t="s">
        <v>237</v>
      </c>
      <c r="F751" s="4" t="s">
        <v>733</v>
      </c>
      <c r="G751" s="31" t="s">
        <v>5</v>
      </c>
      <c r="H751" s="31" t="s">
        <v>965</v>
      </c>
      <c r="I751" s="10" t="s">
        <v>981</v>
      </c>
    </row>
    <row r="752" spans="1:9" ht="23" customHeight="1" x14ac:dyDescent="0.15">
      <c r="A752" s="4" t="s">
        <v>28</v>
      </c>
      <c r="B752" s="6" t="s">
        <v>226</v>
      </c>
      <c r="C752" s="13" t="str">
        <f>SUBSTITUTE(REPLACE(REPLACE(B752,1,IFERROR(FIND("//",B752,1)+1,0),"")&amp;"/",FIND("/",REPLACE(B752,1,IFERROR(FIND("//",B752,1)+1,0),"")&amp;"/",1),LEN(B752),""),"www.","",1)</f>
        <v>wortwolke.de</v>
      </c>
      <c r="D752" s="13">
        <f>COUNTIF($C$2:$C$801,C752)</f>
        <v>1</v>
      </c>
      <c r="E752" s="10" t="s">
        <v>703</v>
      </c>
      <c r="F752" s="4"/>
      <c r="G752" s="31" t="s">
        <v>5</v>
      </c>
      <c r="H752" s="31" t="s">
        <v>965</v>
      </c>
      <c r="I752" s="10" t="s">
        <v>981</v>
      </c>
    </row>
    <row r="753" spans="1:9" ht="23" customHeight="1" x14ac:dyDescent="0.15">
      <c r="A753" s="4" t="s">
        <v>28</v>
      </c>
      <c r="B753" s="6" t="s">
        <v>824</v>
      </c>
      <c r="C753" s="13" t="str">
        <f>SUBSTITUTE(REPLACE(REPLACE(B753,1,IFERROR(FIND("//",B753,1)+1,0),"")&amp;"/",FIND("/",REPLACE(B753,1,IFERROR(FIND("//",B753,1)+1,0),"")&amp;"/",1),LEN(B753),""),"www.","",1)</f>
        <v>ww2-bank.netlify.app</v>
      </c>
      <c r="D753" s="13">
        <f>COUNTIF($C$2:$C$801,C753)</f>
        <v>1</v>
      </c>
      <c r="E753" s="10" t="s">
        <v>922</v>
      </c>
      <c r="F753" s="4" t="s">
        <v>730</v>
      </c>
      <c r="G753" s="31" t="s">
        <v>5</v>
      </c>
      <c r="H753" s="31" t="s">
        <v>965</v>
      </c>
      <c r="I753" s="10" t="s">
        <v>981</v>
      </c>
    </row>
    <row r="754" spans="1:9" ht="23" customHeight="1" x14ac:dyDescent="0.15">
      <c r="A754" s="4" t="s">
        <v>28</v>
      </c>
      <c r="B754" s="6" t="s">
        <v>458</v>
      </c>
      <c r="C754" s="13" t="str">
        <f>SUBSTITUTE(REPLACE(REPLACE(B754,1,IFERROR(FIND("//",B754,1)+1,0),"")&amp;"/",FIND("/",REPLACE(B754,1,IFERROR(FIND("//",B754,1)+1,0),"")&amp;"/",1),LEN(B754),""),"www.","",1)</f>
        <v>ww30.antitheists.co.uk</v>
      </c>
      <c r="D754" s="13">
        <f>COUNTIF($C$2:$C$801,C754)</f>
        <v>1</v>
      </c>
      <c r="E754" s="10" t="s">
        <v>427</v>
      </c>
      <c r="F754" s="4"/>
      <c r="G754" s="31" t="s">
        <v>5</v>
      </c>
      <c r="H754" s="31" t="s">
        <v>965</v>
      </c>
      <c r="I754" s="10" t="s">
        <v>981</v>
      </c>
    </row>
    <row r="755" spans="1:9" ht="23" customHeight="1" x14ac:dyDescent="0.15">
      <c r="A755" s="4" t="s">
        <v>28</v>
      </c>
      <c r="B755" s="6" t="s">
        <v>230</v>
      </c>
      <c r="C755" s="13" t="str">
        <f>SUBSTITUTE(REPLACE(REPLACE(B755,1,IFERROR(FIND("//",B755,1)+1,0),"")&amp;"/",FIND("/",REPLACE(B755,1,IFERROR(FIND("//",B755,1)+1,0),"")&amp;"/",1),LEN(B755),""),"www.","",1)</f>
        <v>xing.com</v>
      </c>
      <c r="D755" s="13">
        <f>COUNTIF($C$2:$C$801,C755)</f>
        <v>2</v>
      </c>
      <c r="E755" s="10" t="s">
        <v>726</v>
      </c>
      <c r="F755" s="4"/>
      <c r="G755" s="31" t="s">
        <v>5</v>
      </c>
      <c r="H755" s="31" t="s">
        <v>965</v>
      </c>
      <c r="I755" s="10" t="s">
        <v>981</v>
      </c>
    </row>
    <row r="756" spans="1:9" ht="23" customHeight="1" x14ac:dyDescent="0.15">
      <c r="A756" s="4" t="s">
        <v>28</v>
      </c>
      <c r="B756" s="6" t="s">
        <v>187</v>
      </c>
      <c r="C756" s="13" t="str">
        <f>SUBSTITUTE(REPLACE(REPLACE(B756,1,IFERROR(FIND("//",B756,1)+1,0),"")&amp;"/",FIND("/",REPLACE(B756,1,IFERROR(FIND("//",B756,1)+1,0),"")&amp;"/",1),LEN(B756),""),"www.","",1)</f>
        <v>xing.com</v>
      </c>
      <c r="D756" s="13">
        <f>COUNTIF($C$2:$C$801,C756)</f>
        <v>2</v>
      </c>
      <c r="E756" s="10" t="s">
        <v>715</v>
      </c>
      <c r="F756" s="4" t="s">
        <v>13</v>
      </c>
      <c r="G756" s="31" t="s">
        <v>10</v>
      </c>
      <c r="H756" s="31" t="s">
        <v>966</v>
      </c>
      <c r="I756" s="10" t="s">
        <v>978</v>
      </c>
    </row>
    <row r="757" spans="1:9" ht="23" customHeight="1" x14ac:dyDescent="0.15">
      <c r="A757" s="4" t="s">
        <v>28</v>
      </c>
      <c r="B757" s="6" t="s">
        <v>521</v>
      </c>
      <c r="C757" s="13" t="str">
        <f>SUBSTITUTE(REPLACE(REPLACE(B757,1,IFERROR(FIND("//",B757,1)+1,0),"")&amp;"/",FIND("/",REPLACE(B757,1,IFERROR(FIND("//",B757,1)+1,0),"")&amp;"/",1),LEN(B757),""),"www.","",1)</f>
        <v>xn--bewegtes-bro-mlb.com</v>
      </c>
      <c r="D757" s="13">
        <f>COUNTIF($C$2:$C$801,C757)</f>
        <v>1</v>
      </c>
      <c r="E757" s="10" t="s">
        <v>237</v>
      </c>
      <c r="F757" s="4"/>
      <c r="G757" s="31" t="s">
        <v>5</v>
      </c>
      <c r="H757" s="31" t="s">
        <v>965</v>
      </c>
      <c r="I757" s="10" t="s">
        <v>981</v>
      </c>
    </row>
    <row r="758" spans="1:9" ht="23" customHeight="1" x14ac:dyDescent="0.15">
      <c r="A758" s="4" t="s">
        <v>28</v>
      </c>
      <c r="B758" s="6" t="s">
        <v>117</v>
      </c>
      <c r="C758" s="13" t="str">
        <f>SUBSTITUTE(REPLACE(REPLACE(B758,1,IFERROR(FIND("//",B758,1)+1,0),"")&amp;"/",FIND("/",REPLACE(B758,1,IFERROR(FIND("//",B758,1)+1,0),"")&amp;"/",1),LEN(B758),""),"www.","",1)</f>
        <v>xn--bewegtes-bro-mlb.de</v>
      </c>
      <c r="D758" s="13">
        <f>COUNTIF($C$2:$C$801,C758)</f>
        <v>1</v>
      </c>
      <c r="E758" s="10" t="s">
        <v>237</v>
      </c>
      <c r="F758" s="4"/>
      <c r="G758" s="31" t="s">
        <v>5</v>
      </c>
      <c r="H758" s="31" t="s">
        <v>965</v>
      </c>
      <c r="I758" s="10" t="s">
        <v>981</v>
      </c>
    </row>
    <row r="759" spans="1:9" ht="23" customHeight="1" x14ac:dyDescent="0.15">
      <c r="A759" s="4" t="s">
        <v>28</v>
      </c>
      <c r="B759" s="6" t="s">
        <v>522</v>
      </c>
      <c r="C759" s="13" t="str">
        <f>SUBSTITUTE(REPLACE(REPLACE(B759,1,IFERROR(FIND("//",B759,1)+1,0),"")&amp;"/",FIND("/",REPLACE(B759,1,IFERROR(FIND("//",B759,1)+1,0),"")&amp;"/",1),LEN(B759),""),"www.","",1)</f>
        <v>xn--bewegtesbro-1hb.com</v>
      </c>
      <c r="D759" s="13">
        <f>COUNTIF($C$2:$C$801,C759)</f>
        <v>1</v>
      </c>
      <c r="E759" s="10" t="s">
        <v>237</v>
      </c>
      <c r="F759" s="4"/>
      <c r="G759" s="31" t="s">
        <v>5</v>
      </c>
      <c r="H759" s="31" t="s">
        <v>965</v>
      </c>
      <c r="I759" s="10" t="s">
        <v>981</v>
      </c>
    </row>
    <row r="760" spans="1:9" ht="23" customHeight="1" x14ac:dyDescent="0.15">
      <c r="A760" s="4" t="s">
        <v>28</v>
      </c>
      <c r="B760" s="6" t="s">
        <v>116</v>
      </c>
      <c r="C760" s="13" t="str">
        <f>SUBSTITUTE(REPLACE(REPLACE(B760,1,IFERROR(FIND("//",B760,1)+1,0),"")&amp;"/",FIND("/",REPLACE(B760,1,IFERROR(FIND("//",B760,1)+1,0),"")&amp;"/",1),LEN(B760),""),"www.","",1)</f>
        <v>xn--bewegtesbro-1hb.de</v>
      </c>
      <c r="D760" s="13">
        <f>COUNTIF($C$2:$C$801,C760)</f>
        <v>1</v>
      </c>
      <c r="E760" s="10" t="s">
        <v>237</v>
      </c>
      <c r="F760" s="4"/>
      <c r="G760" s="31" t="s">
        <v>5</v>
      </c>
      <c r="H760" s="31" t="s">
        <v>965</v>
      </c>
      <c r="I760" s="10" t="s">
        <v>981</v>
      </c>
    </row>
    <row r="761" spans="1:9" ht="23" customHeight="1" x14ac:dyDescent="0.15">
      <c r="A761" s="4" t="s">
        <v>28</v>
      </c>
      <c r="B761" s="6" t="s">
        <v>146</v>
      </c>
      <c r="C761" s="13" t="str">
        <f>SUBSTITUTE(REPLACE(REPLACE(B761,1,IFERROR(FIND("//",B761,1)+1,0),"")&amp;"/",FIND("/",REPLACE(B761,1,IFERROR(FIND("//",B761,1)+1,0),"")&amp;"/",1),LEN(B761),""),"www.","",1)</f>
        <v>xn--bro-ambiente-dlb.com</v>
      </c>
      <c r="D761" s="13">
        <f>COUNTIF($C$2:$C$801,C761)</f>
        <v>1</v>
      </c>
      <c r="E761" s="10" t="s">
        <v>14</v>
      </c>
      <c r="F761" s="4"/>
      <c r="G761" s="31" t="s">
        <v>5</v>
      </c>
      <c r="H761" s="31" t="s">
        <v>965</v>
      </c>
      <c r="I761" s="10" t="s">
        <v>981</v>
      </c>
    </row>
    <row r="762" spans="1:9" ht="23" customHeight="1" x14ac:dyDescent="0.15">
      <c r="A762" s="4" t="s">
        <v>28</v>
      </c>
      <c r="B762" s="6" t="s">
        <v>145</v>
      </c>
      <c r="C762" s="13" t="str">
        <f>SUBSTITUTE(REPLACE(REPLACE(B762,1,IFERROR(FIND("//",B762,1)+1,0),"")&amp;"/",FIND("/",REPLACE(B762,1,IFERROR(FIND("//",B762,1)+1,0),"")&amp;"/",1),LEN(B762),""),"www.","",1)</f>
        <v>xn--bro-ambiente-dlb.de</v>
      </c>
      <c r="D762" s="13">
        <f>COUNTIF($C$2:$C$801,C762)</f>
        <v>1</v>
      </c>
      <c r="E762" s="10" t="s">
        <v>14</v>
      </c>
      <c r="F762" s="4"/>
      <c r="G762" s="31" t="s">
        <v>5</v>
      </c>
      <c r="H762" s="31" t="s">
        <v>965</v>
      </c>
      <c r="I762" s="10" t="s">
        <v>981</v>
      </c>
    </row>
    <row r="763" spans="1:9" ht="23" customHeight="1" x14ac:dyDescent="0.15">
      <c r="A763" s="4" t="s">
        <v>28</v>
      </c>
      <c r="B763" s="6" t="s">
        <v>131</v>
      </c>
      <c r="C763" s="13" t="str">
        <f>SUBSTITUTE(REPLACE(REPLACE(B763,1,IFERROR(FIND("//",B763,1)+1,0),"")&amp;"/",FIND("/",REPLACE(B763,1,IFERROR(FIND("//",B763,1)+1,0),"")&amp;"/",1),LEN(B763),""),"www.","",1)</f>
        <v>xn--bro-ergonomie-wob.com</v>
      </c>
      <c r="D763" s="13">
        <f>COUNTIF($C$2:$C$801,C763)</f>
        <v>1</v>
      </c>
      <c r="E763" s="10" t="s">
        <v>237</v>
      </c>
      <c r="F763" s="4"/>
      <c r="G763" s="31" t="s">
        <v>5</v>
      </c>
      <c r="H763" s="31" t="s">
        <v>965</v>
      </c>
      <c r="I763" s="10" t="s">
        <v>981</v>
      </c>
    </row>
    <row r="764" spans="1:9" ht="23" customHeight="1" x14ac:dyDescent="0.15">
      <c r="A764" s="4" t="s">
        <v>28</v>
      </c>
      <c r="B764" s="6" t="s">
        <v>523</v>
      </c>
      <c r="C764" s="13" t="str">
        <f>SUBSTITUTE(REPLACE(REPLACE(B764,1,IFERROR(FIND("//",B764,1)+1,0),"")&amp;"/",FIND("/",REPLACE(B764,1,IFERROR(FIND("//",B764,1)+1,0),"")&amp;"/",1),LEN(B764),""),"www.","",1)</f>
        <v>xn--bro-ergonomie-wob.de</v>
      </c>
      <c r="D764" s="13">
        <f>COUNTIF($C$2:$C$801,C764)</f>
        <v>1</v>
      </c>
      <c r="E764" s="10" t="s">
        <v>237</v>
      </c>
      <c r="F764" s="4"/>
      <c r="G764" s="31" t="s">
        <v>5</v>
      </c>
      <c r="H764" s="31" t="s">
        <v>965</v>
      </c>
      <c r="I764" s="10" t="s">
        <v>981</v>
      </c>
    </row>
    <row r="765" spans="1:9" ht="23" customHeight="1" x14ac:dyDescent="0.15">
      <c r="A765" s="4" t="s">
        <v>28</v>
      </c>
      <c r="B765" s="6" t="s">
        <v>945</v>
      </c>
      <c r="C765" s="13" t="str">
        <f>SUBSTITUTE(REPLACE(REPLACE(B765,1,IFERROR(FIND("//",B765,1)+1,0),"")&amp;"/",FIND("/",REPLACE(B765,1,IFERROR(FIND("//",B765,1)+1,0),"")&amp;"/",1),LEN(B765),""),"www.","",1)</f>
        <v>xn--bro-jung-65a.de</v>
      </c>
      <c r="D765" s="13">
        <f>COUNTIF($C$2:$C$801,C765)</f>
        <v>1</v>
      </c>
      <c r="E765" s="10" t="s">
        <v>28</v>
      </c>
      <c r="F765" s="4" t="s">
        <v>729</v>
      </c>
      <c r="G765" s="31" t="s">
        <v>5</v>
      </c>
      <c r="H765" s="31" t="s">
        <v>965</v>
      </c>
      <c r="I765" s="10" t="s">
        <v>981</v>
      </c>
    </row>
    <row r="766" spans="1:9" ht="23" customHeight="1" x14ac:dyDescent="0.15">
      <c r="A766" s="4" t="s">
        <v>28</v>
      </c>
      <c r="B766" s="6" t="s">
        <v>144</v>
      </c>
      <c r="C766" s="13" t="str">
        <f>SUBSTITUTE(REPLACE(REPLACE(B766,1,IFERROR(FIND("//",B766,1)+1,0),"")&amp;"/",FIND("/",REPLACE(B766,1,IFERROR(FIND("//",B766,1)+1,0),"")&amp;"/",1),LEN(B766),""),"www.","",1)</f>
        <v>xn--bro-steppe-9db.com</v>
      </c>
      <c r="D766" s="13">
        <f>COUNTIF($C$2:$C$801,C766)</f>
        <v>1</v>
      </c>
      <c r="E766" s="10" t="s">
        <v>14</v>
      </c>
      <c r="F766" s="4"/>
      <c r="G766" s="31" t="s">
        <v>5</v>
      </c>
      <c r="H766" s="31" t="s">
        <v>965</v>
      </c>
      <c r="I766" s="10" t="s">
        <v>981</v>
      </c>
    </row>
    <row r="767" spans="1:9" ht="23" customHeight="1" x14ac:dyDescent="0.15">
      <c r="A767" s="4" t="s">
        <v>28</v>
      </c>
      <c r="B767" s="6" t="s">
        <v>143</v>
      </c>
      <c r="C767" s="13" t="str">
        <f>SUBSTITUTE(REPLACE(REPLACE(B767,1,IFERROR(FIND("//",B767,1)+1,0),"")&amp;"/",FIND("/",REPLACE(B767,1,IFERROR(FIND("//",B767,1)+1,0),"")&amp;"/",1),LEN(B767),""),"www.","",1)</f>
        <v>xn--bro-steppe-9db.de</v>
      </c>
      <c r="D767" s="13">
        <f>COUNTIF($C$2:$C$801,C767)</f>
        <v>1</v>
      </c>
      <c r="E767" s="10" t="s">
        <v>14</v>
      </c>
      <c r="F767" s="4"/>
      <c r="G767" s="31" t="s">
        <v>5</v>
      </c>
      <c r="H767" s="31" t="s">
        <v>965</v>
      </c>
      <c r="I767" s="10" t="s">
        <v>981</v>
      </c>
    </row>
    <row r="768" spans="1:9" ht="23" customHeight="1" x14ac:dyDescent="0.15">
      <c r="A768" s="4" t="s">
        <v>28</v>
      </c>
      <c r="B768" s="6" t="s">
        <v>114</v>
      </c>
      <c r="C768" s="13" t="str">
        <f>SUBSTITUTE(REPLACE(REPLACE(B768,1,IFERROR(FIND("//",B768,1)+1,0),"")&amp;"/",FIND("/",REPLACE(B768,1,IFERROR(FIND("//",B768,1)+1,0),"")&amp;"/",1),LEN(B768),""),"www.","",1)</f>
        <v>xn--broeinrichtung-leipzig-slc.de</v>
      </c>
      <c r="D768" s="13">
        <f>COUNTIF($C$2:$C$801,C768)</f>
        <v>1</v>
      </c>
      <c r="E768" s="10" t="s">
        <v>702</v>
      </c>
      <c r="F768" s="4"/>
      <c r="G768" s="31" t="s">
        <v>5</v>
      </c>
      <c r="H768" s="31" t="s">
        <v>965</v>
      </c>
      <c r="I768" s="10" t="s">
        <v>981</v>
      </c>
    </row>
    <row r="769" spans="1:9" ht="23" customHeight="1" x14ac:dyDescent="0.15">
      <c r="A769" s="4" t="s">
        <v>28</v>
      </c>
      <c r="B769" s="6" t="s">
        <v>125</v>
      </c>
      <c r="C769" s="13" t="str">
        <f>SUBSTITUTE(REPLACE(REPLACE(B769,1,IFERROR(FIND("//",B769,1)+1,0),"")&amp;"/",FIND("/",REPLACE(B769,1,IFERROR(FIND("//",B769,1)+1,0),"")&amp;"/",1),LEN(B769),""),"www.","",1)</f>
        <v>xn--broeinrichtungen-objektmbel-dresden-crd2r.de</v>
      </c>
      <c r="D769" s="13">
        <f>COUNTIF($C$2:$C$801,C769)</f>
        <v>1</v>
      </c>
      <c r="E769" s="10" t="s">
        <v>14</v>
      </c>
      <c r="F769" s="4" t="s">
        <v>729</v>
      </c>
      <c r="G769" s="31" t="s">
        <v>4</v>
      </c>
      <c r="H769" s="31" t="s">
        <v>965</v>
      </c>
      <c r="I769" s="10" t="s">
        <v>977</v>
      </c>
    </row>
    <row r="770" spans="1:9" ht="23" customHeight="1" x14ac:dyDescent="0.15">
      <c r="A770" s="4" t="s">
        <v>28</v>
      </c>
      <c r="B770" s="6" t="s">
        <v>524</v>
      </c>
      <c r="C770" s="13" t="str">
        <f>SUBSTITUTE(REPLACE(REPLACE(B770,1,IFERROR(FIND("//",B770,1)+1,0),"")&amp;"/",FIND("/",REPLACE(B770,1,IFERROR(FIND("//",B770,1)+1,0),"")&amp;"/",1),LEN(B770),""),"www.","",1)</f>
        <v>xn--broeinrichtungen-seidel-cpc.de</v>
      </c>
      <c r="D770" s="13">
        <f>COUNTIF($C$2:$C$801,C770)</f>
        <v>1</v>
      </c>
      <c r="E770" s="10"/>
      <c r="F770" s="4" t="s">
        <v>729</v>
      </c>
      <c r="G770" s="31" t="s">
        <v>4</v>
      </c>
      <c r="H770" s="31" t="s">
        <v>965</v>
      </c>
      <c r="I770" s="10" t="s">
        <v>977</v>
      </c>
    </row>
    <row r="771" spans="1:9" ht="23" customHeight="1" x14ac:dyDescent="0.15">
      <c r="A771" s="4" t="s">
        <v>28</v>
      </c>
      <c r="B771" s="6" t="s">
        <v>525</v>
      </c>
      <c r="C771" s="13" t="str">
        <f>SUBSTITUTE(REPLACE(REPLACE(B771,1,IFERROR(FIND("//",B771,1)+1,0),"")&amp;"/",FIND("/",REPLACE(B771,1,IFERROR(FIND("//",B771,1)+1,0),"")&amp;"/",1),LEN(B771),""),"www.","",1)</f>
        <v>xn--broergonomie-dlb.com</v>
      </c>
      <c r="D771" s="13">
        <f>COUNTIF($C$2:$C$801,C771)</f>
        <v>1</v>
      </c>
      <c r="E771" s="10" t="s">
        <v>237</v>
      </c>
      <c r="F771" s="4"/>
      <c r="G771" s="31" t="s">
        <v>5</v>
      </c>
      <c r="H771" s="31" t="s">
        <v>965</v>
      </c>
      <c r="I771" s="10" t="s">
        <v>981</v>
      </c>
    </row>
    <row r="772" spans="1:9" ht="23" customHeight="1" x14ac:dyDescent="0.15">
      <c r="A772" s="4" t="s">
        <v>28</v>
      </c>
      <c r="B772" s="6" t="s">
        <v>1023</v>
      </c>
      <c r="C772" s="13" t="str">
        <f>SUBSTITUTE(REPLACE(REPLACE(B772,1,IFERROR(FIND("//",B772,1)+1,0),"")&amp;"/",FIND("/",REPLACE(B772,1,IFERROR(FIND("//",B772,1)+1,0),"")&amp;"/",1),LEN(B772),""),"www.","",1)</f>
        <v>xn--dmmersee-65a.eu</v>
      </c>
      <c r="D772" s="13">
        <f>COUNTIF($C$2:$C$801,C772)</f>
        <v>1</v>
      </c>
      <c r="E772" s="10" t="s">
        <v>237</v>
      </c>
      <c r="F772" s="4" t="s">
        <v>25</v>
      </c>
      <c r="G772" s="31" t="s">
        <v>4</v>
      </c>
      <c r="H772" s="31" t="s">
        <v>1084</v>
      </c>
      <c r="I772" s="10"/>
    </row>
    <row r="773" spans="1:9" ht="23" customHeight="1" x14ac:dyDescent="0.15">
      <c r="A773" s="4" t="s">
        <v>28</v>
      </c>
      <c r="B773" s="6" t="s">
        <v>526</v>
      </c>
      <c r="C773" s="13" t="str">
        <f>SUBSTITUTE(REPLACE(REPLACE(B773,1,IFERROR(FIND("//",B773,1)+1,0),"")&amp;"/",FIND("/",REPLACE(B773,1,IFERROR(FIND("//",B773,1)+1,0),"")&amp;"/",1),LEN(B773),""),"www.","",1)</f>
        <v>xn--drehsthl-c6a.de</v>
      </c>
      <c r="D773" s="13">
        <f>COUNTIF($C$2:$C$801,C773)</f>
        <v>1</v>
      </c>
      <c r="E773" s="10" t="s">
        <v>527</v>
      </c>
      <c r="F773" s="4"/>
      <c r="G773" s="31" t="s">
        <v>6</v>
      </c>
      <c r="H773" s="31" t="s">
        <v>971</v>
      </c>
      <c r="I773" s="10" t="s">
        <v>978</v>
      </c>
    </row>
    <row r="774" spans="1:9" ht="23" customHeight="1" x14ac:dyDescent="0.15">
      <c r="A774" s="4" t="s">
        <v>28</v>
      </c>
      <c r="B774" s="6" t="s">
        <v>168</v>
      </c>
      <c r="C774" s="13" t="str">
        <f>SUBSTITUTE(REPLACE(REPLACE(B774,1,IFERROR(FIND("//",B774,1)+1,0),"")&amp;"/",FIND("/",REPLACE(B774,1,IFERROR(FIND("//",B774,1)+1,0),"")&amp;"/",1),LEN(B774),""),"www.","",1)</f>
        <v>xn--gesundesbro-1hb.de</v>
      </c>
      <c r="D774" s="13">
        <f>COUNTIF($C$2:$C$801,C774)</f>
        <v>1</v>
      </c>
      <c r="E774" s="10" t="s">
        <v>698</v>
      </c>
      <c r="F774" s="4"/>
      <c r="G774" s="31" t="s">
        <v>5</v>
      </c>
      <c r="H774" s="31" t="s">
        <v>965</v>
      </c>
      <c r="I774" s="10" t="s">
        <v>981</v>
      </c>
    </row>
    <row r="775" spans="1:9" ht="23" customHeight="1" x14ac:dyDescent="0.15">
      <c r="A775" s="4" t="s">
        <v>28</v>
      </c>
      <c r="B775" s="6" t="s">
        <v>528</v>
      </c>
      <c r="C775" s="13" t="str">
        <f>SUBSTITUTE(REPLACE(REPLACE(B775,1,IFERROR(FIND("//",B775,1)+1,0),"")&amp;"/",FIND("/",REPLACE(B775,1,IFERROR(FIND("//",B775,1)+1,0),"")&amp;"/",1),LEN(B775),""),"www.","",1)</f>
        <v>xn--hds-bro-r2a.de</v>
      </c>
      <c r="D775" s="13">
        <f>COUNTIF($C$2:$C$801,C775)</f>
        <v>1</v>
      </c>
      <c r="E775" s="10"/>
      <c r="F775" s="4" t="s">
        <v>729</v>
      </c>
      <c r="G775" s="31" t="s">
        <v>4</v>
      </c>
      <c r="H775" s="31" t="s">
        <v>965</v>
      </c>
      <c r="I775" s="10" t="s">
        <v>977</v>
      </c>
    </row>
    <row r="776" spans="1:9" ht="23" customHeight="1" x14ac:dyDescent="0.15">
      <c r="A776" s="4" t="s">
        <v>28</v>
      </c>
      <c r="B776" s="6" t="s">
        <v>529</v>
      </c>
      <c r="C776" s="13" t="str">
        <f>SUBSTITUTE(REPLACE(REPLACE(B776,1,IFERROR(FIND("//",B776,1)+1,0),"")&amp;"/",FIND("/",REPLACE(B776,1,IFERROR(FIND("//",B776,1)+1,0),"")&amp;"/",1),LEN(B776),""),"www.","",1)</f>
        <v>xn--hs-bro-6ya.de</v>
      </c>
      <c r="D776" s="13">
        <f>COUNTIF($C$2:$C$801,C776)</f>
        <v>1</v>
      </c>
      <c r="E776" s="10" t="s">
        <v>246</v>
      </c>
      <c r="F776" s="4"/>
      <c r="G776" s="31" t="s">
        <v>5</v>
      </c>
      <c r="H776" s="31" t="s">
        <v>965</v>
      </c>
      <c r="I776" s="10" t="s">
        <v>981</v>
      </c>
    </row>
    <row r="777" spans="1:9" ht="23" customHeight="1" x14ac:dyDescent="0.15">
      <c r="A777" s="4" t="s">
        <v>28</v>
      </c>
      <c r="B777" s="6" t="s">
        <v>811</v>
      </c>
      <c r="C777" s="13" t="str">
        <f>SUBSTITUTE(REPLACE(REPLACE(B777,1,IFERROR(FIND("//",B777,1)+1,0),"")&amp;"/",FIND("/",REPLACE(B777,1,IFERROR(FIND("//",B777,1)+1,0),"")&amp;"/",1),LEN(B777),""),"www.","",1)</f>
        <v>xn--kiefel-broeinrichtung-gic.de</v>
      </c>
      <c r="D777" s="13">
        <f>COUNTIF($C$2:$C$801,C777)</f>
        <v>1</v>
      </c>
      <c r="E777" s="10" t="s">
        <v>916</v>
      </c>
      <c r="F777" s="4" t="s">
        <v>729</v>
      </c>
      <c r="G777" s="31" t="s">
        <v>4</v>
      </c>
      <c r="H777" s="31" t="s">
        <v>965</v>
      </c>
      <c r="I777" s="10" t="s">
        <v>977</v>
      </c>
    </row>
    <row r="778" spans="1:9" ht="23" customHeight="1" x14ac:dyDescent="0.15">
      <c r="A778" s="4" t="s">
        <v>28</v>
      </c>
      <c r="B778" s="6" t="s">
        <v>530</v>
      </c>
      <c r="C778" s="13" t="str">
        <f>SUBSTITUTE(REPLACE(REPLACE(B778,1,IFERROR(FIND("//",B778,1)+1,0),"")&amp;"/",FIND("/",REPLACE(B778,1,IFERROR(FIND("//",B778,1)+1,0),"")&amp;"/",1),LEN(B778),""),"www.","",1)</f>
        <v>xn--kundenverblffung-tzb.de</v>
      </c>
      <c r="D778" s="13">
        <f>COUNTIF($C$2:$C$801,C778)</f>
        <v>1</v>
      </c>
      <c r="E778" s="10" t="s">
        <v>267</v>
      </c>
      <c r="F778" s="4" t="s">
        <v>739</v>
      </c>
      <c r="G778" s="31" t="s">
        <v>4</v>
      </c>
      <c r="H778" s="31" t="s">
        <v>965</v>
      </c>
      <c r="I778" s="10" t="s">
        <v>977</v>
      </c>
    </row>
    <row r="779" spans="1:9" ht="23" customHeight="1" x14ac:dyDescent="0.15">
      <c r="A779" s="4" t="s">
        <v>28</v>
      </c>
      <c r="B779" s="6" t="s">
        <v>42</v>
      </c>
      <c r="C779" s="13" t="str">
        <f>SUBSTITUTE(REPLACE(REPLACE(B779,1,IFERROR(FIND("//",B779,1)+1,0),"")&amp;"/",FIND("/",REPLACE(B779,1,IFERROR(FIND("//",B779,1)+1,0),"")&amp;"/",1),LEN(B779),""),"www.","",1)</f>
        <v>xn--neumaier-bro-mlb.de</v>
      </c>
      <c r="D779" s="13">
        <f>COUNTIF($C$2:$C$801,C779)</f>
        <v>1</v>
      </c>
      <c r="E779" s="10" t="s">
        <v>14</v>
      </c>
      <c r="F779" s="4" t="s">
        <v>729</v>
      </c>
      <c r="G779" s="31" t="s">
        <v>4</v>
      </c>
      <c r="H779" s="31" t="s">
        <v>965</v>
      </c>
      <c r="I779" s="10" t="s">
        <v>977</v>
      </c>
    </row>
    <row r="780" spans="1:9" ht="23" customHeight="1" x14ac:dyDescent="0.15">
      <c r="A780" s="4" t="s">
        <v>28</v>
      </c>
      <c r="B780" s="6" t="s">
        <v>888</v>
      </c>
      <c r="C780" s="13" t="str">
        <f>SUBSTITUTE(REPLACE(REPLACE(B780,1,IFERROR(FIND("//",B780,1)+1,0),"")&amp;"/",FIND("/",REPLACE(B780,1,IFERROR(FIND("//",B780,1)+1,0),"")&amp;"/",1),LEN(B780),""),"www.","",1)</f>
        <v>xn--optimales-bro-6ob.de</v>
      </c>
      <c r="D780" s="13">
        <f>COUNTIF($C$2:$C$801,C780)</f>
        <v>1</v>
      </c>
      <c r="E780" s="10" t="s">
        <v>241</v>
      </c>
      <c r="F780" s="4" t="s">
        <v>729</v>
      </c>
      <c r="G780" s="31" t="s">
        <v>4</v>
      </c>
      <c r="H780" s="31" t="s">
        <v>965</v>
      </c>
      <c r="I780" s="10" t="s">
        <v>977</v>
      </c>
    </row>
    <row r="781" spans="1:9" ht="23" customHeight="1" x14ac:dyDescent="0.15">
      <c r="A781" s="4" t="s">
        <v>28</v>
      </c>
      <c r="B781" s="6" t="s">
        <v>889</v>
      </c>
      <c r="C781" s="13" t="str">
        <f>SUBSTITUTE(REPLACE(REPLACE(B781,1,IFERROR(FIND("//",B781,1)+1,0),"")&amp;"/",FIND("/",REPLACE(B781,1,IFERROR(FIND("//",B781,1)+1,0),"")&amp;"/",1),LEN(B781),""),"www.","",1)</f>
        <v>xn--optimalesbro-mlb.de</v>
      </c>
      <c r="D781" s="13">
        <f>COUNTIF($C$2:$C$801,C781)</f>
        <v>1</v>
      </c>
      <c r="E781" s="10" t="s">
        <v>241</v>
      </c>
      <c r="F781" s="4" t="s">
        <v>729</v>
      </c>
      <c r="G781" s="31" t="s">
        <v>4</v>
      </c>
      <c r="H781" s="31" t="s">
        <v>965</v>
      </c>
      <c r="I781" s="10" t="s">
        <v>977</v>
      </c>
    </row>
    <row r="782" spans="1:9" ht="23" customHeight="1" x14ac:dyDescent="0.15">
      <c r="A782" s="4" t="s">
        <v>28</v>
      </c>
      <c r="B782" s="6" t="s">
        <v>531</v>
      </c>
      <c r="C782" s="13" t="str">
        <f>SUBSTITUTE(REPLACE(REPLACE(B782,1,IFERROR(FIND("//",B782,1)+1,0),"")&amp;"/",FIND("/",REPLACE(B782,1,IFERROR(FIND("//",B782,1)+1,0),"")&amp;"/",1),LEN(B782),""),"www.","",1)</f>
        <v>xn--orthopdischebrosthle-gzb94ce.com</v>
      </c>
      <c r="D782" s="13">
        <f>COUNTIF($C$2:$C$801,C782)</f>
        <v>1</v>
      </c>
      <c r="E782" s="10" t="s">
        <v>237</v>
      </c>
      <c r="F782" s="4"/>
      <c r="G782" s="31" t="s">
        <v>5</v>
      </c>
      <c r="H782" s="31" t="s">
        <v>965</v>
      </c>
      <c r="I782" s="10" t="s">
        <v>981</v>
      </c>
    </row>
    <row r="783" spans="1:9" ht="23" customHeight="1" x14ac:dyDescent="0.15">
      <c r="A783" s="4" t="s">
        <v>28</v>
      </c>
      <c r="B783" s="6" t="s">
        <v>532</v>
      </c>
      <c r="C783" s="13" t="str">
        <f>SUBSTITUTE(REPLACE(REPLACE(B783,1,IFERROR(FIND("//",B783,1)+1,0),"")&amp;"/",FIND("/",REPLACE(B783,1,IFERROR(FIND("//",B783,1)+1,0),"")&amp;"/",1),LEN(B783),""),"www.","",1)</f>
        <v>xn--sitz-mbel-vertrieb-i3b.de</v>
      </c>
      <c r="D783" s="13">
        <f>COUNTIF($C$2:$C$801,C783)</f>
        <v>1</v>
      </c>
      <c r="E783" s="10" t="s">
        <v>527</v>
      </c>
      <c r="F783" s="4"/>
      <c r="G783" s="31" t="s">
        <v>6</v>
      </c>
      <c r="H783" s="31" t="s">
        <v>971</v>
      </c>
      <c r="I783" s="10" t="s">
        <v>978</v>
      </c>
    </row>
    <row r="784" spans="1:9" ht="23" customHeight="1" x14ac:dyDescent="0.15">
      <c r="A784" s="4" t="s">
        <v>28</v>
      </c>
      <c r="B784" s="6" t="s">
        <v>78</v>
      </c>
      <c r="C784" s="13" t="str">
        <f>SUBSTITUTE(REPLACE(REPLACE(B784,1,IFERROR(FIND("//",B784,1)+1,0),"")&amp;"/",FIND("/",REPLACE(B784,1,IFERROR(FIND("//",B784,1)+1,0),"")&amp;"/",1),LEN(B784),""),"www.","",1)</f>
        <v>xn--smv-drehsthle-5ob.de</v>
      </c>
      <c r="D784" s="13">
        <f>COUNTIF($C$2:$C$801,C784)</f>
        <v>1</v>
      </c>
      <c r="E784" s="10" t="s">
        <v>653</v>
      </c>
      <c r="F784" s="4"/>
      <c r="G784" s="31" t="s">
        <v>6</v>
      </c>
      <c r="H784" s="31" t="s">
        <v>971</v>
      </c>
      <c r="I784" s="10" t="s">
        <v>978</v>
      </c>
    </row>
    <row r="785" spans="1:9" ht="23" customHeight="1" x14ac:dyDescent="0.15">
      <c r="A785" s="4" t="s">
        <v>28</v>
      </c>
      <c r="B785" s="6" t="s">
        <v>533</v>
      </c>
      <c r="C785" s="13" t="str">
        <f>SUBSTITUTE(REPLACE(REPLACE(B785,1,IFERROR(FIND("//",B785,1)+1,0),"")&amp;"/",FIND("/",REPLACE(B785,1,IFERROR(FIND("//",B785,1)+1,0),"")&amp;"/",1),LEN(B785),""),"www.","",1)</f>
        <v>xn--smv-mbel-r4a.de</v>
      </c>
      <c r="D785" s="13">
        <f>COUNTIF($C$2:$C$801,C785)</f>
        <v>1</v>
      </c>
      <c r="E785" s="10" t="s">
        <v>527</v>
      </c>
      <c r="F785" s="4"/>
      <c r="G785" s="31" t="s">
        <v>6</v>
      </c>
      <c r="H785" s="31" t="s">
        <v>971</v>
      </c>
      <c r="I785" s="10" t="s">
        <v>978</v>
      </c>
    </row>
    <row r="786" spans="1:9" ht="23" customHeight="1" x14ac:dyDescent="0.15">
      <c r="A786" s="4" t="s">
        <v>28</v>
      </c>
      <c r="B786" s="6" t="s">
        <v>534</v>
      </c>
      <c r="C786" s="13" t="str">
        <f>SUBSTITUTE(REPLACE(REPLACE(B786,1,IFERROR(FIND("//",B786,1)+1,0),"")&amp;"/",FIND("/",REPLACE(B786,1,IFERROR(FIND("//",B786,1)+1,0),"")&amp;"/",1),LEN(B786),""),"www.","",1)</f>
        <v>xn--smv-mbel-vertrieb-3zb.de</v>
      </c>
      <c r="D786" s="13">
        <f>COUNTIF($C$2:$C$801,C786)</f>
        <v>1</v>
      </c>
      <c r="E786" s="10" t="s">
        <v>527</v>
      </c>
      <c r="F786" s="4"/>
      <c r="G786" s="31" t="s">
        <v>6</v>
      </c>
      <c r="H786" s="31" t="s">
        <v>971</v>
      </c>
      <c r="I786" s="10" t="s">
        <v>978</v>
      </c>
    </row>
    <row r="787" spans="1:9" ht="23" customHeight="1" x14ac:dyDescent="0.15">
      <c r="A787" s="4" t="s">
        <v>28</v>
      </c>
      <c r="B787" s="6" t="s">
        <v>77</v>
      </c>
      <c r="C787" s="13" t="str">
        <f>SUBSTITUTE(REPLACE(REPLACE(B787,1,IFERROR(FIND("//",B787,1)+1,0),"")&amp;"/",FIND("/",REPLACE(B787,1,IFERROR(FIND("//",B787,1)+1,0),"")&amp;"/",1),LEN(B787),""),"www.","",1)</f>
        <v>xn--smv-sitzmbel-djb.de</v>
      </c>
      <c r="D787" s="13">
        <f>COUNTIF($C$2:$C$801,C787)</f>
        <v>1</v>
      </c>
      <c r="E787" s="10" t="s">
        <v>527</v>
      </c>
      <c r="F787" s="4"/>
      <c r="G787" s="31" t="s">
        <v>6</v>
      </c>
      <c r="H787" s="31" t="s">
        <v>971</v>
      </c>
      <c r="I787" s="10" t="s">
        <v>978</v>
      </c>
    </row>
    <row r="788" spans="1:9" ht="23" customHeight="1" x14ac:dyDescent="0.15">
      <c r="A788" s="4" t="s">
        <v>28</v>
      </c>
      <c r="B788" s="6" t="s">
        <v>124</v>
      </c>
      <c r="C788" s="13" t="str">
        <f>SUBSTITUTE(REPLACE(REPLACE(B788,1,IFERROR(FIND("//",B788,1)+1,0),"")&amp;"/",FIND("/",REPLACE(B788,1,IFERROR(FIND("//",B788,1)+1,0),"")&amp;"/",1),LEN(B788),""),"www.","",1)</f>
        <v>xn--steppe-bro-heb.com</v>
      </c>
      <c r="D788" s="13">
        <f>COUNTIF($C$2:$C$801,C788)</f>
        <v>1</v>
      </c>
      <c r="E788" s="10" t="s">
        <v>14</v>
      </c>
      <c r="F788" s="4"/>
      <c r="G788" s="31" t="s">
        <v>5</v>
      </c>
      <c r="H788" s="31" t="s">
        <v>965</v>
      </c>
      <c r="I788" s="10" t="s">
        <v>981</v>
      </c>
    </row>
    <row r="789" spans="1:9" ht="23" customHeight="1" x14ac:dyDescent="0.15">
      <c r="A789" s="4" t="s">
        <v>28</v>
      </c>
      <c r="B789" s="6" t="s">
        <v>142</v>
      </c>
      <c r="C789" s="13" t="str">
        <f>SUBSTITUTE(REPLACE(REPLACE(B789,1,IFERROR(FIND("//",B789,1)+1,0),"")&amp;"/",FIND("/",REPLACE(B789,1,IFERROR(FIND("//",B789,1)+1,0),"")&amp;"/",1),LEN(B789),""),"www.","",1)</f>
        <v>xn--steppe-bro-heb.de</v>
      </c>
      <c r="D789" s="13">
        <f>COUNTIF($C$2:$C$801,C789)</f>
        <v>1</v>
      </c>
      <c r="E789" s="10" t="s">
        <v>14</v>
      </c>
      <c r="F789" s="4"/>
      <c r="G789" s="31" t="s">
        <v>5</v>
      </c>
      <c r="H789" s="31" t="s">
        <v>965</v>
      </c>
      <c r="I789" s="10" t="s">
        <v>981</v>
      </c>
    </row>
    <row r="790" spans="1:9" ht="23" customHeight="1" x14ac:dyDescent="0.15">
      <c r="A790" s="4" t="s">
        <v>28</v>
      </c>
      <c r="B790" s="6" t="s">
        <v>69</v>
      </c>
      <c r="C790" s="13" t="str">
        <f>SUBSTITUTE(REPLACE(REPLACE(B790,1,IFERROR(FIND("//",B790,1)+1,0),"")&amp;"/",FIND("/",REPLACE(B790,1,IFERROR(FIND("//",B790,1)+1,0),"")&amp;"/",1),LEN(B790),""),"www.","",1)</f>
        <v>xn--tbs-broservice-ksb.de</v>
      </c>
      <c r="D790" s="13">
        <f>COUNTIF($C$2:$C$801,C790)</f>
        <v>1</v>
      </c>
      <c r="E790" s="10" t="s">
        <v>692</v>
      </c>
      <c r="F790" s="4"/>
      <c r="G790" s="31" t="s">
        <v>5</v>
      </c>
      <c r="H790" s="31" t="s">
        <v>965</v>
      </c>
      <c r="I790" s="10" t="s">
        <v>981</v>
      </c>
    </row>
    <row r="791" spans="1:9" ht="23" customHeight="1" x14ac:dyDescent="0.15">
      <c r="A791" s="4" t="s">
        <v>28</v>
      </c>
      <c r="B791" s="6" t="s">
        <v>993</v>
      </c>
      <c r="C791" s="13" t="str">
        <f>SUBSTITUTE(REPLACE(REPLACE(B791,1,IFERROR(FIND("//",B791,1)+1,0),"")&amp;"/",FIND("/",REPLACE(B791,1,IFERROR(FIND("//",B791,1)+1,0),"")&amp;"/",1),LEN(B791),""),"www.","",1)</f>
        <v>yably.de</v>
      </c>
      <c r="D791" s="13">
        <f>COUNTIF($C$2:$C$801,C791)</f>
        <v>1</v>
      </c>
      <c r="E791" s="10" t="s">
        <v>293</v>
      </c>
      <c r="F791" s="4" t="s">
        <v>25</v>
      </c>
      <c r="G791" s="31" t="s">
        <v>4</v>
      </c>
      <c r="H791" s="31" t="s">
        <v>1084</v>
      </c>
      <c r="I791" s="10"/>
    </row>
    <row r="792" spans="1:9" ht="23" customHeight="1" x14ac:dyDescent="0.15">
      <c r="A792" s="4" t="s">
        <v>28</v>
      </c>
      <c r="B792" s="6" t="s">
        <v>580</v>
      </c>
      <c r="C792" s="13" t="str">
        <f>SUBSTITUTE(REPLACE(REPLACE(B792,1,IFERROR(FIND("//",B792,1)+1,0),"")&amp;"/",FIND("/",REPLACE(B792,1,IFERROR(FIND("//",B792,1)+1,0),"")&amp;"/",1),LEN(B792),""),"www.","",1)</f>
        <v>yellowmap.de</v>
      </c>
      <c r="D792" s="13">
        <f>COUNTIF($C$2:$C$801,C792)</f>
        <v>1</v>
      </c>
      <c r="E792" s="10" t="s">
        <v>267</v>
      </c>
      <c r="F792" s="4" t="s">
        <v>25</v>
      </c>
      <c r="G792" s="31" t="s">
        <v>5</v>
      </c>
      <c r="H792" s="31" t="s">
        <v>965</v>
      </c>
      <c r="I792" s="10" t="s">
        <v>981</v>
      </c>
    </row>
    <row r="793" spans="1:9" ht="23" customHeight="1" x14ac:dyDescent="0.15">
      <c r="A793" s="4" t="s">
        <v>28</v>
      </c>
      <c r="B793" s="6" t="s">
        <v>960</v>
      </c>
      <c r="C793" s="13" t="str">
        <f>SUBSTITUTE(REPLACE(REPLACE(B793,1,IFERROR(FIND("//",B793,1)+1,0),"")&amp;"/",FIND("/",REPLACE(B793,1,IFERROR(FIND("//",B793,1)+1,0),"")&amp;"/",1),LEN(B793),""),"www.","",1)</f>
        <v>yellowphone.de</v>
      </c>
      <c r="D793" s="13">
        <f>COUNTIF($C$2:$C$801,C793)</f>
        <v>1</v>
      </c>
      <c r="E793" s="10" t="s">
        <v>907</v>
      </c>
      <c r="F793" s="4" t="s">
        <v>25</v>
      </c>
      <c r="G793" s="31" t="s">
        <v>4</v>
      </c>
      <c r="H793" s="31" t="s">
        <v>965</v>
      </c>
      <c r="I793" s="10" t="s">
        <v>977</v>
      </c>
    </row>
    <row r="794" spans="1:9" ht="23" customHeight="1" x14ac:dyDescent="0.15">
      <c r="A794" s="4" t="s">
        <v>28</v>
      </c>
      <c r="B794" s="6" t="s">
        <v>535</v>
      </c>
      <c r="C794" s="13" t="str">
        <f>SUBSTITUTE(REPLACE(REPLACE(B794,1,IFERROR(FIND("//",B794,1)+1,0),"")&amp;"/",FIND("/",REPLACE(B794,1,IFERROR(FIND("//",B794,1)+1,0),"")&amp;"/",1),LEN(B794),""),"www.","",1)</f>
        <v>yildiz-design.de</v>
      </c>
      <c r="D794" s="13">
        <f>COUNTIF($C$2:$C$801,C794)</f>
        <v>1</v>
      </c>
      <c r="E794" s="10" t="s">
        <v>237</v>
      </c>
      <c r="F794" s="4" t="s">
        <v>729</v>
      </c>
      <c r="G794" s="31" t="s">
        <v>5</v>
      </c>
      <c r="H794" s="31" t="s">
        <v>965</v>
      </c>
      <c r="I794" s="10" t="s">
        <v>981</v>
      </c>
    </row>
    <row r="795" spans="1:9" ht="23" customHeight="1" x14ac:dyDescent="0.15">
      <c r="A795" s="4" t="s">
        <v>28</v>
      </c>
      <c r="B795" s="6" t="s">
        <v>941</v>
      </c>
      <c r="C795" s="13" t="str">
        <f>SUBSTITUTE(REPLACE(REPLACE(B795,1,IFERROR(FIND("//",B795,1)+1,0),"")&amp;"/",FIND("/",REPLACE(B795,1,IFERROR(FIND("//",B795,1)+1,0),"")&amp;"/",1),LEN(B795),""),"www.","",1)</f>
        <v>zallacadesign.blogspot.com</v>
      </c>
      <c r="D795" s="13">
        <f>COUNTIF($C$2:$C$801,C795)</f>
        <v>1</v>
      </c>
      <c r="E795" s="10" t="s">
        <v>630</v>
      </c>
      <c r="F795" s="4" t="s">
        <v>730</v>
      </c>
      <c r="G795" s="31" t="s">
        <v>6</v>
      </c>
      <c r="H795" s="31" t="s">
        <v>970</v>
      </c>
      <c r="I795" s="16" t="s">
        <v>985</v>
      </c>
    </row>
    <row r="796" spans="1:9" ht="23" customHeight="1" x14ac:dyDescent="0.15">
      <c r="A796" s="4" t="s">
        <v>28</v>
      </c>
      <c r="B796" s="6" t="s">
        <v>1022</v>
      </c>
      <c r="C796" s="13" t="str">
        <f>SUBSTITUTE(REPLACE(REPLACE(B796,1,IFERROR(FIND("//",B796,1)+1,0),"")&amp;"/",FIND("/",REPLACE(B796,1,IFERROR(FIND("//",B796,1)+1,0),"")&amp;"/",1),LEN(B796),""),"www.","",1)</f>
        <v>zeichnungen-leicht.netlify.app</v>
      </c>
      <c r="D796" s="13">
        <f>COUNTIF($C$2:$C$801,C796)</f>
        <v>1</v>
      </c>
      <c r="E796" s="10" t="s">
        <v>1078</v>
      </c>
      <c r="F796" s="4" t="s">
        <v>730</v>
      </c>
      <c r="G796" s="31" t="s">
        <v>5</v>
      </c>
      <c r="H796" s="31" t="s">
        <v>1084</v>
      </c>
      <c r="I796" s="10"/>
    </row>
    <row r="797" spans="1:9" ht="23" customHeight="1" x14ac:dyDescent="0.15">
      <c r="A797" s="4" t="s">
        <v>28</v>
      </c>
      <c r="B797" s="6" t="s">
        <v>558</v>
      </c>
      <c r="C797" s="13" t="str">
        <f>SUBSTITUTE(REPLACE(REPLACE(B797,1,IFERROR(FIND("//",B797,1)+1,0),"")&amp;"/",FIND("/",REPLACE(B797,1,IFERROR(FIND("//",B797,1)+1,0),"")&amp;"/",1),LEN(B797),""),"www.","",1)</f>
        <v>zeilfelder.de</v>
      </c>
      <c r="D797" s="13">
        <f>COUNTIF($C$2:$C$801,C797)</f>
        <v>1</v>
      </c>
      <c r="E797" s="10" t="s">
        <v>14</v>
      </c>
      <c r="F797" s="4" t="s">
        <v>729</v>
      </c>
      <c r="G797" s="31" t="s">
        <v>4</v>
      </c>
      <c r="H797" s="31" t="s">
        <v>965</v>
      </c>
      <c r="I797" s="10" t="s">
        <v>977</v>
      </c>
    </row>
    <row r="798" spans="1:9" ht="23" customHeight="1" x14ac:dyDescent="0.15">
      <c r="A798" s="4" t="s">
        <v>28</v>
      </c>
      <c r="B798" s="6" t="s">
        <v>33</v>
      </c>
      <c r="C798" s="13" t="str">
        <f>SUBSTITUTE(REPLACE(REPLACE(B798,1,IFERROR(FIND("//",B798,1)+1,0),"")&amp;"/",FIND("/",REPLACE(B798,1,IFERROR(FIND("//",B798,1)+1,0),"")&amp;"/",1),LEN(B798),""),"www.","",1)</f>
        <v>zoellner-office.de</v>
      </c>
      <c r="D798" s="13">
        <f>COUNTIF($C$2:$C$801,C798)</f>
        <v>1</v>
      </c>
      <c r="E798" s="10" t="s">
        <v>27</v>
      </c>
      <c r="F798" s="4" t="s">
        <v>729</v>
      </c>
      <c r="G798" s="31" t="s">
        <v>4</v>
      </c>
      <c r="H798" s="31" t="s">
        <v>965</v>
      </c>
      <c r="I798" s="10" t="s">
        <v>977</v>
      </c>
    </row>
    <row r="799" spans="1:9" ht="23" customHeight="1" x14ac:dyDescent="0.15">
      <c r="A799" s="4" t="s">
        <v>28</v>
      </c>
      <c r="B799" s="6" t="s">
        <v>48</v>
      </c>
      <c r="C799" s="13" t="str">
        <f>SUBSTITUTE(REPLACE(REPLACE(B799,1,IFERROR(FIND("//",B799,1)+1,0),"")&amp;"/",FIND("/",REPLACE(B799,1,IFERROR(FIND("//",B799,1)+1,0),"")&amp;"/",1),LEN(B799),""),"www.","",1)</f>
        <v>zukunft-personal.de</v>
      </c>
      <c r="D799" s="13">
        <f>COUNTIF($C$2:$C$801,C799)</f>
        <v>1</v>
      </c>
      <c r="E799" s="10" t="s">
        <v>14</v>
      </c>
      <c r="F799" s="4" t="s">
        <v>735</v>
      </c>
      <c r="G799" s="31" t="s">
        <v>5</v>
      </c>
      <c r="H799" s="31" t="s">
        <v>965</v>
      </c>
      <c r="I799" s="10" t="s">
        <v>981</v>
      </c>
    </row>
    <row r="800" spans="1:9" ht="23" customHeight="1" x14ac:dyDescent="0.15">
      <c r="A800" s="4" t="s">
        <v>28</v>
      </c>
      <c r="B800" s="6" t="s">
        <v>207</v>
      </c>
      <c r="C800" s="13" t="str">
        <f>SUBSTITUTE(REPLACE(REPLACE(B800,1,IFERROR(FIND("//",B800,1)+1,0),"")&amp;"/",FIND("/",REPLACE(B800,1,IFERROR(FIND("//",B800,1)+1,0),"")&amp;"/",1),LEN(B800),""),"www.","",1)</f>
        <v>zukunftstechnologietage.de</v>
      </c>
      <c r="D800" s="13">
        <f>COUNTIF($C$2:$C$801,C800)</f>
        <v>1</v>
      </c>
      <c r="E800" s="10" t="s">
        <v>267</v>
      </c>
      <c r="F800" s="4" t="s">
        <v>730</v>
      </c>
      <c r="G800" s="31" t="s">
        <v>5</v>
      </c>
      <c r="H800" s="31" t="s">
        <v>965</v>
      </c>
      <c r="I800" s="10" t="s">
        <v>981</v>
      </c>
    </row>
    <row r="801" spans="1:9" ht="23" customHeight="1" x14ac:dyDescent="0.15">
      <c r="A801" s="4" t="s">
        <v>28</v>
      </c>
      <c r="B801" s="6" t="s">
        <v>832</v>
      </c>
      <c r="C801" s="13" t="str">
        <f>SUBSTITUTE(REPLACE(REPLACE(B801,1,IFERROR(FIND("//",B801,1)+1,0),"")&amp;"/",FIND("/",REPLACE(B801,1,IFERROR(FIND("//",B801,1)+1,0),"")&amp;"/",1),LEN(B801),""),"www.","",1)</f>
        <v>zyklonbproductions.com</v>
      </c>
      <c r="D801" s="13">
        <f>COUNTIF($C$2:$C$801,C801)</f>
        <v>1</v>
      </c>
      <c r="E801" s="10" t="s">
        <v>923</v>
      </c>
      <c r="F801" s="4" t="s">
        <v>730</v>
      </c>
      <c r="G801" s="31" t="s">
        <v>6</v>
      </c>
      <c r="H801" s="31" t="s">
        <v>967</v>
      </c>
      <c r="I801" s="10" t="s">
        <v>979</v>
      </c>
    </row>
  </sheetData>
  <autoFilter ref="A1:I801" xr:uid="{00000000-0009-0000-0000-000000000000}">
    <sortState xmlns:xlrd2="http://schemas.microsoft.com/office/spreadsheetml/2017/richdata2" ref="A2:I801">
      <sortCondition ref="C1:C801"/>
    </sortState>
  </autoFilter>
  <phoneticPr fontId="1" type="noConversion"/>
  <conditionalFormatting sqref="G1:I355 G358:I370 H356:I357 G372:I373 H371:I371 G375:I397 H374:I374 G399:I411 H398:I398 G413:I426 H412:I412 G428:I438 H427:I427 G440:I464 H439:I439 G466:I488 H465:I465 G490:I491 H489:I489 G493:I549 H492:I492 G552:I569 H550:I551 G571:I626 H570:I570 G628:I628 H627:I627 G630:I645 H629:I629 G647:I64586 H646:I646">
    <cfRule type="expression" dxfId="2" priority="244">
      <formula>G1="ändern"</formula>
    </cfRule>
    <cfRule type="expression" dxfId="1" priority="245">
      <formula>G1="löschen"</formula>
    </cfRule>
    <cfRule type="expression" dxfId="0" priority="246">
      <formula>G1="lassen"</formula>
    </cfRule>
  </conditionalFormatting>
  <hyperlinks>
    <hyperlink ref="B2" r:id="rId1" xr:uid="{00000000-0004-0000-0000-000000000000}"/>
    <hyperlink ref="B4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1" r:id="rId6" xr:uid="{00000000-0004-0000-0000-000005000000}"/>
    <hyperlink ref="B12" r:id="rId7" xr:uid="{00000000-0004-0000-0000-000006000000}"/>
    <hyperlink ref="B16" r:id="rId8" xr:uid="{00000000-0004-0000-0000-000007000000}"/>
    <hyperlink ref="B25" r:id="rId9" xr:uid="{00000000-0004-0000-0000-000008000000}"/>
    <hyperlink ref="B41" r:id="rId10" xr:uid="{00000000-0004-0000-0000-000009000000}"/>
    <hyperlink ref="B43" r:id="rId11" xr:uid="{00000000-0004-0000-0000-00000A000000}"/>
    <hyperlink ref="B44" r:id="rId12" xr:uid="{00000000-0004-0000-0000-00000B000000}"/>
    <hyperlink ref="B46" r:id="rId13" xr:uid="{00000000-0004-0000-0000-00000C000000}"/>
    <hyperlink ref="B54" r:id="rId14" xr:uid="{00000000-0004-0000-0000-00000D000000}"/>
    <hyperlink ref="B56" r:id="rId15" xr:uid="{00000000-0004-0000-0000-00000E000000}"/>
    <hyperlink ref="B58" r:id="rId16" xr:uid="{00000000-0004-0000-0000-00000F000000}"/>
    <hyperlink ref="B61" r:id="rId17" xr:uid="{00000000-0004-0000-0000-000010000000}"/>
    <hyperlink ref="B73" r:id="rId18" xr:uid="{00000000-0004-0000-0000-000011000000}"/>
    <hyperlink ref="B76" r:id="rId19" xr:uid="{00000000-0004-0000-0000-000012000000}"/>
    <hyperlink ref="B673" r:id="rId20" xr:uid="{00000000-0004-0000-0000-000016000000}"/>
    <hyperlink ref="B512" r:id="rId21" xr:uid="{00000000-0004-0000-0000-000017000000}"/>
    <hyperlink ref="B524" r:id="rId22" xr:uid="{00000000-0004-0000-0000-000018000000}"/>
    <hyperlink ref="B137" r:id="rId23" xr:uid="{00000000-0004-0000-0000-00001B000000}"/>
    <hyperlink ref="B586" r:id="rId24" xr:uid="{00000000-0004-0000-0000-00001F000000}"/>
    <hyperlink ref="B584" r:id="rId25" xr:uid="{00000000-0004-0000-0000-000020000000}"/>
    <hyperlink ref="B733" r:id="rId26" xr:uid="{00000000-0004-0000-0000-000021000000}"/>
    <hyperlink ref="B717" r:id="rId27" xr:uid="{00000000-0004-0000-0000-000023000000}"/>
    <hyperlink ref="B718" r:id="rId28" xr:uid="{00000000-0004-0000-0000-000024000000}"/>
    <hyperlink ref="B727" r:id="rId29" xr:uid="{00000000-0004-0000-0000-000025000000}"/>
    <hyperlink ref="B741" r:id="rId30" xr:uid="{00000000-0004-0000-0000-000026000000}"/>
    <hyperlink ref="B742" r:id="rId31" xr:uid="{00000000-0004-0000-0000-000027000000}"/>
    <hyperlink ref="B743" r:id="rId32" xr:uid="{00000000-0004-0000-0000-000028000000}"/>
    <hyperlink ref="B747" r:id="rId33" xr:uid="{00000000-0004-0000-0000-000029000000}"/>
    <hyperlink ref="B748" r:id="rId34" xr:uid="{00000000-0004-0000-0000-00002A000000}"/>
    <hyperlink ref="B83" r:id="rId35" xr:uid="{3814ADF7-A4BF-3A45-83FA-73CE5BE2A3C0}"/>
    <hyperlink ref="B3" r:id="rId36" xr:uid="{815ECEA8-0A8C-3840-9217-4FFF56610DA2}"/>
    <hyperlink ref="B9" r:id="rId37" xr:uid="{9068E74C-FC00-4344-8792-C9CD2A2FF521}"/>
    <hyperlink ref="B13" r:id="rId38" xr:uid="{A29B43AB-6E6E-B14A-A7FF-7CDAADF9FF80}"/>
    <hyperlink ref="B15" r:id="rId39" xr:uid="{5642F80D-D698-0C4D-9160-43E58550E600}"/>
    <hyperlink ref="B18" r:id="rId40" xr:uid="{9FF2B39A-EF13-474A-B7D5-D3EB9A1D8F38}"/>
    <hyperlink ref="B20" r:id="rId41" xr:uid="{EEB044FB-F3BC-5D4E-A575-42DFA6649470}"/>
    <hyperlink ref="B22" r:id="rId42" xr:uid="{1BEA0E7D-5917-D24A-8FF4-175914CD383C}"/>
    <hyperlink ref="B21" r:id="rId43" xr:uid="{B60D7D3E-BB4C-AB48-BAAE-9C05C579BD2A}"/>
    <hyperlink ref="B23" r:id="rId44" xr:uid="{4EC586AE-C735-D747-9309-2DDAE22FFB61}"/>
    <hyperlink ref="B24" r:id="rId45" xr:uid="{38A18D97-D300-EA45-88D9-56328F2CF7D8}"/>
    <hyperlink ref="B26" r:id="rId46" xr:uid="{BB82A95B-65C8-CC49-8E17-2DFEEC2159C9}"/>
    <hyperlink ref="B31" r:id="rId47" xr:uid="{487EE794-81A9-5949-A9BA-2CDCA78793C9}"/>
    <hyperlink ref="B33" r:id="rId48" xr:uid="{DE1C3FFD-1D62-444B-92D8-F2FF2D070746}"/>
    <hyperlink ref="B35" r:id="rId49" xr:uid="{19B6A33C-23CE-A646-B757-F6C410E161C0}"/>
    <hyperlink ref="B36" r:id="rId50" xr:uid="{3C5EFEA8-DD44-CA40-A004-577D8B9D7358}"/>
    <hyperlink ref="B39" r:id="rId51" xr:uid="{F02DE28E-C036-FF42-8951-032B2199A1B8}"/>
    <hyperlink ref="B40" r:id="rId52" xr:uid="{05EC6E4C-B58F-6C45-B98F-34BDEAE10F42}"/>
    <hyperlink ref="B42" r:id="rId53" xr:uid="{123F8BEA-F175-054A-AB0D-079CF513A587}"/>
    <hyperlink ref="B45" r:id="rId54" xr:uid="{C1C2C1C5-C87A-6F45-B977-E7814DF83FD4}"/>
    <hyperlink ref="B47" r:id="rId55" xr:uid="{F69E8D3F-3470-BD4C-8397-FA005563BB91}"/>
    <hyperlink ref="B59" r:id="rId56" xr:uid="{24681525-C239-A544-A3BF-52D136A263FB}"/>
    <hyperlink ref="B52" r:id="rId57" xr:uid="{78B0F604-04A9-FC46-8647-8D5514199D82}"/>
    <hyperlink ref="B53" r:id="rId58" xr:uid="{16579CBA-1486-EA48-B791-F7F86499C946}"/>
    <hyperlink ref="B55" r:id="rId59" xr:uid="{55B5A1F8-BC75-7341-BB5D-B2E86550C76B}"/>
    <hyperlink ref="B62" r:id="rId60" xr:uid="{912F2B28-4522-D548-8C4A-7BC5B45F1D8B}"/>
    <hyperlink ref="B65" r:id="rId61" xr:uid="{0D8F5E5A-D9FB-B545-ADC0-CB1ED9CC2367}"/>
    <hyperlink ref="B66" r:id="rId62" xr:uid="{278B030F-2FB6-9041-ACDF-9B00371B1861}"/>
    <hyperlink ref="B68" r:id="rId63" xr:uid="{B365FE94-D1E8-6E45-A330-7E315D16F155}"/>
    <hyperlink ref="B79" r:id="rId64" xr:uid="{E11A1117-380D-B143-BA99-EC25305AAE69}"/>
    <hyperlink ref="B69" r:id="rId65" xr:uid="{82AD0178-E94F-4E41-97FA-4626EE12DC6E}"/>
    <hyperlink ref="B74" r:id="rId66" xr:uid="{483DC2B4-D6BA-7D41-BA36-B652B843EDB6}"/>
    <hyperlink ref="B77" r:id="rId67" xr:uid="{C48F9F65-377C-B24E-B2A9-13DADCC361FD}"/>
    <hyperlink ref="B80" r:id="rId68" xr:uid="{644DDBC4-EFA5-3740-8C5B-F0777C9276DE}"/>
    <hyperlink ref="B85" r:id="rId69" xr:uid="{C353D7BD-589F-5F49-90FF-736AEDC0B183}"/>
    <hyperlink ref="B86" r:id="rId70" xr:uid="{3AA27F32-8A2E-EC4F-A90B-85EB55CD8DAD}"/>
    <hyperlink ref="B90" r:id="rId71" xr:uid="{27EF6B6E-6248-4B48-AA72-E07FB0DA9381}"/>
    <hyperlink ref="B91" r:id="rId72" xr:uid="{222EC3AB-4E9C-DE41-84C6-981B3AA05C38}"/>
    <hyperlink ref="B92" r:id="rId73" xr:uid="{BAFFE6A8-7B6B-014B-938B-89F494665028}"/>
    <hyperlink ref="B93" r:id="rId74" xr:uid="{7960A45F-7625-6145-895B-7B1229460782}"/>
    <hyperlink ref="B94" r:id="rId75" xr:uid="{F13F009A-89E0-3C4A-8AA3-3C5723720F9F}"/>
    <hyperlink ref="B95" r:id="rId76" xr:uid="{84229DA4-9E66-8443-BF9E-6D73BA13B76D}"/>
    <hyperlink ref="B96" r:id="rId77" xr:uid="{A2CD4A05-012A-2346-BF3A-3609E1856E72}"/>
    <hyperlink ref="B97" r:id="rId78" xr:uid="{2197B3A9-7BF3-304F-A282-9B2F520B6DC1}"/>
    <hyperlink ref="B98" r:id="rId79" xr:uid="{7A416851-F744-414D-89A4-EB9B67035145}"/>
    <hyperlink ref="B99" r:id="rId80" xr:uid="{446E42C2-1B9F-4447-BC12-DA93B9E19BFA}"/>
    <hyperlink ref="B100" r:id="rId81" xr:uid="{437543C4-58B7-1B45-BEE5-86A0983A9F30}"/>
    <hyperlink ref="B101" r:id="rId82" xr:uid="{C1350BB1-F5DC-E149-A824-C4D000F8E605}"/>
    <hyperlink ref="B102" r:id="rId83" xr:uid="{972AED05-FE52-EF47-AC28-6250FCD70876}"/>
    <hyperlink ref="B103" r:id="rId84" xr:uid="{20E6C8D0-F7A6-8446-9E1E-C18C106AA3F3}"/>
    <hyperlink ref="B104" r:id="rId85" xr:uid="{EEF95D58-AA8D-A944-AC01-85E7C5E623D1}"/>
    <hyperlink ref="B105" r:id="rId86" xr:uid="{0358D762-86F1-994D-8B1E-4ABB4326376F}"/>
    <hyperlink ref="B106" r:id="rId87" xr:uid="{48A0EB60-2FB0-1B46-AB85-5F187208C1A4}"/>
    <hyperlink ref="B107" r:id="rId88" xr:uid="{1CFAF6A2-62C6-6E43-85AB-5B5BE7380A54}"/>
    <hyperlink ref="B109" r:id="rId89" xr:uid="{919F6B32-429A-D64C-8852-5D62F9A62341}"/>
    <hyperlink ref="B110" r:id="rId90" xr:uid="{AF629AAC-803B-D34E-8D5B-42E3123A1457}"/>
    <hyperlink ref="B112" r:id="rId91" xr:uid="{BDEFF411-D43A-F24F-B888-3C91A9A1E9DE}"/>
    <hyperlink ref="B113" r:id="rId92" xr:uid="{1C33FC74-600E-8D4C-8E76-7378E69E9999}"/>
    <hyperlink ref="B115" r:id="rId93" xr:uid="{5831A629-BDE0-D74F-88B7-F255F6443E47}"/>
    <hyperlink ref="B116" r:id="rId94" xr:uid="{5AA17234-555D-3843-9618-48AB1839DD24}"/>
    <hyperlink ref="B117" r:id="rId95" xr:uid="{D77B131C-1F14-124B-B07C-19AAB849074E}"/>
    <hyperlink ref="B118" r:id="rId96" xr:uid="{525B24C5-387A-8A40-A910-152A4055D1EA}"/>
    <hyperlink ref="B119" r:id="rId97" xr:uid="{157EAC91-E222-6540-8087-BA472E3B3CC4}"/>
    <hyperlink ref="B120" r:id="rId98" xr:uid="{281B8383-F508-4447-9916-27F35EAFBAFE}"/>
    <hyperlink ref="B121" r:id="rId99" xr:uid="{7603BB95-1510-5D4E-9BE8-CEC96F385AB2}"/>
    <hyperlink ref="B122" r:id="rId100" xr:uid="{4D33B006-E607-874E-BD5A-4DC7CDBEA22B}"/>
    <hyperlink ref="B123" r:id="rId101" xr:uid="{C7283976-1782-7145-B7FE-66F6EE40CB88}"/>
    <hyperlink ref="B124" r:id="rId102" xr:uid="{8B07F5BB-4C1C-E449-8ECA-F20E01B34DC7}"/>
    <hyperlink ref="B125" r:id="rId103" xr:uid="{8AA94055-A4DD-C946-B100-C124549C866E}"/>
    <hyperlink ref="B126" r:id="rId104" xr:uid="{B6FAB140-6D86-ED4D-A1E4-A0428ED4D12E}"/>
    <hyperlink ref="B127" r:id="rId105" xr:uid="{95A0D65C-B308-F24F-999B-AF5A0ABAC29A}"/>
    <hyperlink ref="B128" r:id="rId106" xr:uid="{08A01211-5D1D-AE4D-BEFE-539646847A8F}"/>
    <hyperlink ref="B129" r:id="rId107" xr:uid="{126CA830-1DF8-5149-941B-B12090AEAFB6}"/>
    <hyperlink ref="B130" r:id="rId108" xr:uid="{02E049BF-675E-4440-A931-BD04B740225C}"/>
    <hyperlink ref="B131" r:id="rId109" xr:uid="{ADE702A7-DD92-4A4D-AE0B-8796BB7ECA90}"/>
    <hyperlink ref="B132" r:id="rId110" xr:uid="{68CBFA74-16E8-694A-A5F3-C313B029F2E1}"/>
    <hyperlink ref="B133" r:id="rId111" xr:uid="{FE20AB98-5F13-E74D-8DF6-C0D1C2F3EB4A}"/>
    <hyperlink ref="B134" r:id="rId112" xr:uid="{B16CB71C-16C7-FD4F-88C2-E0732E71283B}"/>
    <hyperlink ref="B135" r:id="rId113" xr:uid="{9CFA96A4-DC27-384A-8751-48CF0CCBF1B3}"/>
    <hyperlink ref="B136" r:id="rId114" xr:uid="{3472F933-2D32-6943-9760-A714E14D1F0A}"/>
    <hyperlink ref="B139" r:id="rId115" xr:uid="{06DAF995-0242-4F49-AAC5-ACFEF586EE5F}"/>
    <hyperlink ref="B140" r:id="rId116" xr:uid="{7D94AF9E-A754-B044-ADF8-5B502C614ADB}"/>
    <hyperlink ref="B141" r:id="rId117" xr:uid="{CF022778-2355-CB4A-A746-3C880639CF3D}"/>
    <hyperlink ref="B142" r:id="rId118" xr:uid="{AE42B0D2-B90E-C245-B579-C391830E5CA2}"/>
    <hyperlink ref="B320" r:id="rId119" xr:uid="{366F1132-E4E4-7046-A77F-DB65797CFA77}"/>
    <hyperlink ref="B144" r:id="rId120" xr:uid="{27C03288-4AE5-9645-87E0-68FAE44881BA}"/>
    <hyperlink ref="B145" r:id="rId121" xr:uid="{8E3FC9A5-BDC4-4C4B-8A17-6C7D50EA2F6E}"/>
    <hyperlink ref="B146" r:id="rId122" xr:uid="{919BB71F-897A-6140-9143-9BC3F8A7D072}"/>
    <hyperlink ref="B148" r:id="rId123" xr:uid="{501DC60C-8A85-5E4D-8871-FC952958E116}"/>
    <hyperlink ref="B149" r:id="rId124" xr:uid="{25B393A1-DF13-B441-8B52-FB8E650CCF5F}"/>
    <hyperlink ref="B150" r:id="rId125" xr:uid="{BBAE522E-96E7-6C4A-ABA3-50D04A68B9EB}"/>
    <hyperlink ref="B154" r:id="rId126" xr:uid="{DCC22FB1-ADD8-0047-A3B5-87BED3B83161}"/>
    <hyperlink ref="B156" r:id="rId127" xr:uid="{B2C4362F-EE26-B24F-B741-CDC01503A70F}"/>
    <hyperlink ref="B157" r:id="rId128" xr:uid="{CB04C8C5-3005-944E-A74F-406B6C05B28F}"/>
    <hyperlink ref="B158" r:id="rId129" xr:uid="{B402DCB2-DD9D-8946-8EE4-EF0764D62B30}"/>
    <hyperlink ref="B159" r:id="rId130" xr:uid="{6077FF7B-B71A-8544-8A89-D70520C47F4F}"/>
    <hyperlink ref="B160" r:id="rId131" xr:uid="{EF9D7FBD-B21E-424B-B79D-38DF876300F9}"/>
    <hyperlink ref="B161" r:id="rId132" xr:uid="{618FD851-5FF3-0944-B8E8-9341873638A1}"/>
    <hyperlink ref="B162" r:id="rId133" xr:uid="{811F879B-0A68-184F-A3D0-810BCCFB67AC}"/>
    <hyperlink ref="B168" r:id="rId134" xr:uid="{F4C3E79C-235D-7B49-BCD1-CB2BE2C86A51}"/>
    <hyperlink ref="B169" r:id="rId135" xr:uid="{4F89F3A3-4A3A-204B-B182-63AF102ECD61}"/>
    <hyperlink ref="B172" r:id="rId136" xr:uid="{35AEDCF0-7394-0F48-A710-2203F60132E1}"/>
    <hyperlink ref="B173" r:id="rId137" xr:uid="{7C8F8B59-517E-2644-A456-0AF94CDC8334}"/>
    <hyperlink ref="B174" r:id="rId138" xr:uid="{A5F268B4-DB09-7C4C-9572-2A9488FFCF83}"/>
    <hyperlink ref="B177" r:id="rId139" xr:uid="{EECBAB63-95AD-DF4C-B6DA-90D71A4BF14A}"/>
    <hyperlink ref="B179" r:id="rId140" xr:uid="{0D393861-B27F-AB4B-A76C-5DFD195E22A7}"/>
    <hyperlink ref="B180" r:id="rId141" xr:uid="{94A646DE-B3AD-9342-B82B-6C2589DCF892}"/>
    <hyperlink ref="B181" r:id="rId142" xr:uid="{75C4F197-761F-7D44-AE45-767F7B197554}"/>
    <hyperlink ref="B183" r:id="rId143" xr:uid="{131FE204-0BCE-2941-A62E-A6E77DBE559F}"/>
    <hyperlink ref="B184" r:id="rId144" xr:uid="{A4731A20-7D66-FD44-B1BD-FC23673CEA6C}"/>
    <hyperlink ref="B185" r:id="rId145" xr:uid="{D64244C9-A184-634E-B803-335CD6E43780}"/>
    <hyperlink ref="B186" r:id="rId146" xr:uid="{9EA02EC3-0A9D-1941-9A82-40F3CF4991D1}"/>
    <hyperlink ref="B189" r:id="rId147" xr:uid="{24A457DC-B2DC-2543-8809-31FC409A275A}"/>
    <hyperlink ref="B190" r:id="rId148" xr:uid="{5DDC0541-9CDE-7A49-8FBD-75155DF1C2EA}"/>
    <hyperlink ref="B193" r:id="rId149" xr:uid="{47CAC286-7E47-6148-9428-62412D4CD5DF}"/>
    <hyperlink ref="B194" r:id="rId150" xr:uid="{B2B7C790-E56E-544E-9DC0-105052D76DC1}"/>
    <hyperlink ref="B195" r:id="rId151" xr:uid="{FA229003-A488-EE4F-A872-3497A45865B9}"/>
    <hyperlink ref="B196" r:id="rId152" xr:uid="{F007A208-D7F1-2547-889A-3D33C352D68A}"/>
    <hyperlink ref="B197" r:id="rId153" xr:uid="{A8E7C9B1-0088-DA4A-8DA1-FA261FE5D8BD}"/>
    <hyperlink ref="B198" r:id="rId154" xr:uid="{DFA8BD6E-D32D-CF4A-A262-0B6484832FCE}"/>
    <hyperlink ref="B200" r:id="rId155" xr:uid="{582DDEA9-985C-DA48-A978-29DCF2C02EC0}"/>
    <hyperlink ref="B201" r:id="rId156" xr:uid="{34AA5CE3-8CDF-444A-B6DB-00821C5FF636}"/>
    <hyperlink ref="B203" r:id="rId157" xr:uid="{4D980A35-2809-3842-8AB2-E3720A0B1AD5}"/>
    <hyperlink ref="B204" r:id="rId158" xr:uid="{EA90B73C-F5D0-674D-B125-AB28CD5373AF}"/>
    <hyperlink ref="B206" r:id="rId159" xr:uid="{EDC24FAF-12BB-C446-B747-A4526D3D7748}"/>
    <hyperlink ref="B207" r:id="rId160" xr:uid="{51284068-CAE0-994E-AC52-67D6C7EC9AF1}"/>
    <hyperlink ref="B208" r:id="rId161" xr:uid="{59612B4D-07A8-5B44-935C-8113EBDF5234}"/>
    <hyperlink ref="B209" r:id="rId162" xr:uid="{5CD35CB9-B473-B048-8A89-051E53485F90}"/>
    <hyperlink ref="B211" r:id="rId163" xr:uid="{BA935C6C-99E9-AF4F-B01F-9909E99798B2}"/>
    <hyperlink ref="B213" r:id="rId164" xr:uid="{32EAF849-9428-7746-9B03-4491B3EA7610}"/>
    <hyperlink ref="B214" r:id="rId165" xr:uid="{17427086-DA73-E74E-B251-82B199F15053}"/>
    <hyperlink ref="B215" r:id="rId166" xr:uid="{9A0F72A6-BC14-4347-A42D-95264AF50C9A}"/>
    <hyperlink ref="B216" r:id="rId167" xr:uid="{B943B0BF-CC30-6C45-B479-6BFA1E1C55FC}"/>
    <hyperlink ref="B217" r:id="rId168" xr:uid="{6278EB65-C42A-D94E-A0E0-AF649A7F7098}"/>
    <hyperlink ref="B218" r:id="rId169" xr:uid="{6689378E-8134-0645-98F4-45E09AA62459}"/>
    <hyperlink ref="B221" r:id="rId170" xr:uid="{4CF447A4-442A-2A4B-88B1-3278D6C6EC8A}"/>
    <hyperlink ref="B223" r:id="rId171" xr:uid="{233396E0-0B6C-2440-BF84-AE405487F702}"/>
    <hyperlink ref="B224" r:id="rId172" xr:uid="{6957B0BD-3973-7041-A5C2-D00D2D5117B8}"/>
    <hyperlink ref="B225" r:id="rId173" xr:uid="{A636D603-CE34-B84D-B2DE-5424F466828B}"/>
    <hyperlink ref="B227" r:id="rId174" xr:uid="{16CB7639-395E-D44F-95CA-B9FF2A09C4E2}"/>
    <hyperlink ref="B228" r:id="rId175" xr:uid="{FE61C162-92E2-4549-B83C-F4FB0AA83610}"/>
    <hyperlink ref="B230" r:id="rId176" xr:uid="{3D106BA0-2219-4F48-B935-42DA28A77212}"/>
    <hyperlink ref="B231" r:id="rId177" xr:uid="{9458877D-49DE-4A41-BC7A-6A223AAE3252}"/>
    <hyperlink ref="B232" r:id="rId178" xr:uid="{A873F7EE-B973-CE47-AEFB-BAFFEBD8F6E5}"/>
    <hyperlink ref="B234" r:id="rId179" xr:uid="{C2C164CA-B3F3-5C4E-AA71-84D1E3F99F35}"/>
    <hyperlink ref="B238" r:id="rId180" xr:uid="{7E4E7552-41F0-BC47-ABC9-D3BBBBA85C44}"/>
    <hyperlink ref="B239" r:id="rId181" xr:uid="{590B1656-9D1C-9B43-9171-1506BCCF8180}"/>
    <hyperlink ref="B241" r:id="rId182" xr:uid="{0A1E7D44-9E95-C34A-A706-20770450DD21}"/>
    <hyperlink ref="B242" r:id="rId183" xr:uid="{DADEBE77-82AC-6149-AD1D-D95CAC7831DF}"/>
    <hyperlink ref="B264" r:id="rId184" xr:uid="{E6D4D72C-881C-A649-8208-543B0B41C382}"/>
    <hyperlink ref="B321" r:id="rId185" xr:uid="{26D6D6A5-0976-6546-9770-AB07EC67EE2B}"/>
    <hyperlink ref="B346" r:id="rId186" xr:uid="{89763614-75C4-DE4E-A582-0BF13BAC0791}"/>
    <hyperlink ref="B380" r:id="rId187" xr:uid="{3372F490-4243-D142-8E20-E53725E54A3E}"/>
    <hyperlink ref="B477" r:id="rId188" xr:uid="{58BEA227-807B-7643-84E3-CC00B18F89C7}"/>
    <hyperlink ref="B548" r:id="rId189" xr:uid="{467E1CFF-1202-CC4D-8235-10A03E3EE4F1}"/>
    <hyperlink ref="B751" r:id="rId190" xr:uid="{911AEE99-B44E-0D48-A58D-D80E078B241A}"/>
    <hyperlink ref="B799" r:id="rId191" xr:uid="{1DAEE5F9-419C-A24F-8DEE-539366541AB9}"/>
    <hyperlink ref="B800" r:id="rId192" xr:uid="{C3243650-0C14-E442-8D40-A28C059A8F48}"/>
    <hyperlink ref="B794" r:id="rId193" xr:uid="{AFB9B61D-3CF0-7A47-9F5F-4337FD6E1F4E}"/>
    <hyperlink ref="B792" r:id="rId194" xr:uid="{C0DB94D2-81C8-9549-8B2D-FA34BFD8C503}"/>
    <hyperlink ref="B313" r:id="rId195" xr:uid="{182A9FFB-B2C4-FB46-8A76-C6C58434986B}"/>
    <hyperlink ref="B323" r:id="rId196" xr:uid="{86E45491-3B24-FC49-B49D-4B8656616AF5}"/>
    <hyperlink ref="B324" r:id="rId197" xr:uid="{7CFCD280-0BC5-3F45-BD54-E901887AE1EB}"/>
    <hyperlink ref="B325" r:id="rId198" xr:uid="{EBB68346-1AA3-7144-8D5A-0198E083C6C9}"/>
    <hyperlink ref="B326" r:id="rId199" xr:uid="{431B6D0C-D47B-DD47-810E-FBC9D3864394}"/>
    <hyperlink ref="B327" r:id="rId200" xr:uid="{15519DF9-15B6-9949-9120-38810B5E8D6A}"/>
    <hyperlink ref="B328" r:id="rId201" xr:uid="{1B2730D6-FE90-2D43-A6BD-E25DEE97B0C8}"/>
    <hyperlink ref="B329" r:id="rId202" xr:uid="{658274BA-207C-3F4D-84B4-FC1226BCB0C0}"/>
    <hyperlink ref="B332" r:id="rId203" xr:uid="{154A6EDE-73C7-9B49-87CA-A6715A06CCAB}"/>
    <hyperlink ref="B333" r:id="rId204" xr:uid="{0A12150D-1CB8-B347-974F-9209513C11D3}"/>
    <hyperlink ref="B243" r:id="rId205" xr:uid="{24993AE9-685F-534D-9440-F3CECC9DDA4E}"/>
    <hyperlink ref="B244" r:id="rId206" xr:uid="{DA7E9CE4-E3DD-CF41-9DF4-A515E0894759}"/>
    <hyperlink ref="B245" r:id="rId207" xr:uid="{C75F872A-4A93-254E-A873-74AE806207F2}"/>
    <hyperlink ref="B248" r:id="rId208" xr:uid="{657E8E2E-0771-0444-AE48-F73510AFA4C4}"/>
    <hyperlink ref="B249" r:id="rId209" xr:uid="{7CD96C6A-3037-784F-A969-F40C38C54A8C}"/>
    <hyperlink ref="B251" r:id="rId210" xr:uid="{ADD12381-BF3E-C04D-94D8-BDE7904F8E29}"/>
    <hyperlink ref="B252" r:id="rId211" xr:uid="{369A8345-F7B5-C14B-9AE5-178C4FACD5B2}"/>
    <hyperlink ref="B253" r:id="rId212" xr:uid="{455ADB97-4B1D-E844-AF70-99D0971B963B}"/>
    <hyperlink ref="B257" r:id="rId213" xr:uid="{C2021C52-FA43-EA4D-9030-0D03CECFAF4A}"/>
    <hyperlink ref="B258" r:id="rId214" xr:uid="{07AFF810-55FC-0347-965E-D46860FC85F8}"/>
    <hyperlink ref="B259" r:id="rId215" xr:uid="{4DD00684-DC75-1149-9371-9C34E43FAE3B}"/>
    <hyperlink ref="B260" r:id="rId216" xr:uid="{9EEDE516-AFC5-B14A-BF49-6540C4406F4A}"/>
    <hyperlink ref="B261" r:id="rId217" xr:uid="{FCE5123A-18C9-8144-B654-B781975F7954}"/>
    <hyperlink ref="B262" r:id="rId218" xr:uid="{920F6031-E3CC-F84C-A180-1905DB1DDDB9}"/>
    <hyperlink ref="B263" r:id="rId219" xr:uid="{BC15224C-82B4-214B-A409-565B4F17D52A}"/>
    <hyperlink ref="B266" r:id="rId220" xr:uid="{950431B6-302B-524D-9FBB-AD9F3F04BD00}"/>
    <hyperlink ref="B269" r:id="rId221" xr:uid="{136051B1-4313-EF46-AE9C-0D0510F8140B}"/>
    <hyperlink ref="B272" r:id="rId222" xr:uid="{86D0A24C-8ED5-2547-9A09-B7EF4F0326BB}"/>
    <hyperlink ref="B273" r:id="rId223" xr:uid="{F9694468-3D97-4440-85A4-440D43A7E2DD}"/>
    <hyperlink ref="B275" r:id="rId224" xr:uid="{5D6D8BE9-701A-9D41-843F-EF2553E58687}"/>
    <hyperlink ref="B276" r:id="rId225" xr:uid="{1CAD5FD8-8BC2-5E49-9593-7BD3D5B1F015}"/>
    <hyperlink ref="B277" r:id="rId226" xr:uid="{6900AD29-8B46-7C46-A76B-BA0F714449E1}"/>
    <hyperlink ref="B278" r:id="rId227" xr:uid="{99A43BB3-2935-4244-922F-CC585E7ECF96}"/>
    <hyperlink ref="B279" r:id="rId228" xr:uid="{9D3CCC4A-622C-0E40-A7BB-6050AD3D56EB}"/>
    <hyperlink ref="B280" r:id="rId229" xr:uid="{732B5AC2-DEA9-184B-800F-11F415E71C65}"/>
    <hyperlink ref="B282" r:id="rId230" xr:uid="{A99D4B2C-DD65-8645-B6F2-CE0CFF2B7512}"/>
    <hyperlink ref="B283" r:id="rId231" xr:uid="{1893E11F-8997-AA40-BBE3-75659ADA82DB}"/>
    <hyperlink ref="B284" r:id="rId232" xr:uid="{74FFC088-8A54-E54E-81D9-BDC79BCCF2B7}"/>
    <hyperlink ref="B285" r:id="rId233" xr:uid="{8212C231-0991-324F-B249-BEB7464E99A3}"/>
    <hyperlink ref="B287" r:id="rId234" xr:uid="{3AE768FD-FE3B-C54E-8164-977AC2C3752D}"/>
    <hyperlink ref="B288" r:id="rId235" xr:uid="{2031417C-F42B-0540-8BC2-0ADB142FC567}"/>
    <hyperlink ref="B290" r:id="rId236" xr:uid="{482B9256-9C8B-CC41-8A09-6BE5EFFF6A81}"/>
    <hyperlink ref="B289" r:id="rId237" xr:uid="{CDE55C2B-7B0A-C649-BBEC-0685F6D31A40}"/>
    <hyperlink ref="B291" r:id="rId238" xr:uid="{2B6390AC-BBB4-A34B-80A1-E689D4419D1D}"/>
    <hyperlink ref="B292" r:id="rId239" xr:uid="{C66E1031-9617-494F-BDC7-4028CDCE410E}"/>
    <hyperlink ref="B293" r:id="rId240" xr:uid="{2DE37B13-855D-4244-9FC5-8A4CB16780C6}"/>
    <hyperlink ref="B296" r:id="rId241" xr:uid="{01D7338B-FA4E-7946-83A2-722E645C7960}"/>
    <hyperlink ref="B297" r:id="rId242" xr:uid="{48C57D97-319E-2740-8C42-349EA228CF26}"/>
    <hyperlink ref="B298" r:id="rId243" xr:uid="{5B057A77-E283-D64D-9323-80AE075E2A5D}"/>
    <hyperlink ref="B299" r:id="rId244" xr:uid="{5F88251E-DDEB-1C43-B03C-5EC8BE5966A3}"/>
    <hyperlink ref="B300" r:id="rId245" xr:uid="{A537907A-3DAB-A94A-ACB5-191BBB9D1E27}"/>
    <hyperlink ref="B301" r:id="rId246" xr:uid="{D0B52CF5-3AFE-A44D-9504-341E378CD3FC}"/>
    <hyperlink ref="B302" r:id="rId247" xr:uid="{3560CD24-6DBB-9645-9420-18CC9DDB1CDF}"/>
    <hyperlink ref="B303" r:id="rId248" xr:uid="{47C20027-8044-B64E-8EB3-6948BA1CBF6A}"/>
    <hyperlink ref="B304" r:id="rId249" xr:uid="{3A6E98A4-76B0-EB47-B680-3C4516C92D07}"/>
    <hyperlink ref="B305" r:id="rId250" xr:uid="{88EC8050-0D64-0A4C-A24E-5C85CD266AC8}"/>
    <hyperlink ref="B306" r:id="rId251" xr:uid="{755D0BAD-AF08-CE42-99AA-A571391D918F}"/>
    <hyperlink ref="B307" r:id="rId252" xr:uid="{284C30E9-8E4D-D84C-8590-49809033F63B}"/>
    <hyperlink ref="B309" r:id="rId253" xr:uid="{B8BF58CC-3CBE-CD40-8F77-F91057F52CD3}"/>
    <hyperlink ref="B310" r:id="rId254" xr:uid="{89DC8FCA-F742-474C-89DA-F2DBD4BB2F13}"/>
    <hyperlink ref="B312" r:id="rId255" xr:uid="{DC3E8999-725A-4B4C-947C-68338CF7F52F}"/>
    <hyperlink ref="B314" r:id="rId256" xr:uid="{F54F6F1B-D6CD-8A4F-8374-E9DED008854C}"/>
    <hyperlink ref="B316" r:id="rId257" xr:uid="{B0994A57-6255-E043-9718-7660552F469A}"/>
    <hyperlink ref="B318" r:id="rId258" xr:uid="{C3840887-B255-4C4A-8109-96E3A7A5731F}"/>
    <hyperlink ref="B319" r:id="rId259" xr:uid="{D36EFE75-4469-184C-9FD3-2F1837C66062}"/>
    <hyperlink ref="B322" r:id="rId260" xr:uid="{55722AB8-0F25-704B-9EAB-569E9B715E07}"/>
    <hyperlink ref="B335" r:id="rId261" xr:uid="{E7CD8B84-C907-E141-B126-9A744412501E}"/>
    <hyperlink ref="B337" r:id="rId262" xr:uid="{7A341E55-7EA9-EB4B-8146-4A1FB831BB3D}"/>
    <hyperlink ref="B338" r:id="rId263" xr:uid="{7BB0F8C7-E09E-384E-B7C0-A779A6E83846}"/>
    <hyperlink ref="B340" r:id="rId264" xr:uid="{D730F98D-4EBD-FC4B-88CE-D8D3A9CD090C}"/>
    <hyperlink ref="B341" r:id="rId265" xr:uid="{BE3C0A74-B901-5D4C-9B24-16716E3FEA29}"/>
    <hyperlink ref="B342" r:id="rId266" xr:uid="{51593FF3-2CE9-004C-8E84-EA81C59EB7A9}"/>
    <hyperlink ref="B343" r:id="rId267" xr:uid="{D01AA3E1-75D9-1B4C-BE0D-44458AAD816E}"/>
    <hyperlink ref="B344" r:id="rId268" xr:uid="{F4361A8B-A298-5748-833A-A5F039E2F1EC}"/>
    <hyperlink ref="B345" r:id="rId269" xr:uid="{8EA88737-D049-8047-99B9-30751BC15CED}"/>
    <hyperlink ref="B347" r:id="rId270" xr:uid="{B101CC42-2848-B742-B729-71018772ED09}"/>
    <hyperlink ref="B348" r:id="rId271" xr:uid="{BF897D4C-8652-D543-B0D7-1CB319FF108C}"/>
    <hyperlink ref="B349" r:id="rId272" xr:uid="{1D1464D0-83EC-7842-B837-6644B29B7868}"/>
    <hyperlink ref="B350" r:id="rId273" xr:uid="{2BCC64F4-C227-194A-94C0-FF157D1666D1}"/>
    <hyperlink ref="B351" r:id="rId274" xr:uid="{8F09C71C-66C0-8144-8277-CF1607CEB962}"/>
    <hyperlink ref="B352" r:id="rId275" xr:uid="{D4960343-4ECE-A746-9EF6-16713F7E546B}"/>
    <hyperlink ref="B353" r:id="rId276" xr:uid="{642424F3-2C4F-0647-AEFA-CADAC4137F23}"/>
    <hyperlink ref="B355" r:id="rId277" xr:uid="{5681B76F-AE17-0C43-BA24-BBF5EDA7CBF3}"/>
    <hyperlink ref="B354" r:id="rId278" xr:uid="{08210B42-D7FE-9E44-B0F8-F49E7C08F056}"/>
    <hyperlink ref="B358" r:id="rId279" xr:uid="{7E042353-F32E-EA4F-8340-814AB1E91B9E}"/>
    <hyperlink ref="B359" r:id="rId280" xr:uid="{E65E4B6E-947D-8D42-88D1-7FDBA5DAAF96}"/>
    <hyperlink ref="B360" r:id="rId281" xr:uid="{8903E990-9DF1-7044-A37D-DAE2AC390C95}"/>
    <hyperlink ref="B362" r:id="rId282" xr:uid="{5DC6096F-2359-9842-8857-A4FC412F19B8}"/>
    <hyperlink ref="B364" r:id="rId283" xr:uid="{48AC1847-1531-F448-B6EE-1A63771FB0F8}"/>
    <hyperlink ref="B365" r:id="rId284" xr:uid="{3804F4C0-2394-0049-8F05-0E7C00CA2D67}"/>
    <hyperlink ref="B366" r:id="rId285" xr:uid="{221151A8-1BE7-E144-800D-53CDE5E7E8EE}"/>
    <hyperlink ref="B367" r:id="rId286" xr:uid="{26CCDB2D-5830-F144-B0CE-D13B24DB55F9}"/>
    <hyperlink ref="B369" r:id="rId287" xr:uid="{F2831D12-099D-AD4A-9008-8353C5FC32EA}"/>
    <hyperlink ref="B370" r:id="rId288" xr:uid="{1F7E8124-D2D2-7144-A2A9-3680779C1EDE}"/>
    <hyperlink ref="B372" r:id="rId289" xr:uid="{F9DD395D-F8B1-434B-BF23-E46062B45CD7}"/>
    <hyperlink ref="B373" r:id="rId290" xr:uid="{30D51874-A7B0-904A-844D-49D5DB69A3F7}"/>
    <hyperlink ref="B375" r:id="rId291" xr:uid="{9AABF609-E235-5547-A6D3-CBDF3AEC77D8}"/>
    <hyperlink ref="B376" r:id="rId292" xr:uid="{EFDCAB84-BCED-8A4D-9156-997EED9F89E6}"/>
    <hyperlink ref="B377" r:id="rId293" xr:uid="{C3A230CC-3158-F848-B399-29DA40FD2B3A}"/>
    <hyperlink ref="B378" r:id="rId294" xr:uid="{465B3CA4-015D-694E-9606-D42667389C7A}"/>
    <hyperlink ref="B379" r:id="rId295" xr:uid="{58CF27B8-159C-8447-BD23-82985C061AE6}"/>
    <hyperlink ref="B381" r:id="rId296" xr:uid="{9939476D-A06C-A943-995D-405D9D5D7B30}"/>
    <hyperlink ref="B382" r:id="rId297" xr:uid="{D0D81ECC-D55C-0347-8FF2-2326FAF2623F}"/>
    <hyperlink ref="B383" r:id="rId298" xr:uid="{76A5CF68-6262-8340-B78E-B9EAD679ADA5}"/>
    <hyperlink ref="B384" r:id="rId299" xr:uid="{8FA69C32-00B0-634D-B305-FFC571545D82}"/>
    <hyperlink ref="B385" r:id="rId300" xr:uid="{B49DCCFE-F88B-DC41-9FCF-F83ECD62BC3F}"/>
    <hyperlink ref="B386" r:id="rId301" xr:uid="{B90EE1DE-F7D5-8548-A92E-DCF04AC53DD0}"/>
    <hyperlink ref="B387" r:id="rId302" xr:uid="{E3083283-E00C-4349-9684-7047DC9C2D83}"/>
    <hyperlink ref="B388" r:id="rId303" xr:uid="{F0B81E41-DD4C-3141-9ECD-F9DA790DB8F5}"/>
    <hyperlink ref="B389" r:id="rId304" xr:uid="{69BBACC6-C943-D74D-8EDC-73D40F20BB8F}"/>
    <hyperlink ref="B390" r:id="rId305" xr:uid="{6B0E569F-E7BF-F048-944E-D718FF540190}"/>
    <hyperlink ref="B391" r:id="rId306" xr:uid="{CF0F4FF6-487E-E04B-B237-61A0683699EE}"/>
    <hyperlink ref="B393" r:id="rId307" xr:uid="{6B4EF636-AF55-8E45-A0BD-6EF74ED5A123}"/>
    <hyperlink ref="B399" r:id="rId308" xr:uid="{2F8A8BE9-FCAA-CA4C-9BBB-B54D6A0DEE51}"/>
    <hyperlink ref="B400" r:id="rId309" xr:uid="{D54CEA2A-A723-0348-B250-6BDB761B9E67}"/>
    <hyperlink ref="B401" r:id="rId310" xr:uid="{4DC30989-05B0-1D49-A306-BFEF85C1DB79}"/>
    <hyperlink ref="B403" r:id="rId311" xr:uid="{0D2A3F57-56CB-7646-938A-C87F66E1227A}"/>
    <hyperlink ref="B404" r:id="rId312" xr:uid="{67357033-9C01-5F4F-8EDA-F49FE991031D}"/>
    <hyperlink ref="B406" r:id="rId313" xr:uid="{80A2BBD1-26C7-F64E-92F5-9705760D95AB}"/>
    <hyperlink ref="B415" r:id="rId314" xr:uid="{6C76CE19-97C9-C647-976C-D9882341F8DF}"/>
    <hyperlink ref="B416" r:id="rId315" xr:uid="{6716FB07-77D7-1740-8B7E-3AB289C990F5}"/>
    <hyperlink ref="B426" r:id="rId316" xr:uid="{0F26F46B-3DD3-9046-80D0-D3723AFA2C71}"/>
    <hyperlink ref="B463" r:id="rId317" xr:uid="{F719FF97-70A7-F848-AD07-54BBFF27FEA1}"/>
    <hyperlink ref="B464" r:id="rId318" xr:uid="{B3E488CD-0080-1741-8644-F28C8D82E0DD}"/>
    <hyperlink ref="B467" r:id="rId319" xr:uid="{614E51EA-31EA-6B41-99D9-5EE9E776C288}"/>
    <hyperlink ref="B466" r:id="rId320" xr:uid="{827647DA-6CC0-6449-887D-0E266BB4CB15}"/>
    <hyperlink ref="B469" r:id="rId321" xr:uid="{66B6C169-4E7C-6A47-9D0A-C148C966FEE9}"/>
    <hyperlink ref="B473" r:id="rId322" xr:uid="{5F1E0536-E895-D64D-89A5-313F02EF84AB}"/>
    <hyperlink ref="B486" r:id="rId323" xr:uid="{8336130F-EFF3-4245-8D7A-B6E40FE6522B}"/>
    <hyperlink ref="B545" r:id="rId324" xr:uid="{4A14D6CD-6E10-844C-85B6-83DC1B98EE4C}"/>
    <hyperlink ref="B544" r:id="rId325" xr:uid="{F24893FB-BF37-634D-ADE8-FC3268046266}"/>
    <hyperlink ref="B568" r:id="rId326" xr:uid="{6EF1B5AA-E162-144A-8205-03C7E1927D61}"/>
    <hyperlink ref="B576" r:id="rId327" xr:uid="{E7A61FC6-9A8C-B346-9E93-15D42178E44B}"/>
    <hyperlink ref="B617" r:id="rId328" xr:uid="{1178F37E-34F3-454C-8E3D-0F263839C6FC}"/>
    <hyperlink ref="B539" r:id="rId329" xr:uid="{C33721EC-0F46-6C48-9D07-85008C272FB2}"/>
    <hyperlink ref="B541" r:id="rId330" xr:uid="{99B253ED-92D1-084B-9E47-65CD8A89A02F}"/>
    <hyperlink ref="B540" r:id="rId331" xr:uid="{7E3A9006-74E8-414B-8EC3-6CFC34C8E028}"/>
    <hyperlink ref="B542" r:id="rId332" xr:uid="{C46871B4-8728-BA4D-BA7D-CB9D50990D81}"/>
    <hyperlink ref="B543" r:id="rId333" xr:uid="{CC281202-6F4C-BE45-8D70-EAC7301F2FFE}"/>
    <hyperlink ref="B549" r:id="rId334" xr:uid="{E08923B7-5710-E242-9A0D-2D483890CEA0}"/>
    <hyperlink ref="B553" r:id="rId335" xr:uid="{ACAC88FF-4458-DC40-8A54-BBEBF2BA72BB}"/>
    <hyperlink ref="B555" r:id="rId336" xr:uid="{BCCA47E0-CD78-AA44-87C4-7914D6293503}"/>
    <hyperlink ref="B556" r:id="rId337" xr:uid="{62111C1C-5DC8-2743-A764-370E0C093C43}"/>
    <hyperlink ref="B557" r:id="rId338" xr:uid="{0B4F03C5-2646-2E41-BED8-145EB5C76E8B}"/>
    <hyperlink ref="B559" r:id="rId339" xr:uid="{94A99F3D-C56F-3247-BEEA-FB354BB2170D}"/>
    <hyperlink ref="B561" r:id="rId340" xr:uid="{D739B36D-1001-674B-B109-E9AA13E2263A}"/>
    <hyperlink ref="B564" r:id="rId341" xr:uid="{93FA250E-A017-334C-8502-C38601B5D867}"/>
    <hyperlink ref="B565" r:id="rId342" xr:uid="{85120D50-8DC1-B748-82B8-3B2E47CEB22A}"/>
    <hyperlink ref="B566" r:id="rId343" xr:uid="{4F2ECC83-8F89-5E43-B09D-4B79A20AA04D}"/>
    <hyperlink ref="B567" r:id="rId344" xr:uid="{88E0A5C6-8518-4C43-9CA9-AD6FE72F9EC7}"/>
    <hyperlink ref="B648" r:id="rId345" xr:uid="{DB5770EC-1224-E149-B73B-867B29E84FD3}"/>
    <hyperlink ref="B667" r:id="rId346" xr:uid="{3C09CFA0-7053-BF45-B1D8-C83D47A8C89E}"/>
    <hyperlink ref="B683" r:id="rId347" xr:uid="{E2D5EDFA-8A98-E34B-808D-CADD7673440A}"/>
    <hyperlink ref="B684" r:id="rId348" xr:uid="{47B19D7B-6751-9B4A-B27D-13C906EFC81C}"/>
    <hyperlink ref="B685" r:id="rId349" xr:uid="{A7932328-9261-2F47-9BB3-D47DD41EC134}"/>
    <hyperlink ref="B686" r:id="rId350" xr:uid="{18B5F6EB-3F54-274A-B130-6CD29F6A3BDF}"/>
    <hyperlink ref="B708" r:id="rId351" xr:uid="{5B540A07-064B-F346-A7CC-84B296DE514F}"/>
    <hyperlink ref="B715" r:id="rId352" xr:uid="{02D816E4-7C5F-5A43-AECF-880E9E04E1F7}"/>
    <hyperlink ref="B721" r:id="rId353" xr:uid="{6C3BD513-F530-9041-AE0E-FAF23D6E49F3}"/>
    <hyperlink ref="B417" r:id="rId354" xr:uid="{6EEBA48C-F982-E947-A9C2-2BAB628BCBD4}"/>
    <hyperlink ref="B418" r:id="rId355" xr:uid="{D2BFA78D-1ACF-E14F-A7E2-C6D99F249F87}"/>
    <hyperlink ref="B419" r:id="rId356" xr:uid="{E513649B-BC0E-4346-ADDC-1209278C995E}"/>
    <hyperlink ref="B420" r:id="rId357" xr:uid="{26A3923C-5039-914D-932D-0CB62D32EF93}"/>
    <hyperlink ref="B421" r:id="rId358" xr:uid="{29628889-794A-9D40-9D7E-088123407C74}"/>
    <hyperlink ref="B422" r:id="rId359" xr:uid="{1CCA285C-474B-C041-B570-33F7E203BAE3}"/>
    <hyperlink ref="B428" r:id="rId360" xr:uid="{3D08BBE2-9E13-A84D-A3E8-F98DC2377ED9}"/>
    <hyperlink ref="B429" r:id="rId361" xr:uid="{74E0ECBD-B06C-E441-A456-ADFE527D9EB8}"/>
    <hyperlink ref="B431" r:id="rId362" xr:uid="{7AD78655-7D65-8746-B1A4-58C3A3FD6C4A}"/>
    <hyperlink ref="B432" r:id="rId363" xr:uid="{762DC012-B2D3-F943-9B6C-35EF68DC3260}"/>
    <hyperlink ref="B433" r:id="rId364" xr:uid="{86199E3D-0C7C-8D45-A0D2-24EB317BB47C}"/>
    <hyperlink ref="B435" r:id="rId365" xr:uid="{1E4924AC-7384-B44B-BEC9-A6565D7E6534}"/>
    <hyperlink ref="B438" r:id="rId366" xr:uid="{678148AF-079C-E048-9607-FE82A477F68D}"/>
    <hyperlink ref="B441" r:id="rId367" xr:uid="{5942F7FF-870B-5448-95A0-82E4B56711B8}"/>
    <hyperlink ref="B442" r:id="rId368" xr:uid="{35DEB860-40ED-4248-92E5-6636BF644DB2}"/>
    <hyperlink ref="B757" r:id="rId369" xr:uid="{8FBB9271-2917-DC46-81E3-8924C220738D}"/>
    <hyperlink ref="B758" r:id="rId370" xr:uid="{BAFE8AF8-00DC-B842-A405-A9DCCFD20886}"/>
    <hyperlink ref="B759" r:id="rId371" xr:uid="{88D65631-10D5-8E47-A975-5311284F07AC}"/>
    <hyperlink ref="B760" r:id="rId372" xr:uid="{9FABA967-A04A-784A-8509-4B40AFE02BC9}"/>
    <hyperlink ref="B761" r:id="rId373" xr:uid="{F0B3D2FF-314B-8145-8B44-416134252F74}"/>
    <hyperlink ref="B762" r:id="rId374" xr:uid="{FF9B00B1-3530-FE4F-89B3-54540ABEBDE1}"/>
    <hyperlink ref="B763" r:id="rId375" xr:uid="{135A13D7-2C67-B043-A2CA-79C2D0D835FE}"/>
    <hyperlink ref="B764" r:id="rId376" xr:uid="{45C176B5-E470-7A4B-8860-987112E93F37}"/>
    <hyperlink ref="B766" r:id="rId377" xr:uid="{47C1BD32-7083-C34E-9F70-4CEFD843180C}"/>
    <hyperlink ref="B767" r:id="rId378" xr:uid="{C15C4AA8-1B94-5747-B11A-32972CF312D3}"/>
    <hyperlink ref="B768" r:id="rId379" xr:uid="{93493E3C-C6C8-9540-922C-8B05F226F83C}"/>
    <hyperlink ref="B769" r:id="rId380" xr:uid="{728561DA-714E-DA47-AE9C-C0EEAD6050C1}"/>
    <hyperlink ref="B770" r:id="rId381" xr:uid="{06F088AD-4E94-E641-B04C-82F59BBBB222}"/>
    <hyperlink ref="B771" r:id="rId382" xr:uid="{655062F5-453E-044C-B258-2F02BA7A81C1}"/>
    <hyperlink ref="B773" r:id="rId383" xr:uid="{BAFC4462-AB24-2B47-94AA-568FA55184BF}"/>
    <hyperlink ref="B774" r:id="rId384" xr:uid="{BE2A797A-3461-9E4D-9974-EB585978370B}"/>
    <hyperlink ref="B775" r:id="rId385" xr:uid="{64E1278B-920A-1446-A692-9E362F8449E5}"/>
    <hyperlink ref="B776" r:id="rId386" xr:uid="{054201FC-E5E5-8743-B03C-187982BF1C7E}"/>
    <hyperlink ref="B778" r:id="rId387" xr:uid="{2DB89716-A715-2A44-9F68-3C7D32487D4A}"/>
    <hyperlink ref="B779" r:id="rId388" xr:uid="{F63C9B86-2ABE-A14E-8EAA-0E84CB15A075}"/>
    <hyperlink ref="B782" r:id="rId389" xr:uid="{CF9105A0-EFB8-6B40-9C00-5888731E60E0}"/>
    <hyperlink ref="B783" r:id="rId390" xr:uid="{D42CFED7-5162-824B-A672-BB9B683B9038}"/>
    <hyperlink ref="B784" r:id="rId391" xr:uid="{9744D530-E336-1846-AFE5-0C4D905A8858}"/>
    <hyperlink ref="B785" r:id="rId392" xr:uid="{67F47D6C-2F3C-E144-8A32-72D5113BF5C9}"/>
    <hyperlink ref="B786" r:id="rId393" xr:uid="{1E0CC812-529A-4040-B564-88A071DDD6C2}"/>
    <hyperlink ref="B787" r:id="rId394" xr:uid="{0B4FA23E-913A-324D-9022-244311966520}"/>
    <hyperlink ref="B788" r:id="rId395" xr:uid="{29095419-D31B-5E4A-BF83-A8AF1BD5CE3E}"/>
    <hyperlink ref="B789" r:id="rId396" xr:uid="{3D2495CD-9363-1A41-B490-A3BA153C87B4}"/>
    <hyperlink ref="B790" r:id="rId397" xr:uid="{19C9CFDD-8A4C-A644-B63E-DA2662531F44}"/>
    <hyperlink ref="B755" r:id="rId398" xr:uid="{229C4AA3-101C-504A-8873-A0230D1EE77A}"/>
    <hyperlink ref="B754" r:id="rId399" xr:uid="{DE1B32B9-3623-4846-8272-7A1B3B03308D}"/>
    <hyperlink ref="B752" r:id="rId400" xr:uid="{BFD834E9-DA10-0D42-BB94-E10D6B26EEBF}"/>
    <hyperlink ref="B737" r:id="rId401" xr:uid="{FB3B793C-DD0B-C747-AB40-47C1A71F159A}"/>
    <hyperlink ref="B736" r:id="rId402" xr:uid="{BF914FEF-4AB0-494F-89C5-2C1CF6DB5699}"/>
    <hyperlink ref="B735" r:id="rId403" xr:uid="{FF7DF33B-D1C8-2C4E-AE27-93B405C8910A}"/>
    <hyperlink ref="B734" r:id="rId404" xr:uid="{411E42B4-7973-D844-A994-A6F3996A9FD6}"/>
    <hyperlink ref="B732" r:id="rId405" xr:uid="{3855061D-3CB8-1B48-ABD5-74F039A28006}"/>
    <hyperlink ref="B731" r:id="rId406" xr:uid="{EACEDB27-5A63-614E-ABDD-BB07CDBEED20}"/>
    <hyperlink ref="B716" r:id="rId407" xr:uid="{C1B00F5A-075B-3449-A7F4-E9E31FA7992D}"/>
    <hyperlink ref="B713" r:id="rId408" xr:uid="{C295BF41-ED64-644A-AA19-944717DEFC0F}"/>
    <hyperlink ref="B712" r:id="rId409" xr:uid="{00000000-0004-0000-0000-000022000000}"/>
    <hyperlink ref="B711" r:id="rId410" xr:uid="{A9DC3019-553C-F847-A2D7-C0FC468DD7F2}"/>
    <hyperlink ref="B710" r:id="rId411" xr:uid="{F150F357-97D5-1E4B-847C-6556A8A7B7E5}"/>
    <hyperlink ref="B709" r:id="rId412" xr:uid="{8F42B732-AE6C-0F48-82F4-1F6B47D32D3E}"/>
    <hyperlink ref="B705" r:id="rId413" xr:uid="{2AE3043E-7944-954E-9D70-F75EF3EAD9B7}"/>
    <hyperlink ref="B704" r:id="rId414" xr:uid="{15B35410-ACF5-8F43-A975-91E5FBC643D6}"/>
    <hyperlink ref="B703" r:id="rId415" xr:uid="{D3993166-0120-094F-8448-6AC3539C0C08}"/>
    <hyperlink ref="B702" r:id="rId416" xr:uid="{5119532E-1328-4A4F-8ABA-A7245BB28003}"/>
    <hyperlink ref="B697" r:id="rId417" xr:uid="{DAA4BE79-FA98-7C43-A406-F2259B0BD7D4}"/>
    <hyperlink ref="B692" r:id="rId418" xr:uid="{1138C6EE-FBBE-7842-9C71-34947800AAC8}"/>
    <hyperlink ref="B689" r:id="rId419" xr:uid="{A4961E69-2124-0241-8F76-9292F87661E5}"/>
    <hyperlink ref="B688" r:id="rId420" xr:uid="{C6990437-CDBD-2D41-BB07-D8502AEAD330}"/>
    <hyperlink ref="B681" r:id="rId421" xr:uid="{19F33463-7C5C-4542-8B3E-71B3C17452E7}"/>
    <hyperlink ref="B680" r:id="rId422" xr:uid="{3829D38C-5179-5948-9FC1-00B35C3931D6}"/>
    <hyperlink ref="B679" r:id="rId423" xr:uid="{C22BDFA2-44AE-554C-8542-324BA8A43C3F}"/>
    <hyperlink ref="B678" r:id="rId424" xr:uid="{B56D8369-2873-0B49-BDD9-BE6AB4F5FA71}"/>
    <hyperlink ref="B677" r:id="rId425" xr:uid="{A5FF571F-6115-F74E-B72B-9B012B6C9AD3}"/>
    <hyperlink ref="B676" r:id="rId426" xr:uid="{6C2A21B9-A39D-E147-84AE-62D0F0CBE3FC}"/>
    <hyperlink ref="B675" r:id="rId427" xr:uid="{F5A3CCC2-0759-D342-8D4D-2E1E9346477E}"/>
    <hyperlink ref="B674" r:id="rId428" xr:uid="{D882DAAF-1CD5-804E-90CA-9BF63E8D5DAD}"/>
    <hyperlink ref="B672" r:id="rId429" xr:uid="{38F74643-E206-314B-B119-370C85F9A719}"/>
    <hyperlink ref="B670" r:id="rId430" xr:uid="{4F47CDAD-53E6-A348-9B60-8CE0CF25FB2A}"/>
    <hyperlink ref="B669" r:id="rId431" xr:uid="{C327079E-D8E3-F644-9A3A-0F8CEA9F7DCC}"/>
    <hyperlink ref="B668" r:id="rId432" xr:uid="{E6202D4A-A9C3-E745-9E59-9130B362EC2C}"/>
    <hyperlink ref="B666" r:id="rId433" xr:uid="{65E77EA9-9337-3243-8027-598197C4540D}"/>
    <hyperlink ref="B664" r:id="rId434" xr:uid="{2716AD46-8904-CF46-9317-A3516A6FD782}"/>
    <hyperlink ref="B661" r:id="rId435" xr:uid="{B01DDC84-E5BD-8348-9F7D-A613CE49110E}"/>
    <hyperlink ref="B654" r:id="rId436" xr:uid="{A691C2A1-D6B2-2C42-A425-0DABFBDB0672}"/>
    <hyperlink ref="B653" r:id="rId437" xr:uid="{F4D700AC-A7CC-2E44-A821-5A3866039E1C}"/>
    <hyperlink ref="B652" r:id="rId438" xr:uid="{B0605AF3-6A95-674D-9A48-D08A17C8EC21}"/>
    <hyperlink ref="B650" r:id="rId439" xr:uid="{D48429B9-FAE7-9449-88D9-FC2ACF04B9B2}"/>
    <hyperlink ref="B649" r:id="rId440" xr:uid="{2E7818FD-18FA-B04A-88A4-4B74B68609CF}"/>
    <hyperlink ref="B644" r:id="rId441" xr:uid="{39000010-B542-234F-ADD4-8EB12AC35DC6}"/>
    <hyperlink ref="B642" r:id="rId442" xr:uid="{F15B6B7A-DCEE-E245-B496-A235D725EBB1}"/>
    <hyperlink ref="B641" r:id="rId443" xr:uid="{2E4924C1-F180-B94D-8839-0E91FF1BC59A}"/>
    <hyperlink ref="B640" r:id="rId444" xr:uid="{22ADB267-623F-C144-B616-5F90AB186F0B}"/>
    <hyperlink ref="B639" r:id="rId445" xr:uid="{CC447706-4285-3346-B790-104C87140A4B}"/>
    <hyperlink ref="B638" r:id="rId446" xr:uid="{4C9B2AB2-8AC7-334C-AE17-E270264556CF}"/>
    <hyperlink ref="B637" r:id="rId447" xr:uid="{1940DAE0-CD92-9F42-9308-08F8C879FB1A}"/>
    <hyperlink ref="B636" r:id="rId448" xr:uid="{9381EEDE-509A-EA4C-82CA-DF51F6B4EE66}"/>
    <hyperlink ref="B635" r:id="rId449" xr:uid="{88025299-5FFE-AC40-B113-25BEBADC1B88}"/>
    <hyperlink ref="B634" r:id="rId450" xr:uid="{54E4E454-F823-4C48-AFD3-804C3B39B899}"/>
    <hyperlink ref="B633" r:id="rId451" xr:uid="{524E488C-3409-A24C-AE23-E89FE9A68EB6}"/>
    <hyperlink ref="B632" r:id="rId452" xr:uid="{8E502266-B476-AC44-9480-2650E0ED6F77}"/>
    <hyperlink ref="B631" r:id="rId453" xr:uid="{465F6726-52AC-B54D-8DA8-0D7E399E19EC}"/>
    <hyperlink ref="B630" r:id="rId454" xr:uid="{DEC6D475-E025-5F45-A7F9-2EF355A4F275}"/>
    <hyperlink ref="B628" r:id="rId455" xr:uid="{73ABB70E-72BD-2442-9180-6B98907C8404}"/>
    <hyperlink ref="B626" r:id="rId456" xr:uid="{44B38CDC-53BF-FA45-BD76-2F1BD8CE07B5}"/>
    <hyperlink ref="B624" r:id="rId457" xr:uid="{ACAA4EBF-3469-FC42-A8B6-14F8F8642F7F}"/>
    <hyperlink ref="B623" r:id="rId458" xr:uid="{EB86AFDE-77C4-F54C-8BF4-2DC2EFFAD634}"/>
    <hyperlink ref="B620" r:id="rId459" xr:uid="{5E355400-86F9-CB4D-97BF-705A7B0B7E20}"/>
    <hyperlink ref="B616" r:id="rId460" xr:uid="{3D4ADB32-5C2C-BF46-86E0-AA7C0DEF3369}"/>
    <hyperlink ref="B614" r:id="rId461" xr:uid="{774A30D5-EC4B-1D4F-9317-113A03679BC8}"/>
    <hyperlink ref="B613" r:id="rId462" xr:uid="{C1FCC288-32D3-A64A-8F5F-93C0F5FF4E6C}"/>
    <hyperlink ref="B612" r:id="rId463" xr:uid="{F220C37B-D3BF-E545-9DB1-207D8F90F31B}"/>
    <hyperlink ref="B611" r:id="rId464" xr:uid="{B06B9B13-C51A-3D4C-B597-70154B3C0C2A}"/>
    <hyperlink ref="B610" r:id="rId465" xr:uid="{B94CB8DF-0087-2E44-9709-B37EBEDCCD25}"/>
    <hyperlink ref="B609" r:id="rId466" xr:uid="{17D06C26-81C4-144D-8B64-16052AAA446B}"/>
    <hyperlink ref="B608" r:id="rId467" xr:uid="{E8FDEB4C-C43B-2F4E-BD98-49920A612E29}"/>
    <hyperlink ref="B607" r:id="rId468" xr:uid="{1734D6DA-5860-444B-A8C1-ADB0D483B445}"/>
    <hyperlink ref="B606" r:id="rId469" xr:uid="{3D8C0919-8A99-6548-AC21-0DFD78C1E96C}"/>
    <hyperlink ref="B605" r:id="rId470" xr:uid="{7BBB4554-AA34-7B4A-ADFA-49A8B8200715}"/>
    <hyperlink ref="B604" r:id="rId471" xr:uid="{C1A0D407-9221-C54F-B824-C5A7560196C2}"/>
    <hyperlink ref="B603" r:id="rId472" xr:uid="{EC74B670-C3C4-FA4C-9F40-63AD5B9D60ED}"/>
    <hyperlink ref="B602" r:id="rId473" xr:uid="{7B86F477-4E4A-F544-A323-1EFB53BDAB46}"/>
    <hyperlink ref="B601" r:id="rId474" xr:uid="{817D28A4-AEED-B04F-B747-207B39164D0F}"/>
    <hyperlink ref="B600" r:id="rId475" xr:uid="{67AD0AD4-9E4E-D042-905E-C9FE191CEC8F}"/>
    <hyperlink ref="B599" r:id="rId476" xr:uid="{BD466395-6EB3-414F-85C7-80C5F003F57D}"/>
    <hyperlink ref="B598" r:id="rId477" xr:uid="{9CBFF278-647B-E84C-9C0A-A7C37E0155A8}"/>
    <hyperlink ref="B597" r:id="rId478" xr:uid="{DC161458-E33A-E440-8978-C30AF1F7ED41}"/>
    <hyperlink ref="B596" r:id="rId479" xr:uid="{ACE8E566-4491-BB40-86D0-D939837BF879}"/>
    <hyperlink ref="B595" r:id="rId480" xr:uid="{A81DB538-F19E-9E40-9B76-F0783C98FB1F}"/>
    <hyperlink ref="B594" r:id="rId481" xr:uid="{17067AB3-43D0-2C4C-96F1-C93FEF9D4CF7}"/>
    <hyperlink ref="B591" r:id="rId482" xr:uid="{E58F6F87-823A-E249-80AD-7A8EA13392B3}"/>
    <hyperlink ref="B590" r:id="rId483" xr:uid="{EAFFA4D0-EA3E-E04A-A2C5-B6647630B758}"/>
    <hyperlink ref="B589" r:id="rId484" xr:uid="{D0913843-CA9E-B44D-9241-C5CD28E7C9D7}"/>
    <hyperlink ref="B588" r:id="rId485" xr:uid="{D0FE4C83-2C25-FB48-879D-FEC4676A687F}"/>
    <hyperlink ref="B587" r:id="rId486" xr:uid="{49435E4A-E19D-A74B-B5A1-4C2CF4BCDD8A}"/>
    <hyperlink ref="B585" r:id="rId487" xr:uid="{B3B38B7E-3455-F642-8A92-010ED550AAC1}"/>
    <hyperlink ref="B583" r:id="rId488" xr:uid="{CD936CDF-ADFA-3C4C-B10E-21DDFD2E8879}"/>
    <hyperlink ref="B581" r:id="rId489" xr:uid="{876AF218-1537-3949-8415-AFDB2318206A}"/>
    <hyperlink ref="B580" r:id="rId490" xr:uid="{B98A7DD3-AD16-A249-9E76-5011DCA01883}"/>
    <hyperlink ref="B579" r:id="rId491" xr:uid="{84CCA7FA-E815-4343-9357-94D630ED2E12}"/>
    <hyperlink ref="B578" r:id="rId492" xr:uid="{43D501ED-9435-A247-A3D1-DC2EF9DADFD3}"/>
    <hyperlink ref="B575" r:id="rId493" xr:uid="{7BE99DE5-1938-F741-930E-B86A29D93DAA}"/>
    <hyperlink ref="B572" r:id="rId494" xr:uid="{9F2CB59A-31CF-374C-88AA-CDA84AA9CE03}"/>
    <hyperlink ref="B569" r:id="rId495" xr:uid="{C37C6C5F-F2E1-EA49-8FBD-E13AA17D035A}"/>
    <hyperlink ref="B443" r:id="rId496" xr:uid="{AFC69F9D-4587-FC40-8709-0C966379B52D}"/>
    <hyperlink ref="B444" r:id="rId497" xr:uid="{EC920DC9-BB4E-6F4D-B309-6119DD6BC215}"/>
    <hyperlink ref="B445" r:id="rId498" xr:uid="{7B193CBF-2EEE-BF45-8881-9C5716B9FA50}"/>
    <hyperlink ref="B446" r:id="rId499" xr:uid="{E4279F45-FD4B-0D48-AA92-42AF7EFD51CB}"/>
    <hyperlink ref="B448" r:id="rId500" xr:uid="{FFB06433-9FB4-2A4C-9587-04FC85B34941}"/>
    <hyperlink ref="B449" r:id="rId501" xr:uid="{3797D319-4E26-D243-B031-8F53B36C9A70}"/>
    <hyperlink ref="B450" r:id="rId502" xr:uid="{66A7B36D-649B-9D4B-9ED0-D8149C7998F4}"/>
    <hyperlink ref="B451" r:id="rId503" xr:uid="{C8F5F292-093F-DE47-993C-93FECE2CC340}"/>
    <hyperlink ref="B452" r:id="rId504" xr:uid="{F374151E-4B72-184F-A62F-F94698AFC2C0}"/>
    <hyperlink ref="B454" r:id="rId505" xr:uid="{76FFF2EC-703B-FC48-848D-2292481864A1}"/>
    <hyperlink ref="B456" r:id="rId506" xr:uid="{8E0B435C-82B7-FB42-BEC1-A482957974F6}"/>
    <hyperlink ref="B457" r:id="rId507" xr:uid="{2E703FEB-7179-874F-877D-6F671B11F16C}"/>
    <hyperlink ref="B458" r:id="rId508" xr:uid="{42D970A0-4926-774D-A519-DCCAE00F0322}"/>
    <hyperlink ref="B459" r:id="rId509" xr:uid="{59249C38-3259-8F48-A53E-5900A89E3D8E}"/>
    <hyperlink ref="B460" r:id="rId510" xr:uid="{420FCA14-63B3-B94D-8465-31478CB9F45A}"/>
    <hyperlink ref="B461" r:id="rId511" xr:uid="{01818777-D69B-324A-9A5F-42161B466E42}"/>
    <hyperlink ref="B462" r:id="rId512" xr:uid="{CAFB0548-CB70-5842-BCB1-921AFD879CDE}"/>
    <hyperlink ref="B468" r:id="rId513" xr:uid="{C368E6AD-3D3A-F048-80D1-86B87BCB4488}"/>
    <hyperlink ref="B470" r:id="rId514" xr:uid="{58A414A2-6807-314E-BCBC-9A16BF365D2F}"/>
    <hyperlink ref="B471" r:id="rId515" xr:uid="{969A4F99-8B65-0640-9624-2B09000288B1}"/>
    <hyperlink ref="B472" r:id="rId516" xr:uid="{BE356201-575E-BB48-95E8-9F5A90F895D0}"/>
    <hyperlink ref="B474" r:id="rId517" xr:uid="{1C474B2F-5374-BE4F-A0F6-5A6B52DC5D7C}"/>
    <hyperlink ref="B476" r:id="rId518" xr:uid="{BEAB8A5C-BB36-8146-9D46-6A25E603AF36}"/>
    <hyperlink ref="B479" r:id="rId519" xr:uid="{76468CD6-DEAB-0746-9AA0-483F50591319}"/>
    <hyperlink ref="B480" r:id="rId520" xr:uid="{65F4593A-8DDF-7341-877F-470A7F239426}"/>
    <hyperlink ref="B481" r:id="rId521" xr:uid="{EE14A8AB-DBEF-D54A-B51E-646D390191B5}"/>
    <hyperlink ref="B482" r:id="rId522" xr:uid="{BC28292D-53CA-5B41-9A4A-C57F1A555237}"/>
    <hyperlink ref="B484" r:id="rId523" xr:uid="{0A966C93-68CF-5D4B-8424-E22E3292836D}"/>
    <hyperlink ref="B485" r:id="rId524" xr:uid="{F9978069-49E9-6340-A4CD-36E0CE71C8FF}"/>
    <hyperlink ref="B487" r:id="rId525" xr:uid="{43882B5F-51FC-1A41-8860-075D75319F7C}"/>
    <hyperlink ref="B488" r:id="rId526" xr:uid="{37C16E38-DBCA-7543-8588-E041CF5E672D}"/>
    <hyperlink ref="B490" r:id="rId527" xr:uid="{B24EEEC7-78E9-DB4F-AEDA-4A75AE985DC5}"/>
    <hyperlink ref="B491" r:id="rId528" xr:uid="{3FDB1860-23C7-ED4E-B45A-E3E6AD288FE7}"/>
    <hyperlink ref="B493" r:id="rId529" xr:uid="{4DE46369-05B8-1B43-B79C-7AE54AF4608C}"/>
    <hyperlink ref="B494" r:id="rId530" xr:uid="{D6039953-FF6E-FB4C-8943-9163EAE76F04}"/>
    <hyperlink ref="B495" r:id="rId531" xr:uid="{CE0361D8-6D34-D841-9102-459595C48762}"/>
    <hyperlink ref="B496" r:id="rId532" xr:uid="{EBE3AF0B-99D3-6743-9F77-FF421C3C1918}"/>
    <hyperlink ref="B497" r:id="rId533" xr:uid="{CA89A0A4-1B53-E944-81C1-F4188833BE70}"/>
    <hyperlink ref="B500" r:id="rId534" xr:uid="{AA827183-9C00-1244-8651-28F631625E8C}"/>
    <hyperlink ref="B502" r:id="rId535" xr:uid="{21FB6C3C-92D9-3C49-8FD3-CDC454759DB2}"/>
    <hyperlink ref="B503" r:id="rId536" xr:uid="{1B5FC8F2-7689-E54C-9A98-BA8E89F3B52C}"/>
    <hyperlink ref="B504" r:id="rId537" xr:uid="{061A1E8B-D458-4048-B3EA-CE8124BA67D2}"/>
    <hyperlink ref="B505" r:id="rId538" xr:uid="{56238F04-E02C-3E47-9D17-6D5F9B812346}"/>
    <hyperlink ref="B506" r:id="rId539" xr:uid="{E61CF98B-AAA2-214E-A66B-09F87302A16F}"/>
    <hyperlink ref="B507" r:id="rId540" xr:uid="{1AAE95AE-1730-F649-886F-825BE829ECB2}"/>
    <hyperlink ref="B508" r:id="rId541" xr:uid="{86E0FE4E-20FF-3145-A78B-50C839DE3F66}"/>
    <hyperlink ref="B509" r:id="rId542" xr:uid="{310D3C73-CA28-ED43-8FC7-41B8BAAD391B}"/>
    <hyperlink ref="B511" r:id="rId543" xr:uid="{0426F267-C61D-C242-B000-15374892348C}"/>
    <hyperlink ref="B514" r:id="rId544" xr:uid="{390B1C83-CFB0-5146-9120-E13CEB12D1E4}"/>
    <hyperlink ref="B515" r:id="rId545" xr:uid="{92E29034-E93E-9A42-88DA-74DAEFF2CD1E}"/>
    <hyperlink ref="B518" r:id="rId546" xr:uid="{2DEAECC1-FFD1-264F-8F95-0F12384FEE14}"/>
    <hyperlink ref="B519" r:id="rId547" xr:uid="{BA9BA09A-E0DE-FF4D-B88C-C1DE08DA053B}"/>
    <hyperlink ref="B520" r:id="rId548" xr:uid="{C5F5ACAA-34F8-4D43-A6BD-A84A8B9A4B59}"/>
    <hyperlink ref="B527" r:id="rId549" xr:uid="{9123FD41-FE27-B348-A900-AB13B3DEA238}"/>
    <hyperlink ref="B529" r:id="rId550" xr:uid="{1A499A0C-4B80-864D-8747-28F96DD682EA}"/>
    <hyperlink ref="B530" r:id="rId551" xr:uid="{C3585D91-B946-6546-808B-296AF779D418}"/>
    <hyperlink ref="B531" r:id="rId552" xr:uid="{1A60B26E-DCF6-F64C-8240-5F774047DDEE}"/>
    <hyperlink ref="B533" r:id="rId553" xr:uid="{56044B31-B539-4648-AE1C-EBB8BB6B0664}"/>
    <hyperlink ref="B535" r:id="rId554" xr:uid="{6F46E59D-0BB0-3C43-9E4F-75F77DFD5C49}"/>
    <hyperlink ref="B756" r:id="rId555" xr:uid="{A3B2384B-35C8-C44E-A715-4A1E11CAE2B9}"/>
    <hyperlink ref="B798" r:id="rId556" xr:uid="{BCB056BF-1ABF-A948-A67E-9F10BA7E4091}"/>
    <hyperlink ref="B797" r:id="rId557" xr:uid="{BE125794-293F-F049-96A5-1206E220FCCD}"/>
    <hyperlink ref="B698" r:id="rId558" xr:uid="{F66B053B-3153-D942-99D4-85D1CF19EDBF}"/>
    <hyperlink ref="B315" r:id="rId559" xr:uid="{BEF07699-C0CA-004C-8B04-0BB7BC0E4935}"/>
    <hyperlink ref="B746" r:id="rId560" xr:uid="{3D5F916C-DD7B-C048-98A3-AB4F7A6221F6}"/>
    <hyperlink ref="B271" r:id="rId561" xr:uid="{AF40BEBD-4297-0343-BD1B-07EC3715BFC5}"/>
    <hyperlink ref="B270" r:id="rId562" xr:uid="{1E3B5066-729D-AE48-B4EE-1AC17D7F58D5}"/>
    <hyperlink ref="B643" r:id="rId563" xr:uid="{2682DD37-B7DB-D34A-8284-76BDC8439B4D}"/>
    <hyperlink ref="B795" r:id="rId564" xr:uid="{78926AB4-15E5-D343-B590-E88AB08D56ED}"/>
    <hyperlink ref="B37" r:id="rId565" xr:uid="{7DF36D34-2D21-9447-B30C-71C5EC37CE50}"/>
    <hyperlink ref="B114" r:id="rId566" xr:uid="{2BE4C483-83BA-A84B-A765-8ADCB90BF247}"/>
    <hyperlink ref="B170" r:id="rId567" xr:uid="{AFBF2E56-429B-A444-B996-791CB6429D9D}"/>
    <hyperlink ref="B191" r:id="rId568" xr:uid="{CAE1EF5E-7BBC-E144-A4D8-561609AD3C23}"/>
    <hyperlink ref="B205" r:id="rId569" xr:uid="{5E9AA555-B78F-B64F-9A87-63988548FAD3}"/>
    <hyperlink ref="B453" r:id="rId570" xr:uid="{496C7CA1-9EB1-2545-B6EE-0FF6ECBE0DDD}"/>
    <hyperlink ref="B475" r:id="rId571" xr:uid="{EAF05639-53A8-7B4D-B272-B901ECDCFB68}"/>
    <hyperlink ref="B537" r:id="rId572" xr:uid="{B9FBCAEC-63B3-5642-A8CF-D08619A349F7}"/>
    <hyperlink ref="B687" r:id="rId573" xr:uid="{A3BE4AEA-BF1D-1D45-B4EE-C4CDF30EB810}"/>
    <hyperlink ref="B739" r:id="rId574" xr:uid="{4B25AC41-0355-7644-9A58-A871D770EECA}"/>
    <hyperlink ref="B740" r:id="rId575" xr:uid="{F9D033D1-CE3B-CC42-8A7B-79F8A7961784}"/>
    <hyperlink ref="B745" r:id="rId576" xr:uid="{51106902-CE52-0B4C-BD50-D15C7303EB81}"/>
    <hyperlink ref="B10" r:id="rId577" xr:uid="{1D4B609F-6BC1-0A4F-B841-769BF5292F0B}"/>
    <hyperlink ref="B14" r:id="rId578" xr:uid="{F75E74DB-8CB9-9347-BB69-0ED3881E5AD6}"/>
    <hyperlink ref="B34" r:id="rId579" xr:uid="{85A13F82-195C-ED4F-BE04-5D1865152C02}"/>
    <hyperlink ref="B30" r:id="rId580" xr:uid="{A17C394A-2CFE-B344-88D0-F1D9E24BE8E6}"/>
    <hyperlink ref="B51" r:id="rId581" xr:uid="{5AB5E4A4-C10B-2245-B93D-061775E719BB}"/>
    <hyperlink ref="B67" r:id="rId582" xr:uid="{37E8D783-E0BC-1F4C-9FE6-F7BA758206CB}"/>
    <hyperlink ref="B81" r:id="rId583" xr:uid="{C91D00E2-EF45-1E4A-9FDA-92D406F54BC8}"/>
    <hyperlink ref="B88" r:id="rId584" xr:uid="{DE91792C-0AD1-7744-9EE5-F24662CCB154}"/>
    <hyperlink ref="B155" r:id="rId585" xr:uid="{E36C2316-299F-204F-8C70-D478673FB3AB}"/>
    <hyperlink ref="B166" r:id="rId586" xr:uid="{9DD2CE16-1E94-164D-B26D-DA3446381960}"/>
    <hyperlink ref="B235" r:id="rId587" xr:uid="{D81ADA56-0FBD-2E42-A81E-F54F480B9B9A}"/>
    <hyperlink ref="B236" r:id="rId588" xr:uid="{7EBD8B26-2D7C-F546-9CB4-1E7C4E697936}"/>
    <hyperlink ref="B237" r:id="rId589" xr:uid="{C3501B00-E57D-8D40-8B76-42C453F2A222}"/>
    <hyperlink ref="B334" r:id="rId590" xr:uid="{DF16B7FB-73CF-B64C-826A-E8BFDA579FDE}"/>
    <hyperlink ref="B336" r:id="rId591" xr:uid="{E7D38311-31B7-9442-95C7-0336210522FD}"/>
    <hyperlink ref="B407" r:id="rId592" xr:uid="{974D7ADB-A2BC-8446-9408-D3C110B71833}"/>
    <hyperlink ref="B498" r:id="rId593" xr:uid="{147145C1-BD5A-7744-9B2F-264A44E7BAC6}"/>
    <hyperlink ref="B499" r:id="rId594" xr:uid="{6E113CDC-E6C0-7244-98F2-0B2D8D4CECD0}"/>
    <hyperlink ref="B560" r:id="rId595" xr:uid="{8D36F9DA-0928-F048-A3E1-915169AA7083}"/>
    <hyperlink ref="B523" r:id="rId596" xr:uid="{45F0A761-8B3D-1D4F-A879-61332CDEE258}"/>
    <hyperlink ref="B536" r:id="rId597" xr:uid="{AE75E55A-49E4-734E-B6FE-7A6F649680E4}"/>
    <hyperlink ref="B621" r:id="rId598" xr:uid="{C9F0BD5D-35D5-D449-8D5D-170AF296C2F5}"/>
    <hyperlink ref="B645" r:id="rId599" xr:uid="{1D1BC38F-541A-A046-A0D8-7DE69EDE831E}"/>
    <hyperlink ref="B656" r:id="rId600" xr:uid="{974A46F7-8E62-3E4C-8397-D6CB6E3C2E3F}"/>
    <hyperlink ref="B695" r:id="rId601" xr:uid="{D98F9C29-AAA0-6541-81F4-2055FAF7EAE7}"/>
    <hyperlink ref="B714" r:id="rId602" xr:uid="{294A625A-90E5-C244-9E63-C81B73FB47E9}"/>
    <hyperlink ref="B722" r:id="rId603" xr:uid="{452DAC33-9131-1C4C-8869-910F09655E9D}"/>
    <hyperlink ref="B726" r:id="rId604" xr:uid="{EDCF5E47-BB72-5847-A3B4-98E44686FD1D}"/>
    <hyperlink ref="B765" r:id="rId605" xr:uid="{B0EB504C-F7CF-2242-B234-CD1CAD065C2C}"/>
    <hyperlink ref="B780" r:id="rId606" xr:uid="{E6598837-4A73-3648-B229-029BDC8DC3C6}"/>
    <hyperlink ref="B781" r:id="rId607" xr:uid="{78A0141E-CF80-224F-8F91-314EF1AB3C9A}"/>
    <hyperlink ref="B17" r:id="rId608" xr:uid="{537E68F4-32BA-8B4A-A1D0-5F6625E1A794}"/>
    <hyperlink ref="B19" r:id="rId609" xr:uid="{218AC06D-E850-F64C-8533-7F7295B343E4}"/>
    <hyperlink ref="B27" r:id="rId610" xr:uid="{FCA0BBE2-8EA8-3546-9849-4D0DF9DAE9BD}"/>
    <hyperlink ref="B28" r:id="rId611" xr:uid="{FBB904A3-56A6-5B4A-B22D-9999BDE486AA}"/>
    <hyperlink ref="B32" r:id="rId612" xr:uid="{07B601A9-061B-244A-A5EB-C5CB6B76ADC6}"/>
    <hyperlink ref="B38" r:id="rId613" xr:uid="{3EECF693-029B-DD45-BBF0-C2967EE6CBD8}"/>
    <hyperlink ref="B50" r:id="rId614" xr:uid="{94129A07-1FF7-B642-939B-B539634F070E}"/>
    <hyperlink ref="B60" r:id="rId615" xr:uid="{C0C2EFCB-6EF8-C047-A04E-23F8FE504EC5}"/>
    <hyperlink ref="B64" r:id="rId616" xr:uid="{1F110AFA-D22B-764A-80AF-91C2763AB544}"/>
    <hyperlink ref="B78" r:id="rId617" xr:uid="{AE078601-2CDB-054C-BCBF-9DD7ACD0B3C2}"/>
    <hyperlink ref="B82" r:id="rId618" xr:uid="{D4549BA7-E486-A044-98BA-A0FEBE5A28EB}"/>
    <hyperlink ref="B84" r:id="rId619" xr:uid="{7719FE26-070B-1042-A5CC-13B8BB8065E3}"/>
    <hyperlink ref="B87" r:id="rId620" xr:uid="{9634D6B3-869B-7846-8FCD-702225571416}"/>
    <hyperlink ref="B89" r:id="rId621" xr:uid="{86EBDE7C-2E6C-4946-8DD9-B677386FB07B}"/>
    <hyperlink ref="B138" r:id="rId622" xr:uid="{9CE39DA4-7FD5-854F-9EEF-B686502D166C}"/>
    <hyperlink ref="B143" r:id="rId623" xr:uid="{53C8AEE7-2AB9-C743-B757-0A6F3B53D3E7}"/>
    <hyperlink ref="B153" r:id="rId624" xr:uid="{BF5D5274-BD36-D249-B1E8-C4A013844868}"/>
    <hyperlink ref="B165" r:id="rId625" xr:uid="{74CE9390-7691-BB46-A518-AAADCD020630}"/>
    <hyperlink ref="B167" r:id="rId626" xr:uid="{64DF5036-A4DB-C64F-8A41-BD6FCFE44E79}"/>
    <hyperlink ref="B171" r:id="rId627" xr:uid="{84CA3CB3-8BA8-394F-B8F8-C15A90DEA789}"/>
    <hyperlink ref="B175" r:id="rId628" xr:uid="{0D9C189B-44C5-1F44-86C5-AE582FF8C580}"/>
    <hyperlink ref="B178" r:id="rId629" xr:uid="{8BB92B27-E41D-8E4D-B81E-5B4B19400822}"/>
    <hyperlink ref="B187" r:id="rId630" xr:uid="{060A996B-22BD-0049-9B5F-AB686A82CAD5}"/>
    <hyperlink ref="B188" r:id="rId631" xr:uid="{9E53B097-F2F3-9B47-B3CC-5DA29F5C6E01}"/>
    <hyperlink ref="B192" r:id="rId632" xr:uid="{AA5C45EC-0BF8-E248-B274-BF27B222743D}"/>
    <hyperlink ref="B199" r:id="rId633" xr:uid="{C33AB2D7-7077-9741-8F25-96563961BC5D}"/>
    <hyperlink ref="B202" r:id="rId634" xr:uid="{6D5F2DB6-5D32-734F-823A-0994D6585E10}"/>
    <hyperlink ref="B212" r:id="rId635" xr:uid="{CE0A7809-6EF6-3E44-B870-2E4A84347739}"/>
    <hyperlink ref="B219" r:id="rId636" xr:uid="{A16D06FF-866A-A94B-87C0-F668C1587603}"/>
    <hyperlink ref="B226" r:id="rId637" xr:uid="{E61C67AC-FB76-ED4D-8A31-E7E55C218429}"/>
    <hyperlink ref="B233" r:id="rId638" xr:uid="{B437C55B-7CC9-4C4C-ACC6-4F78986B5F1D}"/>
    <hyperlink ref="B246" r:id="rId639" xr:uid="{D391012C-77D6-9143-8791-B8348B3FAA3E}"/>
    <hyperlink ref="B250" r:id="rId640" xr:uid="{01E366C7-1C06-9B4E-B513-8C6C3F5726A1}"/>
    <hyperlink ref="B255" r:id="rId641" xr:uid="{36C103D6-7C64-B443-A70E-B13800216D3E}"/>
    <hyperlink ref="B256" r:id="rId642" xr:uid="{B5E09D90-25AD-9A42-A8CF-0A150F8D4119}"/>
    <hyperlink ref="B274" r:id="rId643" xr:uid="{9FA05D5F-782B-C741-BC7A-D4479BC8A80E}"/>
    <hyperlink ref="B286" r:id="rId644" xr:uid="{5DAD1F7C-7BE3-D54F-9BC9-2C50DAC7B987}"/>
    <hyperlink ref="B295" r:id="rId645" xr:uid="{02D9923E-FB03-5A47-97C9-F12757B77402}"/>
    <hyperlink ref="B308" r:id="rId646" xr:uid="{C7505E49-1682-6542-A479-2975B0C9DBD6}"/>
    <hyperlink ref="B317" r:id="rId647" xr:uid="{3EE0D08C-3FB2-034F-ACB2-D98985DD87D9}"/>
    <hyperlink ref="B330" r:id="rId648" xr:uid="{A57779F7-D4DC-7A4D-A74C-D9F477D637D5}"/>
    <hyperlink ref="B331" r:id="rId649" xr:uid="{8D9A16A3-D2B3-434F-A973-DD532025D9C7}"/>
    <hyperlink ref="B361" r:id="rId650" xr:uid="{E14376D3-1E34-8A46-8E55-B9588080CEA6}"/>
    <hyperlink ref="B363" r:id="rId651" xr:uid="{0E18267C-51CD-744E-B166-9E3FC6B95720}"/>
    <hyperlink ref="B368" r:id="rId652" xr:uid="{9FF28DB8-451B-EF45-B7E8-A8DA5224B6D0}"/>
    <hyperlink ref="B392" r:id="rId653" xr:uid="{684C315F-1DA9-1044-A8C3-E8093F79F996}"/>
    <hyperlink ref="B394" r:id="rId654" xr:uid="{8BE3AB95-D64D-1E4C-BF7A-6705845B064F}"/>
    <hyperlink ref="B396" r:id="rId655" xr:uid="{2897BD08-2EB7-B64E-BEE9-C9EB2500E967}"/>
    <hyperlink ref="B397" r:id="rId656" xr:uid="{A44BEDCF-F979-0847-A6BE-755DD2999379}"/>
    <hyperlink ref="B402" r:id="rId657" xr:uid="{34E89C91-3CEA-7E46-84CB-4C58CFFFF5FA}"/>
    <hyperlink ref="B408" r:id="rId658" xr:uid="{6B86FD16-FDED-CE4E-AD04-F52F7320B543}"/>
    <hyperlink ref="B409" r:id="rId659" xr:uid="{CAFC1BD8-07A7-F74D-AB2F-A94AF996EEA6}"/>
    <hyperlink ref="B423" r:id="rId660" xr:uid="{557A8818-BF79-4344-904F-71A17DC31953}"/>
    <hyperlink ref="B424" r:id="rId661" xr:uid="{935B5E6C-8BB0-654C-93F6-31F54D3E776C}"/>
    <hyperlink ref="B434" r:id="rId662" xr:uid="{5662290A-8BCD-AD48-BEB1-32667370F0A2}"/>
    <hyperlink ref="B437" r:id="rId663" xr:uid="{707431C7-605A-D944-8B68-B5BCD35CD4CA}"/>
    <hyperlink ref="B447" r:id="rId664" xr:uid="{0FCA50EB-9A88-5A4D-8DB2-80D3F689F167}"/>
    <hyperlink ref="B483" r:id="rId665" xr:uid="{E4C6827F-98DB-FF4F-949B-CEC5D9CF0BF7}"/>
    <hyperlink ref="B501" r:id="rId666" xr:uid="{3AA5E90E-AAFD-B340-BBFE-896B7D3948B8}"/>
    <hyperlink ref="B510" r:id="rId667" xr:uid="{A37C0FC5-5DB6-8A45-A632-B53BF0D92B51}"/>
    <hyperlink ref="B513" r:id="rId668" xr:uid="{BEF831CE-7F43-0E4B-B5A0-A50DB6FBFA1D}"/>
    <hyperlink ref="B525" r:id="rId669" xr:uid="{D8624C90-BE96-8948-A02E-573F37B1CE83}"/>
    <hyperlink ref="B526" r:id="rId670" xr:uid="{D12A8BAA-CBE7-D44B-8363-40EA8346E8BE}"/>
    <hyperlink ref="B532" r:id="rId671" xr:uid="{03FE2832-E458-0443-AA5D-C4B6BE099FAF}"/>
    <hyperlink ref="B546" r:id="rId672" xr:uid="{AA048D11-3A63-0C44-8860-7DA4F61A4963}"/>
    <hyperlink ref="B558" r:id="rId673" xr:uid="{58363190-CC24-1D48-B911-6CBC10EDFEAC}"/>
    <hyperlink ref="B562" r:id="rId674" xr:uid="{3FD2ED79-2AD2-7B48-B593-06F9D8439FFF}"/>
    <hyperlink ref="B563" r:id="rId675" xr:uid="{EA9A07F4-45DE-404A-AE57-8E841B75D2C4}"/>
    <hyperlink ref="B571" r:id="rId676" xr:uid="{95D8EC53-5EF6-624C-9DFF-99761088416D}"/>
    <hyperlink ref="B573" r:id="rId677" xr:uid="{0A35AE4B-B812-6C4A-B8E5-8EBCCC3FD171}"/>
    <hyperlink ref="B574" r:id="rId678" xr:uid="{388A53BE-FB0B-7245-BF84-C2F97FEF3649}"/>
    <hyperlink ref="B577" r:id="rId679" xr:uid="{52494ACF-D4FB-9048-B810-D157BEB56878}"/>
    <hyperlink ref="B592" r:id="rId680" xr:uid="{09511B0F-E10D-F147-83DF-5BEAB8CFE910}"/>
    <hyperlink ref="B593" r:id="rId681" xr:uid="{F2C9650F-085C-0F4A-B537-F7DB4D6B9920}"/>
    <hyperlink ref="B615" r:id="rId682" xr:uid="{2C5131DE-C7D6-B040-8EF4-FBA7AFBFB24B}"/>
    <hyperlink ref="B619" r:id="rId683" xr:uid="{78B8DEC3-8B08-E74D-B2DC-5AB66805C6D8}"/>
    <hyperlink ref="B647" r:id="rId684" xr:uid="{5D3497EA-EB0A-6A4B-A616-87B213ABC7A9}"/>
    <hyperlink ref="B651" r:id="rId685" xr:uid="{C11C34E1-D004-9447-BD5E-475D73C65710}"/>
    <hyperlink ref="B657" r:id="rId686" xr:uid="{5E3E09B2-9E33-1C4D-A2D8-DF0F839416A0}"/>
    <hyperlink ref="B659" r:id="rId687" xr:uid="{F1CEEF73-174D-C440-AD13-4BF03F1106B0}"/>
    <hyperlink ref="B663" r:id="rId688" xr:uid="{E47DD33E-3B0D-A849-A4FB-F8454DCC34DB}"/>
    <hyperlink ref="B665" r:id="rId689" xr:uid="{D1F4B0E3-983B-3D49-AABF-E756E5956C18}"/>
    <hyperlink ref="B682" r:id="rId690" xr:uid="{56F2225D-38FB-0641-9629-FDC3020F5DAF}"/>
    <hyperlink ref="B690" r:id="rId691" xr:uid="{64DEB9B1-AAEE-5847-9EFF-026556F68E72}"/>
    <hyperlink ref="B691" r:id="rId692" xr:uid="{0A6E06EE-16AA-354E-A9BB-0205D83D8432}"/>
    <hyperlink ref="B696" r:id="rId693" xr:uid="{4B534DB8-B7D7-DC44-9D0D-95E3E86D220E}"/>
    <hyperlink ref="B700" r:id="rId694" xr:uid="{C5C9C98E-21DB-0341-97C9-B74607DC79D1}"/>
    <hyperlink ref="B701" r:id="rId695" xr:uid="{626551C6-C1F5-0246-B7C2-A3BEEC42F5E5}"/>
    <hyperlink ref="B723" r:id="rId696" xr:uid="{E1ADAE96-C2F9-DC4F-9EE6-580C1C43E22A}"/>
    <hyperlink ref="B724" r:id="rId697" xr:uid="{FE806676-DB41-3643-A072-7FB1F2BCBCCB}"/>
    <hyperlink ref="B729" r:id="rId698" xr:uid="{A470ECE3-ACF6-5E45-860B-763D10CB160A}"/>
    <hyperlink ref="B738" r:id="rId699" xr:uid="{DA62063A-1AC4-A44D-BB0A-AC40743B4669}"/>
    <hyperlink ref="B744" r:id="rId700" xr:uid="{0F323C63-E9D0-CF4D-9FE1-80DA5B0BAFA6}"/>
    <hyperlink ref="B750" r:id="rId701" xr:uid="{F860AB30-94AC-454B-81BA-CDF8560DD84A}"/>
    <hyperlink ref="B753" r:id="rId702" xr:uid="{C2DD155C-92AB-6A48-B1C1-DBE7DA7D941F}"/>
    <hyperlink ref="B777" r:id="rId703" xr:uid="{C4633D8B-DF5D-3F49-B864-9E8381451EB0}"/>
    <hyperlink ref="B793" r:id="rId704" xr:uid="{31218F3F-9B37-A64A-97AE-C352CE812139}"/>
    <hyperlink ref="B29" r:id="rId705" xr:uid="{7FC7C7D6-27A4-724C-99C7-ADEB69A3987C}"/>
    <hyperlink ref="B655" r:id="rId706" xr:uid="{BD50C9C2-6415-1E43-82AF-DA2B5DAA016C}"/>
    <hyperlink ref="B625" r:id="rId707" xr:uid="{E6C35DDE-0537-F84D-8008-CC1014CB78D9}"/>
    <hyperlink ref="B618" r:id="rId708" xr:uid="{EEC0F6D0-5EFB-9A4D-9A2A-A175320FDD14}"/>
    <hyperlink ref="B517" r:id="rId709" xr:uid="{18E8D511-0F2B-064B-BD03-8AFAEC3CA692}"/>
    <hyperlink ref="B411" r:id="rId710" xr:uid="{D499492E-4F3C-1C4D-AB15-550B2C5264CC}"/>
    <hyperlink ref="B410" r:id="rId711" xr:uid="{FF1C4287-5EB0-C443-8D8E-73C4D75D54D0}"/>
    <hyperlink ref="B254" r:id="rId712" xr:uid="{636D36DB-D27A-8A43-8E7C-44430FE0C901}"/>
    <hyperlink ref="B151" r:id="rId713" xr:uid="{C58E8238-686E-E74F-AFCC-F1A6D722BEC3}"/>
    <hyperlink ref="B339" r:id="rId714" xr:uid="{6040CA5A-FC5A-374B-8953-F5E373BD993F}"/>
    <hyperlink ref="B534" r:id="rId715" xr:uid="{CB4FF780-3A9F-9245-9838-5C9D399B0A51}"/>
    <hyperlink ref="B552" r:id="rId716" xr:uid="{C836A067-5AE7-DF46-81A1-B16A3B33E08A}"/>
    <hyperlink ref="B801" r:id="rId717" xr:uid="{FB95AE19-FE3C-C044-9071-2662EEA8DE52}"/>
    <hyperlink ref="B725" r:id="rId718" xr:uid="{FB2E5C03-5217-7E43-ADEF-AD78B5BDC7A5}"/>
    <hyperlink ref="B5" r:id="rId719" xr:uid="{54E52715-7B84-544A-9DA4-DB802F8F4163}"/>
    <hyperlink ref="B48" r:id="rId720" xr:uid="{CBD2C1E3-BAA1-1643-B664-EFC9B60C5BCC}"/>
    <hyperlink ref="B49" r:id="rId721" xr:uid="{F3253772-6469-6B45-A391-572EA077BF28}"/>
    <hyperlink ref="B646" r:id="rId722" xr:uid="{3E45EF39-E15D-6145-A086-5A974E2FA024}"/>
    <hyperlink ref="B658" r:id="rId723" xr:uid="{10514EC0-FF9A-4A4D-8FF8-6C4447F86A46}"/>
    <hyperlink ref="B57" r:id="rId724" xr:uid="{5716FF88-5700-EC4C-A92D-2017C89CDA9C}"/>
    <hyperlink ref="B63" r:id="rId725" xr:uid="{1D74F17E-CDF0-774B-A304-A912F45990A1}"/>
    <hyperlink ref="B70" r:id="rId726" xr:uid="{34441AB3-0D9A-4648-97AB-0D26568DF29A}"/>
    <hyperlink ref="B71" r:id="rId727" xr:uid="{16AAF4E0-1F6A-EE45-B2D7-548F8E28DEEF}"/>
    <hyperlink ref="B72" r:id="rId728" xr:uid="{E5B98C1F-F8E3-3C4C-AF2A-E86D5C5765D3}"/>
    <hyperlink ref="B75" r:id="rId729" xr:uid="{C887D7EE-2521-BC4A-995C-3244B0BBA38C}"/>
    <hyperlink ref="B108" r:id="rId730" xr:uid="{C2F1EFBB-05D2-7843-B775-08D1E0E00150}"/>
    <hyperlink ref="B111" r:id="rId731" xr:uid="{EEDA8A1D-654D-3C41-9552-6D6FA0CCE160}"/>
    <hyperlink ref="B147" r:id="rId732" xr:uid="{F50F9FB1-3AC7-8240-896E-9C0FE12C01C6}"/>
    <hyperlink ref="B152" r:id="rId733" xr:uid="{FD4F4ED2-36D7-9C41-AA08-2301144C1661}"/>
    <hyperlink ref="B163" r:id="rId734" xr:uid="{443D3AB8-0795-384A-B0B7-8BE70A75FE4F}"/>
    <hyperlink ref="B164" r:id="rId735" xr:uid="{186615A0-56F5-C848-AF65-DA38263CD807}"/>
    <hyperlink ref="B176" r:id="rId736" xr:uid="{856B3F5C-9DEA-9A43-8174-69E27CD6806D}"/>
    <hyperlink ref="B182" r:id="rId737" xr:uid="{B0EBC3EB-62AB-1440-9A63-EF16AE2AE903}"/>
    <hyperlink ref="B210" r:id="rId738" xr:uid="{98806E69-1251-7E42-A266-1F1C1F1CDCF6}"/>
    <hyperlink ref="B222" r:id="rId739" xr:uid="{E2529FD0-7C53-D242-B479-1DD46CD797FB}"/>
    <hyperlink ref="B229" r:id="rId740" xr:uid="{F8138446-C3CC-1B49-857A-9A71C59BEC19}"/>
    <hyperlink ref="B240" r:id="rId741" xr:uid="{24DEA27D-4AB9-4147-AA2A-08A4EE59D1C3}"/>
    <hyperlink ref="B247" r:id="rId742" xr:uid="{465D9AD9-C65C-7D4A-981A-9D11466F7A18}"/>
    <hyperlink ref="B265" r:id="rId743" xr:uid="{FAA43819-43D9-E945-8C76-6D5A1818B2E3}"/>
    <hyperlink ref="B267" r:id="rId744" xr:uid="{2DA46A7C-89F3-1A48-B226-15A27BBC9402}"/>
    <hyperlink ref="B268" r:id="rId745" xr:uid="{477B84DB-7EBD-F343-8B34-51535D39D50B}"/>
    <hyperlink ref="B294" r:id="rId746" xr:uid="{90C3AC52-83E5-0949-AC58-B2DC281BD24A}"/>
    <hyperlink ref="B311" r:id="rId747" xr:uid="{A25D514F-3D57-EE49-B306-508303945589}"/>
    <hyperlink ref="B356" r:id="rId748" xr:uid="{94F76395-7BED-344E-AD35-DEDB827D72C1}"/>
    <hyperlink ref="B357" r:id="rId749" xr:uid="{D52E2AC4-DDA7-314F-9CA2-31A2DB532A7C}"/>
    <hyperlink ref="B371" r:id="rId750" xr:uid="{29A344DC-9C6D-C646-A700-BC2B3AF33FEE}"/>
    <hyperlink ref="B374" r:id="rId751" xr:uid="{18037F8A-5461-9B4C-984C-022975DA0796}"/>
    <hyperlink ref="B395" r:id="rId752" xr:uid="{7242F02F-D072-C14B-AC5C-14EF636BC9F3}"/>
    <hyperlink ref="B398" r:id="rId753" xr:uid="{FA34B55C-DB8D-584F-B60F-CB62FAACA374}"/>
    <hyperlink ref="B405" r:id="rId754" xr:uid="{8461FABE-AC5D-D140-A43B-741C97D4C6D1}"/>
    <hyperlink ref="B412" r:id="rId755" xr:uid="{BFA54C88-9026-2E49-AD7F-03A9CFE66D5D}"/>
    <hyperlink ref="B413" r:id="rId756" xr:uid="{B50E3C2E-BB01-D24D-84F2-1214193E1CE2}"/>
    <hyperlink ref="B414" r:id="rId757" xr:uid="{4DD6B481-4E15-D046-9F72-630A93E5ADA6}"/>
    <hyperlink ref="B425" r:id="rId758" xr:uid="{58BD75E9-4077-1646-895D-E0BCE0DC944D}"/>
    <hyperlink ref="B427" r:id="rId759" xr:uid="{B1CFB8B0-9B71-334B-BD6D-E73E94E74CF3}"/>
    <hyperlink ref="B430" r:id="rId760" xr:uid="{FE40D0F1-4D2B-4B40-A5B6-B11D771A2FDA}"/>
    <hyperlink ref="B436" r:id="rId761" xr:uid="{B4CD3DF9-5715-464A-A82F-482F93FFEB54}"/>
    <hyperlink ref="B439" r:id="rId762" xr:uid="{A59FE9F5-A960-DF4A-BC63-A46D742E3EF1}"/>
    <hyperlink ref="B440" r:id="rId763" xr:uid="{4937DDBF-0AB8-9049-B704-3FFDF30CC1E2}"/>
    <hyperlink ref="B455" r:id="rId764" xr:uid="{E13785AC-61A4-1C43-9B62-77370C3B84E2}"/>
    <hyperlink ref="B465" r:id="rId765" xr:uid="{FD0511F4-80B3-C741-8FA8-0624A392D23E}"/>
    <hyperlink ref="B478" r:id="rId766" xr:uid="{FB4603A9-5A8C-CF48-AC9B-E4B12C139486}"/>
    <hyperlink ref="B489" r:id="rId767" xr:uid="{B0BF4B69-69F9-D440-816C-501543514F55}"/>
    <hyperlink ref="B492" r:id="rId768" xr:uid="{38EA796B-024D-A54E-A5B4-D64D98F3A4D3}"/>
    <hyperlink ref="B516" r:id="rId769" xr:uid="{BF1BF6ED-AE27-A548-98B2-28A44226889B}"/>
    <hyperlink ref="B521" r:id="rId770" xr:uid="{32BEEDE9-D09A-8D47-87FD-F7D5C5709BA1}"/>
    <hyperlink ref="B522" r:id="rId771" xr:uid="{141AC1DA-B3A7-C14E-B3E5-7C9EACAEF7E6}"/>
    <hyperlink ref="B538" r:id="rId772" xr:uid="{6CA29021-00B1-544C-ACCB-1C5E5BF09B01}"/>
    <hyperlink ref="B547" r:id="rId773" xr:uid="{57474964-BA28-6646-BDE4-8C020B012859}"/>
    <hyperlink ref="B550" r:id="rId774" xr:uid="{FC6CCC18-9F1F-CB48-947D-2E2CDF0B5C65}"/>
    <hyperlink ref="B551" r:id="rId775" xr:uid="{C40FC914-5D69-4B4A-8CAD-EB5C5FE222C5}"/>
    <hyperlink ref="B554" r:id="rId776" xr:uid="{D9A34F52-9FB1-0E42-86FF-34E0115F5BB5}"/>
    <hyperlink ref="B570" r:id="rId777" xr:uid="{4E336E2C-A239-DC4E-BD23-A7AFBD897024}"/>
    <hyperlink ref="B582" r:id="rId778" xr:uid="{458710F2-BE54-7041-A18F-195BB1051534}"/>
    <hyperlink ref="B622" r:id="rId779" xr:uid="{C53A4AF8-56A2-0D41-A863-ACE1D512E9E1}"/>
    <hyperlink ref="B627" r:id="rId780" xr:uid="{290EDAFC-5C80-694B-A3B3-5D0AF64E64F1}"/>
    <hyperlink ref="B629" r:id="rId781" xr:uid="{A6DD6DF7-3B56-264D-9E6C-156D57AC8969}"/>
    <hyperlink ref="B660" r:id="rId782" xr:uid="{09F85BC7-9504-1D4E-A646-85EAE543B1E1}"/>
    <hyperlink ref="B662" r:id="rId783" xr:uid="{FAA2FD21-9894-CB4C-A1ED-B0843378E5FC}"/>
    <hyperlink ref="B671" r:id="rId784" xr:uid="{D50ECC7C-06D7-7643-80B4-D541B6E092B1}"/>
    <hyperlink ref="B693" r:id="rId785" xr:uid="{D4C6C355-F65F-3E43-9CA7-24D0BFCBE615}"/>
    <hyperlink ref="B694" r:id="rId786" xr:uid="{904C82D7-79CE-354E-9465-DA3D41C37829}"/>
    <hyperlink ref="B699" r:id="rId787" xr:uid="{6AEC3BF1-22DA-7F4A-BCFA-7626E4224CDC}"/>
    <hyperlink ref="B706" r:id="rId788" xr:uid="{C5213877-8726-4F40-ACB6-B289EEA8B9A7}"/>
    <hyperlink ref="B707" r:id="rId789" xr:uid="{1E4ED68E-C97B-1444-A76B-1EF112EA26C7}"/>
    <hyperlink ref="B719" r:id="rId790" xr:uid="{9E17F0C5-98C0-2C48-BBBC-81458E8A0F8D}"/>
    <hyperlink ref="B720" r:id="rId791" xr:uid="{A6A69B70-8752-7245-911B-66795F3DC600}"/>
    <hyperlink ref="B730" r:id="rId792" xr:uid="{45C8C9C5-9419-7F4C-AAC9-7007E67F5096}"/>
    <hyperlink ref="B749" r:id="rId793" xr:uid="{3C4F0904-F8BF-9E40-B22E-58C998D97EB7}"/>
    <hyperlink ref="B772" r:id="rId794" xr:uid="{B8CBE4D9-1D44-D148-B4FD-BBBFFE45EDE0}"/>
    <hyperlink ref="B791" r:id="rId795" xr:uid="{821D7E2A-70F7-D645-AAF3-8E5252698E8E}"/>
    <hyperlink ref="B796" r:id="rId796" xr:uid="{78EEFA37-9CA9-394C-8000-2941F6AA6409}"/>
  </hyperlinks>
  <pageMargins left="0.79000000000000015" right="0.79000000000000015" top="0.98" bottom="0.98" header="0.5" footer="0.5"/>
  <pageSetup paperSize="9" scale="55" fitToHeight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 Linkprofil 2023-03</vt:lpstr>
    </vt:vector>
  </TitlesOfParts>
  <Company>Thoxan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</dc:creator>
  <cp:lastModifiedBy>Thomas Kilian | Thoxan GmbH</cp:lastModifiedBy>
  <cp:lastPrinted>2014-03-05T08:53:05Z</cp:lastPrinted>
  <dcterms:created xsi:type="dcterms:W3CDTF">2013-09-15T17:03:26Z</dcterms:created>
  <dcterms:modified xsi:type="dcterms:W3CDTF">2023-03-29T07:15:52Z</dcterms:modified>
</cp:coreProperties>
</file>