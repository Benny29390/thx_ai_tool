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codeName="ThisWorkbook"/>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6-04/"/>
    </mc:Choice>
  </mc:AlternateContent>
  <xr:revisionPtr revIDLastSave="0" documentId="13_ncr:1_{20CCA964-44EA-504C-AC61-F3D0786932F0}" xr6:coauthVersionLast="47" xr6:coauthVersionMax="47" xr10:uidLastSave="{00000000-0000-0000-0000-000000000000}"/>
  <bookViews>
    <workbookView xWindow="60940" yWindow="860" windowWidth="35300" windowHeight="26700" xr2:uid="{00000000-000D-0000-FFFF-FFFF00000000}"/>
  </bookViews>
  <sheets>
    <sheet name="BK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 l="1"/>
  <c r="B22" i="1"/>
  <c r="B30" i="1"/>
  <c r="B48" i="1"/>
  <c r="B42" i="1"/>
  <c r="B58" i="1" l="1"/>
</calcChain>
</file>

<file path=xl/sharedStrings.xml><?xml version="1.0" encoding="utf-8"?>
<sst xmlns="http://schemas.openxmlformats.org/spreadsheetml/2006/main" count="56" uniqueCount="50">
  <si>
    <t>BKK GILDEMEISTER SEIDENSTICKER</t>
  </si>
  <si>
    <t>BKK 2026-03+04</t>
  </si>
  <si>
    <t>https://www.bkkgs.de/</t>
  </si>
  <si>
    <t>01.03.2026 – 30.04.2026</t>
  </si>
  <si>
    <t>Aufwand ca. in Std.</t>
  </si>
  <si>
    <t>Linkaufbau, Online-PR</t>
  </si>
  <si>
    <t>Prüfung der Websites experten.de, cash-online.de und versicherungsbote.de nach SEO-Metriken für eine mögliche Buchung im 2. Quartal, Abstimmung und Dokumentation (31.03., TKI)</t>
  </si>
  <si>
    <t>https://www.eltern-aktuell.de/die-bedeutung-von-sport-im-fruehen-kindesalter/</t>
  </si>
  <si>
    <t>https://www.schwangerschaft.at/deutschland-mutterschaftsgeld-berechnen-so-gehts/</t>
  </si>
  <si>
    <t>https://www.schwangerschaft.at/hilfe-ich-werde-mama-was-jetzt/</t>
  </si>
  <si>
    <t>https://www.mamilade.de/freiwillige-krankenversicherung-fur-junge-familien-was-eltern-wissen-sollten</t>
  </si>
  <si>
    <t>https://womenweb.de/kinder/uebergewicht-bei-kindern-warum-eltern-jetzt-genauer-hinschauen-sollten/</t>
  </si>
  <si>
    <t>https://optimal-vorsorgen.de/allgemein/vorsorge-fuer-angehoerige-drei-bausteine-die-familien-wirklich-entlasten/</t>
  </si>
  <si>
    <t>Link-Monitoring: Neue Verlinkungen aus Link-Tools der letzten 30 Tage überprüft, einzeln bewertet (01.03.-30.04., TKI)</t>
  </si>
  <si>
    <t>Redaktionelle Arbeiten</t>
  </si>
  <si>
    <t>Website-Pflegearbeiten, Content-Management</t>
  </si>
  <si>
    <t>Technische Arbeiten, Onpage-Optimierung, UX-Optimierung</t>
  </si>
  <si>
    <t>Prüfung der angepassten Designentwürfe (m:e) unter UX-Gesichtspunkten, Abstimmung und Dokumentation (06.-13.03., BKO, TKI)</t>
  </si>
  <si>
    <t>Google Ads, Social Ads, Monitoring</t>
  </si>
  <si>
    <t>Prüfung Fehlermeldungen wegen Tag-Manager-Entfernung, Abstimmung und Dokumentation (12.-13.03., JST)</t>
  </si>
  <si>
    <t>Umzug zu Jira-Cloud zur weiteren Zusammenarbeit mit m:e, Abstimmung (17.04., TKI)</t>
  </si>
  <si>
    <t>Recherche und Abstimmung wegen der Studie "Social Media Ad Perception Krankenkassen 2026" (17.-23.04., JST, TKI)</t>
  </si>
  <si>
    <t>Finale Prüfung der gelöschten Domain sinnvoll-wechseln.de, Indexierungsstatus, Abstimmung und Dokumentation (27.04., TKI)</t>
  </si>
  <si>
    <t>Organisation, Planung, Überwachung und Steuerung der Aufgaben und Ressourcen, pro Tagessatz ca. 0,5 Std. (01.03.-30.04., TKI)</t>
  </si>
  <si>
    <t>Aufwand ca. insgesamt in Std.</t>
  </si>
  <si>
    <t>Aufwand in Tagessätzen</t>
  </si>
  <si>
    <t>9 Tagessätze</t>
  </si>
  <si>
    <t>Noch Rückfragen? Kontakt zur Thoxan Communications GmbH unter https://www.thoxan.com/kontakt</t>
  </si>
  <si>
    <t>Linkaufbau-Organisation und Abstimmung mit den Seitenbetreibern zur Veröffentlichung der vorbereiteten Gastartikel, Prüfung der Link-Integration, Abrechnung der Linkaufbau-Auslagen, Abstimmung und Dokumentation (04.03.-28.04., TKI)</t>
  </si>
  <si>
    <t>Textarbeiten (Gastartikel): Briefing und Recherche, Texterstellung für Gastbeitrag auf optimal-vorsorgen.de, Lektorat, Abstimmung und Vorbereitung zur Veröffentlichung (15.-16.04., EXT, TKI)</t>
  </si>
  <si>
    <t>Textarbeiten (Gastartikel): Briefing und Recherche, Texterstellung für Gastbeitrag auf womenweb.de, Lektorat, Abstimmung und Vorbereitung zur Veröffentlichung (13.-16.04., EXT, TKI)</t>
  </si>
  <si>
    <t>Textarbeiten (Gastartikel): Briefing und Recherche, Texterstellung für Gastbeitrag auf mamilade.de, Lektorat, Abstimmung und Vorbereitung zur Veröffentlichung (14.-16.04., EXT, TKI)</t>
  </si>
  <si>
    <t>Textarbeiten (Gastartikel): Briefing und Recherche, Texterstellung für Gastbeitrag auf schwangerschaft.at, Lektorat, Abstimmung und Vorbereitung zur Veröffentlichung (10.-13.03., EXT, TKI)</t>
  </si>
  <si>
    <t>Textarbeiten (Gastartikel): Briefing und Recherche, Texterstellung für Gastbeitrag auf eltern-aktuell.de, Lektorat, Abstimmung und Vorbereitung zur Veröffentlichung (27.02., EXT,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</si>
  <si>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(15.-27.04., TKI)</t>
  </si>
  <si>
    <t>Linkquellen-Recherche (Gastartikel): Thematisch passende Linkquellen zur Veröffentlichung von Gastbeiträgen recherchiert, nach Duplikatskontrolle anhand kurzer Sichtprüfung und SEO-Kennzahlen dokumentiert, Aussortieren unpassender Websites, erste Kontaktdaten ermittelt (13.-17.04., TKI)</t>
  </si>
  <si>
    <t>Textkorrektur Krankenkasse Baby: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(23.04., MWA)</t>
  </si>
  <si>
    <t>Textkorrektur Haushaltshilfe: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(08.-09.04., GBO)</t>
  </si>
  <si>
    <t>Redaktionelle Überarbeitung der Unterseite "Bonusprogramm": Abstimmung, Briefing und inhaltliche Konzeption, Recherche und Optimierung der Inhalte (Aktualisierung, Struktur / Aufbau, Keyword-Optimierung nach WDF*IDF), Ergänzungen und kl. Anpassungen, Lektorat und finale Bearbeitung, Versand an Kunden und Dokumentation (09.-23.04., MWA, GBO)</t>
  </si>
  <si>
    <t>Recheche, Erstellung einer technischen Anforderungsbeschreibung für die Agentur m:e zur Implementierung der schema.org FAQPage-Auszeichnung an Toggle-/Akkordeon-Elementen in TYPO3, inkl. JSON-LD-Spezifikation und Validierungshinweisen, Abstimmung und Dokumentation (01.04., TKI)</t>
  </si>
  <si>
    <t>Recherche und Vorbereitung, Erstellung eines umfassenden Konzepts zur KI-Optimierung der BKK-GS-Website, fachliche Analyse zu GEO/LLMO und schema.org, Definition der Content-Chunking-Methodik, vollständiges Praxisbeispiel mit KI-optimierten Content-Chunks inkl. JSON-LD-Markup am Beispiel der Seite Schwangerschaftsvorsorge, technische TYPO3-Implementierungsanleitung (4-Schichten-Modell) sowie Phasenplan mit Rollenverteilung Thoxan/m:e/BKK GS, Abstimmung und Dokumentation (31.03.-01.04., TKI)</t>
  </si>
  <si>
    <t>Cluster-Auswertung der internen Suchbegriffe (V2): Die bestehende Themen-Clusterung aus GA4- und Matomo-Daten wurde um die Ausstiegsraten aus Matomo ergänzt, woraus sich ein Optimierungsbedarf-Score pro Cluster ergibt, der Suchvolumen und Ausstiegsrate kombiniert, Ergebnis: priorisierte Übersicht mit 58 Themenclustern als Grundlage für die Anreicherung der Synonym-Liste in der Suche-Konfiguration, Abstimmung und Dokumentation (01.04., TKI)</t>
  </si>
  <si>
    <t>Überprüfung der Maßnahmen und der technischen Anpassungen von move:elevator, siehe Ticket-Dokumentation – Ladezeit-Optimierung, Core Web Vitals, PDF im Index, W3C-Validierung, etc., Abstimmung und Dokumentation (04.03.-30.04., TKI)</t>
  </si>
  <si>
    <t>Google Ads: Fortlaufendes Monitoring der eingerichteten Kampagnen und Anzeigengruppen, Anlegen weiterer Anzeigengruppen mit div. Keywords lt. Cluster-Auswahl, Texten von Anzeigen, Ergänzung und Ausschluss von passenden / unpassenden Keywords, kl. Änderungen, Auswertung jeweils zum Monatsende (01.03.-30.04., JST, DHE, TKI)</t>
  </si>
  <si>
    <t>Social Ads: Fortlaufendes Monitoring der Werbekampagnen bei Facebook und Instagram, Anpassen der Werbeanzeigen, Verfeinern der Zielgruppe, kl. Arbeiten am Werbekonto, Abstimmung und Dokumentation (01.03.-30.04., JST, DHE, TKI)</t>
  </si>
  <si>
    <t>Beratung &amp; Sonstiges</t>
  </si>
  <si>
    <t>Finale Vorbereitung und Durchführung eines Workshops per Zoom (10-12 Uhr), Präsentation der Jahresauswertung mit Ergebnissen, Kennzahlen und geplanten Maßnahmen, Abstimmung und Klären von Fragen, konkrete Maßnahmen- und Zeitplanung für die nächsten Schritte, anschließend kurze Dokumentation, Planung und interne Abstimmung weiterer Maßnahmen (03.03., TKI)</t>
  </si>
  <si>
    <t>Redaktionelle Überarbeitung der Unterseite "Krankenkasse Baby": Abstimmung, Briefing und inhaltliche Konzeption, Recherche und Optimierung der Inhalte (Aktualisierung, Struktur / Aufbau, Keyword-Optimierung nach WDF*IDF), Ergänzungen und kl. Anpassungen, Lektorat und finale Bearbeitung, Versand an Kunden und Dokumentation (06.-19.03., MWA, GBO)</t>
  </si>
  <si>
    <t>Weitere Prüfung und Optimierung der Conversions in Matomo, div. Abstimmung und Recherche, Fehlerbehebung, Kontakt mit Support, Dokumentation (07.-19.03., JST)</t>
  </si>
  <si>
    <t>Planung der aktuellen Textaufträge, interne Abstimmung, Asana-Tickets, Dokumentation (05.03.-28.04., GBO, MWA,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</si>
</sst>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0"/>
      <color rgb="FF000000"/>
      <name val="Arial"/>
    </font>
    <font>
      <b/>
      <sz val="16"/>
      <color rgb="FF000000"/>
      <name val="Arial"/>
      <family val="2"/>
    </font>
    <font>
      <b/>
      <sz val="12"/>
      <color rgb="FF000000"/>
      <name val="Arial"/>
      <family val="2"/>
    </font>
    <font>
      <b/>
      <sz val="10"/>
      <color rgb="FF000000"/>
      <name val="Arial"/>
      <family val="2"/>
    </font>
    <font>
      <i/>
      <sz val="10"/>
      <color rgb="FF000000"/>
      <name val="Arial"/>
      <family val="2"/>
    </font>
    <font>
      <sz val="10"/>
      <color rgb="FF000000"/>
      <name val="Arial"/>
      <family val="2"/>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xf numFmtId="0" fontId="2" fillId="0" borderId="1" xfId="0" applyFont="1" applyBorder="1" applyAlignment="1">
      <alignment horizontal="right"/>
    </xf>
    <xf numFmtId="0" fontId="0" fillId="0" borderId="1" xfId="0" applyBorder="1" applyAlignment="1">
      <alignment vertical="top" wrapText="1"/>
    </xf>
    <xf numFmtId="0" fontId="0" fillId="0" borderId="1" xfId="0" applyBorder="1" applyAlignment="1">
      <alignment horizontal="right"/>
    </xf>
    <xf numFmtId="0" fontId="0" fillId="0" borderId="1" xfId="0" applyBorder="1"/>
    <xf numFmtId="0" fontId="0" fillId="2" borderId="1" xfId="0" applyFill="1" applyBorder="1"/>
    <xf numFmtId="0" fontId="3" fillId="2" borderId="1" xfId="0" applyFont="1" applyFill="1" applyBorder="1" applyAlignment="1">
      <alignment horizontal="center" vertical="center"/>
    </xf>
    <xf numFmtId="0" fontId="3" fillId="0" borderId="1" xfId="0" applyFont="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1" fontId="0" fillId="2" borderId="1" xfId="0" applyNumberFormat="1" applyFill="1" applyBorder="1" applyAlignment="1">
      <alignment horizontal="center" vertical="center"/>
    </xf>
    <xf numFmtId="164" fontId="3" fillId="2" borderId="1" xfId="0" applyNumberFormat="1" applyFont="1" applyFill="1" applyBorder="1" applyAlignment="1">
      <alignment horizontal="center" vertical="center"/>
    </xf>
    <xf numFmtId="0" fontId="4" fillId="0" borderId="0" xfId="0" applyFont="1"/>
    <xf numFmtId="0" fontId="5" fillId="0" borderId="1" xfId="0" applyFont="1" applyBorder="1" applyAlignment="1">
      <alignment vertical="top" wrapText="1"/>
    </xf>
    <xf numFmtId="2" fontId="0" fillId="2" borderId="1" xfId="0" applyNumberFormat="1" applyFill="1" applyBorder="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hwangerschaft.at/deutschland-mutterschaftsgeld-berechnen-so-gehts/" TargetMode="External"/><Relationship Id="rId7" Type="http://schemas.openxmlformats.org/officeDocument/2006/relationships/hyperlink" Target="https://optimal-vorsorgen.de/allgemein/vorsorge-fuer-angehoerige-drei-bausteine-die-familien-wirklich-entlasten/" TargetMode="External"/><Relationship Id="rId2" Type="http://schemas.openxmlformats.org/officeDocument/2006/relationships/hyperlink" Target="https://www.eltern-aktuell.de/die-bedeutung-von-sport-im-fruehen-kindesalter/" TargetMode="External"/><Relationship Id="rId1" Type="http://schemas.openxmlformats.org/officeDocument/2006/relationships/hyperlink" Target="https://www.bkkgs.de/" TargetMode="External"/><Relationship Id="rId6" Type="http://schemas.openxmlformats.org/officeDocument/2006/relationships/hyperlink" Target="https://womenweb.de/kinder/uebergewicht-bei-kindern-warum-eltern-jetzt-genauer-hinschauen-sollten/" TargetMode="External"/><Relationship Id="rId5" Type="http://schemas.openxmlformats.org/officeDocument/2006/relationships/hyperlink" Target="https://www.mamilade.de/freiwillige-krankenversicherung-fur-junge-familien-was-eltern-wissen-sollten" TargetMode="External"/><Relationship Id="rId4" Type="http://schemas.openxmlformats.org/officeDocument/2006/relationships/hyperlink" Target="https://www.schwangerschaft.at/hilfe-ich-werde-mama-was-jetz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zoomScale="150" workbookViewId="0">
      <pane ySplit="4" topLeftCell="A5" activePane="bottomLeft" state="frozen"/>
      <selection pane="bottomLeft" activeCell="F57" sqref="F57"/>
    </sheetView>
  </sheetViews>
  <sheetFormatPr baseColWidth="10" defaultColWidth="8.83203125" defaultRowHeight="13" x14ac:dyDescent="0.15"/>
  <cols>
    <col min="1" max="1" width="57.5" customWidth="1"/>
    <col min="2" max="2" width="23" customWidth="1"/>
  </cols>
  <sheetData>
    <row r="1" spans="1:2" ht="20" x14ac:dyDescent="0.2">
      <c r="A1" s="1" t="s">
        <v>0</v>
      </c>
      <c r="B1" s="2" t="s">
        <v>1</v>
      </c>
    </row>
    <row r="2" spans="1:2" ht="14" x14ac:dyDescent="0.15">
      <c r="A2" s="3" t="s">
        <v>2</v>
      </c>
      <c r="B2" s="4" t="s">
        <v>3</v>
      </c>
    </row>
    <row r="3" spans="1:2" x14ac:dyDescent="0.15">
      <c r="A3" s="5"/>
      <c r="B3" s="5"/>
    </row>
    <row r="4" spans="1:2" x14ac:dyDescent="0.15">
      <c r="A4" s="6"/>
      <c r="B4" s="7" t="s">
        <v>4</v>
      </c>
    </row>
    <row r="5" spans="1:2" x14ac:dyDescent="0.15">
      <c r="A5" s="8" t="s">
        <v>5</v>
      </c>
      <c r="B5" s="9"/>
    </row>
    <row r="6" spans="1:2" ht="42" x14ac:dyDescent="0.15">
      <c r="A6" s="3" t="s">
        <v>6</v>
      </c>
      <c r="B6" s="10">
        <v>0.25</v>
      </c>
    </row>
    <row r="7" spans="1:2" ht="70" x14ac:dyDescent="0.15">
      <c r="A7" s="17" t="s">
        <v>35</v>
      </c>
      <c r="B7" s="10">
        <v>2.5</v>
      </c>
    </row>
    <row r="8" spans="1:2" ht="70" x14ac:dyDescent="0.15">
      <c r="A8" s="17" t="s">
        <v>34</v>
      </c>
      <c r="B8" s="11">
        <v>5</v>
      </c>
    </row>
    <row r="9" spans="1:2" ht="42" x14ac:dyDescent="0.15">
      <c r="A9" s="17" t="s">
        <v>33</v>
      </c>
      <c r="B9" s="10">
        <v>2.5</v>
      </c>
    </row>
    <row r="10" spans="1:2" ht="28" x14ac:dyDescent="0.15">
      <c r="A10" s="3" t="s">
        <v>7</v>
      </c>
      <c r="B10" s="9"/>
    </row>
    <row r="11" spans="1:2" ht="42" x14ac:dyDescent="0.15">
      <c r="A11" s="17" t="s">
        <v>32</v>
      </c>
      <c r="B11" s="10">
        <v>3.25</v>
      </c>
    </row>
    <row r="12" spans="1:2" ht="28" x14ac:dyDescent="0.15">
      <c r="A12" s="3" t="s">
        <v>8</v>
      </c>
      <c r="B12" s="9"/>
    </row>
    <row r="13" spans="1:2" ht="14" x14ac:dyDescent="0.15">
      <c r="A13" s="3" t="s">
        <v>9</v>
      </c>
      <c r="B13" s="9"/>
    </row>
    <row r="14" spans="1:2" ht="42" x14ac:dyDescent="0.15">
      <c r="A14" s="17" t="s">
        <v>31</v>
      </c>
      <c r="B14" s="10">
        <v>2.75</v>
      </c>
    </row>
    <row r="15" spans="1:2" ht="28" x14ac:dyDescent="0.15">
      <c r="A15" s="3" t="s">
        <v>10</v>
      </c>
      <c r="B15" s="9"/>
    </row>
    <row r="16" spans="1:2" ht="42" x14ac:dyDescent="0.15">
      <c r="A16" s="17" t="s">
        <v>30</v>
      </c>
      <c r="B16" s="10">
        <v>3.25</v>
      </c>
    </row>
    <row r="17" spans="1:2" ht="28" x14ac:dyDescent="0.15">
      <c r="A17" s="3" t="s">
        <v>11</v>
      </c>
      <c r="B17" s="9"/>
    </row>
    <row r="18" spans="1:2" ht="42" x14ac:dyDescent="0.15">
      <c r="A18" s="17" t="s">
        <v>29</v>
      </c>
      <c r="B18" s="10">
        <v>3.5</v>
      </c>
    </row>
    <row r="19" spans="1:2" ht="28" x14ac:dyDescent="0.15">
      <c r="A19" s="3" t="s">
        <v>12</v>
      </c>
      <c r="B19" s="9"/>
    </row>
    <row r="20" spans="1:2" ht="56" x14ac:dyDescent="0.15">
      <c r="A20" s="17" t="s">
        <v>28</v>
      </c>
      <c r="B20" s="11">
        <v>3</v>
      </c>
    </row>
    <row r="21" spans="1:2" ht="28" x14ac:dyDescent="0.15">
      <c r="A21" s="3" t="s">
        <v>13</v>
      </c>
      <c r="B21" s="10">
        <v>0.5</v>
      </c>
    </row>
    <row r="22" spans="1:2" x14ac:dyDescent="0.15">
      <c r="A22" s="6" t="s">
        <v>4</v>
      </c>
      <c r="B22" s="12">
        <f>SUM(B6:B21)</f>
        <v>26.5</v>
      </c>
    </row>
    <row r="23" spans="1:2" x14ac:dyDescent="0.15">
      <c r="A23" s="5"/>
      <c r="B23" s="5"/>
    </row>
    <row r="24" spans="1:2" x14ac:dyDescent="0.15">
      <c r="A24" s="8" t="s">
        <v>14</v>
      </c>
      <c r="B24" s="9"/>
    </row>
    <row r="25" spans="1:2" ht="84" x14ac:dyDescent="0.15">
      <c r="A25" s="17" t="s">
        <v>47</v>
      </c>
      <c r="B25" s="10">
        <v>5.5</v>
      </c>
    </row>
    <row r="26" spans="1:2" ht="84" x14ac:dyDescent="0.15">
      <c r="A26" s="17" t="s">
        <v>37</v>
      </c>
      <c r="B26" s="10">
        <v>2.25</v>
      </c>
    </row>
    <row r="27" spans="1:2" ht="84" x14ac:dyDescent="0.15">
      <c r="A27" s="17" t="s">
        <v>36</v>
      </c>
      <c r="B27" s="10">
        <v>0.5</v>
      </c>
    </row>
    <row r="28" spans="1:2" ht="84" x14ac:dyDescent="0.15">
      <c r="A28" s="17" t="s">
        <v>38</v>
      </c>
      <c r="B28" s="11">
        <v>5</v>
      </c>
    </row>
    <row r="29" spans="1:2" ht="28" x14ac:dyDescent="0.15">
      <c r="A29" s="17" t="s">
        <v>49</v>
      </c>
      <c r="B29" s="10">
        <v>0.75</v>
      </c>
    </row>
    <row r="30" spans="1:2" x14ac:dyDescent="0.15">
      <c r="A30" s="6" t="s">
        <v>4</v>
      </c>
      <c r="B30" s="14">
        <f>SUM(B25:B29)</f>
        <v>14</v>
      </c>
    </row>
    <row r="31" spans="1:2" x14ac:dyDescent="0.15">
      <c r="A31" s="5"/>
      <c r="B31" s="5"/>
    </row>
    <row r="32" spans="1:2" x14ac:dyDescent="0.15">
      <c r="A32" s="8" t="s">
        <v>15</v>
      </c>
      <c r="B32" s="9"/>
    </row>
    <row r="33" spans="1:2" x14ac:dyDescent="0.15">
      <c r="A33" s="6" t="s">
        <v>4</v>
      </c>
      <c r="B33" s="13"/>
    </row>
    <row r="34" spans="1:2" x14ac:dyDescent="0.15">
      <c r="A34" s="5"/>
      <c r="B34" s="5"/>
    </row>
    <row r="35" spans="1:2" x14ac:dyDescent="0.15">
      <c r="A35" s="8" t="s">
        <v>16</v>
      </c>
      <c r="B35" s="9"/>
    </row>
    <row r="36" spans="1:2" ht="42" x14ac:dyDescent="0.15">
      <c r="A36" s="3" t="s">
        <v>17</v>
      </c>
      <c r="B36" s="10">
        <v>0.75</v>
      </c>
    </row>
    <row r="37" spans="1:2" ht="42" x14ac:dyDescent="0.15">
      <c r="A37" s="17" t="s">
        <v>48</v>
      </c>
      <c r="B37" s="10">
        <v>2.5</v>
      </c>
    </row>
    <row r="38" spans="1:2" ht="70" x14ac:dyDescent="0.15">
      <c r="A38" s="17" t="s">
        <v>39</v>
      </c>
      <c r="B38" s="10">
        <v>1.25</v>
      </c>
    </row>
    <row r="39" spans="1:2" ht="126" x14ac:dyDescent="0.15">
      <c r="A39" s="17" t="s">
        <v>40</v>
      </c>
      <c r="B39" s="10">
        <v>4.25</v>
      </c>
    </row>
    <row r="40" spans="1:2" ht="112" x14ac:dyDescent="0.15">
      <c r="A40" s="17" t="s">
        <v>41</v>
      </c>
      <c r="B40" s="10">
        <v>1.5</v>
      </c>
    </row>
    <row r="41" spans="1:2" ht="56" x14ac:dyDescent="0.15">
      <c r="A41" s="17" t="s">
        <v>42</v>
      </c>
      <c r="B41" s="10">
        <v>3.5</v>
      </c>
    </row>
    <row r="42" spans="1:2" x14ac:dyDescent="0.15">
      <c r="A42" s="6" t="s">
        <v>4</v>
      </c>
      <c r="B42" s="12">
        <f>SUM(B36:B41)</f>
        <v>13.75</v>
      </c>
    </row>
    <row r="43" spans="1:2" x14ac:dyDescent="0.15">
      <c r="A43" s="5"/>
      <c r="B43" s="5"/>
    </row>
    <row r="44" spans="1:2" x14ac:dyDescent="0.15">
      <c r="A44" s="8" t="s">
        <v>18</v>
      </c>
      <c r="B44" s="9"/>
    </row>
    <row r="45" spans="1:2" ht="28" x14ac:dyDescent="0.15">
      <c r="A45" s="3" t="s">
        <v>19</v>
      </c>
      <c r="B45" s="10">
        <v>0.25</v>
      </c>
    </row>
    <row r="46" spans="1:2" ht="70" x14ac:dyDescent="0.15">
      <c r="A46" s="17" t="s">
        <v>43</v>
      </c>
      <c r="B46" s="11">
        <v>8</v>
      </c>
    </row>
    <row r="47" spans="1:2" ht="56" x14ac:dyDescent="0.15">
      <c r="A47" s="17" t="s">
        <v>44</v>
      </c>
      <c r="B47" s="11">
        <v>3</v>
      </c>
    </row>
    <row r="48" spans="1:2" x14ac:dyDescent="0.15">
      <c r="A48" s="6" t="s">
        <v>4</v>
      </c>
      <c r="B48" s="12">
        <f>SUM(B45:B47)</f>
        <v>11.25</v>
      </c>
    </row>
    <row r="49" spans="1:2" x14ac:dyDescent="0.15">
      <c r="A49" s="5"/>
      <c r="B49" s="5"/>
    </row>
    <row r="50" spans="1:2" x14ac:dyDescent="0.15">
      <c r="A50" s="8" t="s">
        <v>45</v>
      </c>
      <c r="B50" s="9"/>
    </row>
    <row r="51" spans="1:2" ht="84" x14ac:dyDescent="0.15">
      <c r="A51" s="17" t="s">
        <v>46</v>
      </c>
      <c r="B51" s="10">
        <v>2.5</v>
      </c>
    </row>
    <row r="52" spans="1:2" ht="28" x14ac:dyDescent="0.15">
      <c r="A52" s="3" t="s">
        <v>20</v>
      </c>
      <c r="B52" s="10">
        <v>0.25</v>
      </c>
    </row>
    <row r="53" spans="1:2" ht="28" x14ac:dyDescent="0.15">
      <c r="A53" s="3" t="s">
        <v>21</v>
      </c>
      <c r="B53" s="10">
        <v>0.75</v>
      </c>
    </row>
    <row r="54" spans="1:2" ht="28" x14ac:dyDescent="0.15">
      <c r="A54" s="3" t="s">
        <v>22</v>
      </c>
      <c r="B54" s="10">
        <v>0.25</v>
      </c>
    </row>
    <row r="55" spans="1:2" ht="28" x14ac:dyDescent="0.15">
      <c r="A55" s="3" t="s">
        <v>23</v>
      </c>
      <c r="B55" s="10">
        <v>4.5</v>
      </c>
    </row>
    <row r="56" spans="1:2" x14ac:dyDescent="0.15">
      <c r="A56" s="6" t="s">
        <v>4</v>
      </c>
      <c r="B56" s="18">
        <f>SUM(B51:B55)</f>
        <v>8.25</v>
      </c>
    </row>
    <row r="57" spans="1:2" x14ac:dyDescent="0.15">
      <c r="A57" s="5"/>
      <c r="B57" s="5"/>
    </row>
    <row r="58" spans="1:2" x14ac:dyDescent="0.15">
      <c r="A58" s="6" t="s">
        <v>24</v>
      </c>
      <c r="B58" s="15">
        <f>SUM(B56+B48+B42+B30+B22)</f>
        <v>73.75</v>
      </c>
    </row>
    <row r="59" spans="1:2" x14ac:dyDescent="0.15">
      <c r="A59" s="6" t="s">
        <v>25</v>
      </c>
      <c r="B59" s="13" t="s">
        <v>26</v>
      </c>
    </row>
    <row r="61" spans="1:2" x14ac:dyDescent="0.15">
      <c r="A61" s="16" t="s">
        <v>27</v>
      </c>
    </row>
  </sheetData>
  <hyperlinks>
    <hyperlink ref="A2" r:id="rId1" xr:uid="{00000000-0004-0000-0000-000000000000}"/>
    <hyperlink ref="A10" r:id="rId2" xr:uid="{00000000-0004-0000-0000-000001000000}"/>
    <hyperlink ref="A12" r:id="rId3" xr:uid="{00000000-0004-0000-0000-000002000000}"/>
    <hyperlink ref="A13" r:id="rId4" xr:uid="{00000000-0004-0000-0000-000003000000}"/>
    <hyperlink ref="A15" r:id="rId5" xr:uid="{00000000-0004-0000-0000-000004000000}"/>
    <hyperlink ref="A17" r:id="rId6" xr:uid="{00000000-0004-0000-0000-000005000000}"/>
    <hyperlink ref="A19" r:id="rId7" xr:uid="{00000000-0004-0000-0000-000006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Thomas Kilian | Thoxan Communications GmbH</cp:lastModifiedBy>
  <dcterms:created xsi:type="dcterms:W3CDTF">2026-04-28T05:43:15Z</dcterms:created>
  <dcterms:modified xsi:type="dcterms:W3CDTF">2026-04-28T06:04:13Z</dcterms:modified>
  <cp:category/>
</cp:coreProperties>
</file>