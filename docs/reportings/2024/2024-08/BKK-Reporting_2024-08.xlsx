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4-08/"/>
    </mc:Choice>
  </mc:AlternateContent>
  <xr:revisionPtr revIDLastSave="0" documentId="8_{6580154B-BE37-1549-BC6B-E51B98E08D74}" xr6:coauthVersionLast="47" xr6:coauthVersionMax="47" xr10:uidLastSave="{00000000-0000-0000-0000-000000000000}"/>
  <bookViews>
    <workbookView xWindow="7580" yWindow="500" windowWidth="39600" windowHeight="26500" xr2:uid="{666919D0-5C7C-F54E-B249-A6676249278D}"/>
  </bookViews>
  <sheets>
    <sheet name="BKK"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1" l="1"/>
  <c r="B44" i="1"/>
  <c r="B40" i="1"/>
  <c r="B36" i="1"/>
  <c r="B22" i="1"/>
  <c r="B52" i="1" l="1"/>
</calcChain>
</file>

<file path=xl/sharedStrings.xml><?xml version="1.0" encoding="utf-8"?>
<sst xmlns="http://schemas.openxmlformats.org/spreadsheetml/2006/main" count="51" uniqueCount="46">
  <si>
    <t>BKK GILDEMEISTER SEIDENSTICKER</t>
  </si>
  <si>
    <t>Juli/August 2024</t>
  </si>
  <si>
    <t>www.bkkgs.de</t>
  </si>
  <si>
    <t>Monatliche Optimierung</t>
  </si>
  <si>
    <t>Aufwand ca. in Std.</t>
  </si>
  <si>
    <t>1. Linkaufbau, Online-PR</t>
  </si>
  <si>
    <t>Textarbeiten (Gastartikel): Briefing und Recherche, Texterstellung für Gastbeitrag auf gesundheitsberufe.eu, Lektorat, Abstimmung und Vorbereitung zur Veröffentlichung (26.06., EXT, TKI)</t>
  </si>
  <si>
    <t>Textarbeiten (Gastartikel): Briefing und Recherche, Texterstellung für Gastbeitrag auf klads.de, Lektorat, Abstimmung und Vorbereitung zur Veröffentlichung (01.07., EXT, TKI)</t>
  </si>
  <si>
    <t>Textarbeiten (Gastartikel): Briefing und Recherche, Texterstellung für Gastbeitrag auf grosseltern.de, Lektorat, Abstimmung und Vorbereitung zur Veröffentlichung (03.07., EXT, TKI)</t>
  </si>
  <si>
    <t>Textarbeiten (Gastartikel): Briefing und Recherche, Texterstellung für Gastbeitrag auf ich-geh-wandern.de, Lektorat, Abstimmung und Vorbereitung zur Veröffentlichung (31.07., EXT, TKI)</t>
  </si>
  <si>
    <t>Textarbeiten (Gastartikel): Briefing und Recherche, Texterstellung für Gastbeitrag auf bildungsbibel.de, Lektorat, Abstimmung und Vorbereitung zur Veröffentlichung (05.08., EXT, TKI)</t>
  </si>
  <si>
    <t>Textarbeiten (Gastartikel): Briefing und Recherche, Texterstellung für Gastbeitrag auf kohlenhydrate-tabelle.com, Lektorat, Abstimmung und Vorbereitung zur Veröffentlichung (07.08., EXT, TKI)</t>
  </si>
  <si>
    <t>Linkaufbau-Organisation und Abstimmung mit den Seitenbetreibern zur Veröffentlichung der vorbereiteten Gastartikel, Prüfung der Link-Integration, Abrechnung der Linkaufbau-Auslagen, Abstimmung und Dokumentation (01.07.-26.08., TKI)</t>
  </si>
  <si>
    <t>https://www.kinderinfo.de/baby/baby-bonus-bietet-gesundheitliche-vorsorge-und-finanzielle-unterstuetzung-fuer-neugeborene/</t>
  </si>
  <si>
    <t>(Aus Juni)</t>
  </si>
  <si>
    <t>https://gesundheitsberufe.de/news/kundenzufriedenheit-im-fokus-krankenkasse-bkk-gildemeister-seidensticker-führt-focus-money-umfrage-an/</t>
  </si>
  <si>
    <t>https://www.klads.de/familienurlaub-im-schulalter/</t>
  </si>
  <si>
    <t>https://www.grosseltern.de/gesundheitliche-herausforderungen-bei-steigenden-temperaturen/</t>
  </si>
  <si>
    <t>https://www.ich-geh-wandern.de/wandertipps-fuer-familien-so-kommen-auch-kleine-wanderfuesse-entspannt-ans-ziel</t>
  </si>
  <si>
    <t>https://bildungsbibel.de/krankenversicherung-und-versicherungen-auszubildende-studierende</t>
  </si>
  <si>
    <t>https://www.kohlenhydrate-tabellen.com/brainfood-zuendet-mit-einer-gesunden-vollwert-ernaehrung-die-superpower-im-gehirn/</t>
  </si>
  <si>
    <t>Linkabbau, Teilschritt 2: Kontaktaufnahme zu Redaktionen und Website-Betreibern mit Änderungswünschen für vorhandene Einträge, Zugriff auf Branchenverzeichnisse und Änderung der URL sowie zum Teil der kompletten Adressdaten, zum Teil mehrstufiger Freischalt-Prozess, weitere Korrespondenz mit Website-Betreibern und Dokumentation der Ergebnisse in der Linkprofil-Analyse, Setzen von 301-Redirects für Broken Links, kl. Anpassungen an der Website (04.08., TKI)</t>
  </si>
  <si>
    <t>Link-Monitoring: Neue Verlinkungen aus Link-Tools der letzten 30 Tage überprüft, einzeln bewertet (monatlich ca. 0,25 Std., TKI)</t>
  </si>
  <si>
    <t>2. Website- und Redaktionelle Arbeiten</t>
  </si>
  <si>
    <t>Textarbeiten "Alzheimer": Abstimmung, Briefing und inhaltliche Konzeption, Recherche und Zusammentragen der Informationen, Texterstellung, Keyword-Optimierung nach WDF*IDF, Ergänzungen und kl. Anpassungen, Lektorat und finale Bearbeitung, Versand an Kunden und Dokumentation (17.07.-09.08., GBO, NMA, TKI)</t>
  </si>
  <si>
    <t>Redaktionelle Vorarbeiten: Überarbeitung der bisherigen Analyse, weitere Recherche und Auswahl thematisch geeigneter Journalartikel (3-6) zur Platzierung als Mehrwert auf relevanten Leistungsseiten, Bereitstellung der Daten in Excel, Prüfung der Daten und finale Bearbeitung, Versand an Kunden und Dokumentation (24.-31.07., NMA, TKI)</t>
  </si>
  <si>
    <t>Textarbeiten "Demenz": Abstimmung, Briefing und inhaltliche Konzeption, Recherche und Zusammentragen der Informationen, Texterstellung, Keyword-Optimierung nach WDF*IDF, Ergänzungen und kl. Anpassungen, Lektorat und finale Bearbeitung, Versand an Kunden und Dokumentation (17.07.-09.08., GBO, NMA, TKI)</t>
  </si>
  <si>
    <t>Textkorrektur Online-Services: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(15.07., GBO)</t>
  </si>
  <si>
    <t>Textkorrektur Digitale Anwendungen: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(15.07., GBO)</t>
  </si>
  <si>
    <t>Textkorrektur Gesund in Kita und Schule: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(16.07., GBO)</t>
  </si>
  <si>
    <t>Textkorrektur Gesund werden: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(16.07., GBO)</t>
  </si>
  <si>
    <t>Durchsicht der aktuellen Textaufträge, interne Abstimmung, Asana-Tickets, Dokumentation (13.-21.08., GBO)</t>
  </si>
  <si>
    <t>Textkorrektur BKK GS-App: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(13.08., GBO)</t>
  </si>
  <si>
    <t>Textkorrektur Gebärmutterhalskrebs: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(21.08., GBO)</t>
  </si>
  <si>
    <t>Textkorrektur Prostatakrebs: Abstimmung und Durchsicht der Änderungswünsche, Inhaltliche Bearbeitung des Textes inkl. Umsetzung möglicher Ergänzungen (ggf. Umstrukturierung oder Texterweiterung), Durchsicht der Texte und finale Bearbeitung, Vorbereitung und Übergabe zum Einpflegen auf der Website, Dokumentation (21.08., GBO)</t>
  </si>
  <si>
    <t>3. Technische Arbeiten, Onpage-Optimierung, ggf. Programmierung</t>
  </si>
  <si>
    <t>Überprüfung der Maßnahmen und der technischen Anpassungen von move:elevator, siehe Ticket-Dokumentation – Ladezeit-Optimierung, Core Web Vitals, PDF im Index, W3C-Validierung, etc., Abstimmung und Dokumentation (01.07.-25.08., TKI)</t>
  </si>
  <si>
    <t>4. Google Ads, Monitoring</t>
  </si>
  <si>
    <t>Fortlaufendes Monitoring der eingerichteten Kampagnen und Anzeigengruppen, Anlegen weiterer Anzeigengruppen mit div. Keywords lt. Cluster-Auswahl, Texten von Anzeigen, Ergänzung und Ausschluss von passenden / unpassenden Keywords, kl. Änderungen, Auswertung jeweils zum Monatsende (01.07.-31.08., JST, DHE, TKI)</t>
  </si>
  <si>
    <t>6. Beratung &amp; Sonstiges</t>
  </si>
  <si>
    <t>Prüfung von Website-Ausfällen, mehrmalige Abstimmung (25.07.-09.08., TKI)</t>
  </si>
  <si>
    <t>Austausch der Empfänger für den monatl. Versand des Lookerstudio-Berichts, Abstimmung (23.-26.08., TKI)</t>
  </si>
  <si>
    <t>Organisation, Planung, Überwachung und Steuerung der Aufgaben und Ressourcen (pro Tagessatz ca. 0,5 Std., TKI)</t>
  </si>
  <si>
    <t>Aufwand ca. insgesamt in Std.</t>
  </si>
  <si>
    <t>Aufwand in Tagessätzen</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</si>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</sst>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font>
    <font>
      <b/>
      <sz val="16"/>
      <color theme="1"/>
      <name val="Arial"/>
      <family val="2"/>
    </font>
    <font>
      <sz val="12"/>
      <color theme="1"/>
      <name val="Arial"/>
      <family val="2"/>
    </font>
    <font>
      <b/>
      <sz val="10"/>
      <color theme="1"/>
      <name val="Arial"/>
      <family val="2"/>
    </font>
    <font>
      <u/>
      <sz val="10"/>
      <color theme="10"/>
      <name val="Arial"/>
      <family val="2"/>
    </font>
    <font>
      <sz val="10"/>
      <color theme="1"/>
      <name val="Arial"/>
      <family val="2"/>
    </font>
    <font>
      <u/>
      <sz val="12"/>
      <color theme="10"/>
      <name val="Calibri"/>
      <family val="2"/>
    </font>
    <font>
      <sz val="10"/>
      <color theme="0" tint="-0.499984740745262"/>
      <name val="Arial"/>
      <family val="2"/>
    </font>
    <font>
      <sz val="10.5"/>
      <color theme="1"/>
      <name val="Arial"/>
      <family val="2"/>
    </font>
    <font>
      <sz val="10.5"/>
      <color theme="1"/>
      <name val="Calibri"/>
      <family val="2"/>
    </font>
  </fonts>
  <fills count="5">
    <fill>
      <patternFill patternType="none"/>
    </fill>
    <fill>
      <patternFill patternType="gray125"/>
    </fill>
    <fill>
      <patternFill patternType="solid">
        <fgColor rgb="FFD8D8D8"/>
        <bgColor rgb="FFD8D8D8"/>
      </patternFill>
    </fill>
    <fill>
      <patternFill patternType="solid">
        <fgColor theme="0"/>
        <bgColor theme="0"/>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6" fillId="0" borderId="0" applyNumberFormat="0" applyFill="0" applyBorder="0" applyAlignment="0" applyProtection="0"/>
  </cellStyleXfs>
  <cellXfs count="27">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0" fontId="4" fillId="0" borderId="0" xfId="0" applyFont="1"/>
    <xf numFmtId="49" fontId="5" fillId="0" borderId="0" xfId="0" applyNumberFormat="1" applyFont="1" applyAlignment="1">
      <alignment horizontal="right"/>
    </xf>
    <xf numFmtId="0" fontId="5" fillId="0" borderId="0" xfId="0" applyFont="1"/>
    <xf numFmtId="0" fontId="5" fillId="0" borderId="1" xfId="0" applyFont="1" applyBorder="1"/>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3" fillId="0" borderId="1" xfId="0" applyFont="1" applyBorder="1"/>
    <xf numFmtId="0" fontId="3" fillId="0" borderId="1"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center" vertical="center"/>
    </xf>
    <xf numFmtId="0" fontId="4" fillId="0" borderId="1" xfId="1" applyFont="1" applyBorder="1" applyAlignment="1">
      <alignment vertical="center" wrapText="1"/>
    </xf>
    <xf numFmtId="0" fontId="5" fillId="0" borderId="1" xfId="0" applyFont="1" applyBorder="1" applyAlignment="1">
      <alignment horizontal="center" vertical="top"/>
    </xf>
    <xf numFmtId="0" fontId="4" fillId="0" borderId="1" xfId="1" applyFont="1" applyBorder="1" applyAlignment="1">
      <alignment wrapText="1"/>
    </xf>
    <xf numFmtId="0" fontId="5" fillId="4" borderId="1" xfId="0" applyFont="1" applyFill="1" applyBorder="1" applyAlignment="1">
      <alignment horizontal="center" vertical="center"/>
    </xf>
    <xf numFmtId="0" fontId="5" fillId="0" borderId="1" xfId="0" applyFont="1" applyBorder="1" applyAlignment="1">
      <alignment vertical="center"/>
    </xf>
    <xf numFmtId="0" fontId="5" fillId="3" borderId="1" xfId="0" applyFont="1" applyFill="1" applyBorder="1" applyAlignment="1">
      <alignment vertical="top" wrapText="1"/>
    </xf>
    <xf numFmtId="0" fontId="5" fillId="2" borderId="2" xfId="0" applyFont="1" applyFill="1" applyBorder="1" applyAlignment="1">
      <alignment vertical="center"/>
    </xf>
    <xf numFmtId="0" fontId="3" fillId="2" borderId="3" xfId="0" applyFont="1" applyFill="1" applyBorder="1" applyAlignment="1">
      <alignment horizontal="center" vertical="center"/>
    </xf>
    <xf numFmtId="0" fontId="5" fillId="2" borderId="4" xfId="0" applyFont="1" applyFill="1" applyBorder="1" applyAlignment="1">
      <alignment vertical="center"/>
    </xf>
    <xf numFmtId="0" fontId="3" fillId="2" borderId="5" xfId="0" applyFont="1" applyFill="1" applyBorder="1" applyAlignment="1">
      <alignment horizontal="center" vertical="center"/>
    </xf>
    <xf numFmtId="0" fontId="7" fillId="0" borderId="0" xfId="1" applyFont="1"/>
    <xf numFmtId="0" fontId="8" fillId="0" borderId="0" xfId="0" applyFont="1"/>
    <xf numFmtId="0" fontId="9"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ildungsbibel.de/krankenversicherung-und-versicherungen-auszubildende-studierende" TargetMode="External"/><Relationship Id="rId3" Type="http://schemas.openxmlformats.org/officeDocument/2006/relationships/hyperlink" Target="https://www.kinderinfo.de/baby/baby-bonus-bietet-gesundheitliche-vorsorge-und-finanzielle-unterstuetzung-fuer-neugeborene/" TargetMode="External"/><Relationship Id="rId7" Type="http://schemas.openxmlformats.org/officeDocument/2006/relationships/hyperlink" Target="https://www.ich-geh-wandern.de/wandertipps-fuer-familien-so-kommen-auch-kleine-wanderfuesse-entspannt-ans-ziel" TargetMode="External"/><Relationship Id="rId2" Type="http://schemas.openxmlformats.org/officeDocument/2006/relationships/hyperlink" Target="https://www.thoxan.com/kontakt/" TargetMode="External"/><Relationship Id="rId1" Type="http://schemas.openxmlformats.org/officeDocument/2006/relationships/hyperlink" Target="http://www.bkkgs.de/" TargetMode="External"/><Relationship Id="rId6" Type="http://schemas.openxmlformats.org/officeDocument/2006/relationships/hyperlink" Target="https://www.grosseltern.de/gesundheitliche-herausforderungen-bei-steigenden-temperaturen/" TargetMode="External"/><Relationship Id="rId5" Type="http://schemas.openxmlformats.org/officeDocument/2006/relationships/hyperlink" Target="https://www.klads.de/familienurlaub-im-schulalter/" TargetMode="External"/><Relationship Id="rId4" Type="http://schemas.openxmlformats.org/officeDocument/2006/relationships/hyperlink" Target="https://gesundheitsberufe.de/news/kundenzufriedenheit-im-fokus-krankenkasse-bkk-gildemeister-seidensticker-f&#252;hrt-focus-money-umfrage-an/" TargetMode="External"/><Relationship Id="rId9" Type="http://schemas.openxmlformats.org/officeDocument/2006/relationships/hyperlink" Target="https://www.kohlenhydrate-tabellen.com/brainfood-zuendet-mit-einer-gesunden-vollwert-ernaehrung-die-superpower-im-gehir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B6B2-DA4E-7741-BCA8-FCEA566716E9}">
  <dimension ref="A1:B1011"/>
  <sheetViews>
    <sheetView tabSelected="1" zoomScale="140" zoomScaleNormal="140" workbookViewId="0">
      <pane ySplit="4" topLeftCell="A5" activePane="bottomLeft" state="frozen"/>
      <selection pane="bottomLeft" activeCell="D51" sqref="D51"/>
    </sheetView>
  </sheetViews>
  <sheetFormatPr baseColWidth="10" defaultColWidth="11.1640625" defaultRowHeight="15" customHeight="1" x14ac:dyDescent="0.2"/>
  <cols>
    <col min="1" max="1" width="57.5" customWidth="1"/>
    <col min="2" max="2" width="23" customWidth="1"/>
  </cols>
  <sheetData>
    <row r="1" spans="1:2" ht="19.5" customHeight="1" x14ac:dyDescent="0.2">
      <c r="A1" s="1" t="s">
        <v>0</v>
      </c>
      <c r="B1" s="2" t="s">
        <v>1</v>
      </c>
    </row>
    <row r="2" spans="1:2" ht="15.75" customHeight="1" x14ac:dyDescent="0.2">
      <c r="A2" s="4" t="s">
        <v>2</v>
      </c>
      <c r="B2" s="5" t="s">
        <v>3</v>
      </c>
    </row>
    <row r="3" spans="1:2" ht="15.75" customHeight="1" x14ac:dyDescent="0.2">
      <c r="A3" s="4"/>
      <c r="B3" s="6"/>
    </row>
    <row r="4" spans="1:2" s="6" customFormat="1" ht="15.75" customHeight="1" x14ac:dyDescent="0.15">
      <c r="A4" s="7"/>
      <c r="B4" s="8" t="s">
        <v>4</v>
      </c>
    </row>
    <row r="5" spans="1:2" s="6" customFormat="1" ht="15.75" customHeight="1" x14ac:dyDescent="0.15">
      <c r="A5" s="10" t="s">
        <v>5</v>
      </c>
      <c r="B5" s="11"/>
    </row>
    <row r="6" spans="1:2" ht="42" x14ac:dyDescent="0.2">
      <c r="A6" s="12" t="s">
        <v>6</v>
      </c>
      <c r="B6" s="13">
        <v>2</v>
      </c>
    </row>
    <row r="7" spans="1:2" ht="42" x14ac:dyDescent="0.2">
      <c r="A7" s="12" t="s">
        <v>7</v>
      </c>
      <c r="B7" s="13">
        <v>3</v>
      </c>
    </row>
    <row r="8" spans="1:2" ht="42" x14ac:dyDescent="0.2">
      <c r="A8" s="12" t="s">
        <v>8</v>
      </c>
      <c r="B8" s="13">
        <v>3</v>
      </c>
    </row>
    <row r="9" spans="1:2" ht="42" x14ac:dyDescent="0.2">
      <c r="A9" s="12" t="s">
        <v>9</v>
      </c>
      <c r="B9" s="13">
        <v>3</v>
      </c>
    </row>
    <row r="10" spans="1:2" ht="42" x14ac:dyDescent="0.2">
      <c r="A10" s="12" t="s">
        <v>10</v>
      </c>
      <c r="B10" s="13">
        <v>3.5</v>
      </c>
    </row>
    <row r="11" spans="1:2" ht="42" x14ac:dyDescent="0.2">
      <c r="A11" s="12" t="s">
        <v>11</v>
      </c>
      <c r="B11" s="13">
        <v>3</v>
      </c>
    </row>
    <row r="12" spans="1:2" s="6" customFormat="1" ht="56" x14ac:dyDescent="0.15">
      <c r="A12" s="12" t="s">
        <v>12</v>
      </c>
      <c r="B12" s="13">
        <v>3.5</v>
      </c>
    </row>
    <row r="13" spans="1:2" s="6" customFormat="1" ht="28" x14ac:dyDescent="0.15">
      <c r="A13" s="14" t="s">
        <v>13</v>
      </c>
      <c r="B13" s="13" t="s">
        <v>14</v>
      </c>
    </row>
    <row r="14" spans="1:2" s="6" customFormat="1" ht="42" x14ac:dyDescent="0.15">
      <c r="A14" s="14" t="s">
        <v>15</v>
      </c>
      <c r="B14" s="15"/>
    </row>
    <row r="15" spans="1:2" s="6" customFormat="1" ht="14" x14ac:dyDescent="0.15">
      <c r="A15" s="14" t="s">
        <v>16</v>
      </c>
      <c r="B15" s="13"/>
    </row>
    <row r="16" spans="1:2" s="6" customFormat="1" ht="28" x14ac:dyDescent="0.15">
      <c r="A16" s="14" t="s">
        <v>17</v>
      </c>
      <c r="B16" s="13"/>
    </row>
    <row r="17" spans="1:2" s="6" customFormat="1" ht="28" x14ac:dyDescent="0.15">
      <c r="A17" s="14" t="s">
        <v>18</v>
      </c>
      <c r="B17" s="13"/>
    </row>
    <row r="18" spans="1:2" s="6" customFormat="1" ht="28" x14ac:dyDescent="0.15">
      <c r="A18" s="14" t="s">
        <v>19</v>
      </c>
      <c r="B18" s="13"/>
    </row>
    <row r="19" spans="1:2" s="6" customFormat="1" ht="28" x14ac:dyDescent="0.15">
      <c r="A19" s="16" t="s">
        <v>20</v>
      </c>
      <c r="B19" s="17"/>
    </row>
    <row r="20" spans="1:2" s="6" customFormat="1" ht="97" customHeight="1" x14ac:dyDescent="0.15">
      <c r="A20" s="12" t="s">
        <v>21</v>
      </c>
      <c r="B20" s="13">
        <v>2</v>
      </c>
    </row>
    <row r="21" spans="1:2" s="6" customFormat="1" ht="27.75" customHeight="1" x14ac:dyDescent="0.15">
      <c r="A21" s="12" t="s">
        <v>22</v>
      </c>
      <c r="B21" s="13">
        <v>0.5</v>
      </c>
    </row>
    <row r="22" spans="1:2" s="6" customFormat="1" ht="15.75" customHeight="1" x14ac:dyDescent="0.15">
      <c r="A22" s="8" t="s">
        <v>4</v>
      </c>
      <c r="B22" s="9">
        <f>SUM(B6:B21)</f>
        <v>23.5</v>
      </c>
    </row>
    <row r="23" spans="1:2" s="6" customFormat="1" ht="15.75" customHeight="1" x14ac:dyDescent="0.15">
      <c r="A23" s="7"/>
      <c r="B23" s="13"/>
    </row>
    <row r="24" spans="1:2" s="6" customFormat="1" ht="15.75" customHeight="1" x14ac:dyDescent="0.15">
      <c r="A24" s="10" t="s">
        <v>23</v>
      </c>
      <c r="B24" s="13"/>
    </row>
    <row r="25" spans="1:2" s="6" customFormat="1" ht="65" customHeight="1" x14ac:dyDescent="0.15">
      <c r="A25" s="12" t="s">
        <v>24</v>
      </c>
      <c r="B25" s="13">
        <v>9.5</v>
      </c>
    </row>
    <row r="26" spans="1:2" s="6" customFormat="1" ht="65" customHeight="1" x14ac:dyDescent="0.15">
      <c r="A26" s="12" t="s">
        <v>25</v>
      </c>
      <c r="B26" s="13">
        <v>5</v>
      </c>
    </row>
    <row r="27" spans="1:2" s="6" customFormat="1" ht="66" customHeight="1" x14ac:dyDescent="0.15">
      <c r="A27" s="12" t="s">
        <v>26</v>
      </c>
      <c r="B27" s="13">
        <v>8.5</v>
      </c>
    </row>
    <row r="28" spans="1:2" s="6" customFormat="1" ht="65" customHeight="1" x14ac:dyDescent="0.15">
      <c r="A28" s="12" t="s">
        <v>27</v>
      </c>
      <c r="B28" s="13">
        <v>1</v>
      </c>
    </row>
    <row r="29" spans="1:2" s="6" customFormat="1" ht="67" customHeight="1" x14ac:dyDescent="0.15">
      <c r="A29" s="12" t="s">
        <v>28</v>
      </c>
      <c r="B29" s="13">
        <v>0.5</v>
      </c>
    </row>
    <row r="30" spans="1:2" s="6" customFormat="1" ht="79" customHeight="1" x14ac:dyDescent="0.15">
      <c r="A30" s="12" t="s">
        <v>29</v>
      </c>
      <c r="B30" s="13">
        <v>1.5</v>
      </c>
    </row>
    <row r="31" spans="1:2" s="6" customFormat="1" ht="68" customHeight="1" x14ac:dyDescent="0.15">
      <c r="A31" s="12" t="s">
        <v>30</v>
      </c>
      <c r="B31" s="13">
        <v>0.25</v>
      </c>
    </row>
    <row r="32" spans="1:2" s="6" customFormat="1" ht="28" x14ac:dyDescent="0.15">
      <c r="A32" s="12" t="s">
        <v>31</v>
      </c>
      <c r="B32" s="13">
        <v>1</v>
      </c>
    </row>
    <row r="33" spans="1:2" s="6" customFormat="1" ht="68" customHeight="1" x14ac:dyDescent="0.15">
      <c r="A33" s="12" t="s">
        <v>32</v>
      </c>
      <c r="B33" s="13">
        <v>0.5</v>
      </c>
    </row>
    <row r="34" spans="1:2" s="6" customFormat="1" ht="68" customHeight="1" x14ac:dyDescent="0.15">
      <c r="A34" s="12" t="s">
        <v>33</v>
      </c>
      <c r="B34" s="13">
        <v>0.25</v>
      </c>
    </row>
    <row r="35" spans="1:2" s="6" customFormat="1" ht="68" customHeight="1" x14ac:dyDescent="0.15">
      <c r="A35" s="12" t="s">
        <v>34</v>
      </c>
      <c r="B35" s="13">
        <v>0.5</v>
      </c>
    </row>
    <row r="36" spans="1:2" s="6" customFormat="1" ht="15.75" customHeight="1" x14ac:dyDescent="0.15">
      <c r="A36" s="8" t="s">
        <v>4</v>
      </c>
      <c r="B36" s="9">
        <f>SUM(B25:B35)</f>
        <v>28.5</v>
      </c>
    </row>
    <row r="37" spans="1:2" s="6" customFormat="1" ht="15.75" customHeight="1" x14ac:dyDescent="0.15">
      <c r="A37" s="18"/>
      <c r="B37" s="13"/>
    </row>
    <row r="38" spans="1:2" s="6" customFormat="1" ht="15.75" customHeight="1" x14ac:dyDescent="0.15">
      <c r="A38" s="10" t="s">
        <v>35</v>
      </c>
      <c r="B38" s="13"/>
    </row>
    <row r="39" spans="1:2" s="6" customFormat="1" ht="56" x14ac:dyDescent="0.15">
      <c r="A39" s="12" t="s">
        <v>36</v>
      </c>
      <c r="B39" s="13">
        <v>3.5</v>
      </c>
    </row>
    <row r="40" spans="1:2" s="6" customFormat="1" ht="15.75" customHeight="1" x14ac:dyDescent="0.15">
      <c r="A40" s="8" t="s">
        <v>4</v>
      </c>
      <c r="B40" s="9">
        <f>SUM(B39:B39)</f>
        <v>3.5</v>
      </c>
    </row>
    <row r="41" spans="1:2" s="6" customFormat="1" ht="15.75" customHeight="1" x14ac:dyDescent="0.15">
      <c r="A41" s="18"/>
      <c r="B41" s="13"/>
    </row>
    <row r="42" spans="1:2" s="6" customFormat="1" ht="15.75" customHeight="1" x14ac:dyDescent="0.15">
      <c r="A42" s="10" t="s">
        <v>37</v>
      </c>
      <c r="B42" s="13"/>
    </row>
    <row r="43" spans="1:2" s="6" customFormat="1" ht="67" customHeight="1" x14ac:dyDescent="0.15">
      <c r="A43" s="12" t="s">
        <v>38</v>
      </c>
      <c r="B43" s="13">
        <v>6</v>
      </c>
    </row>
    <row r="44" spans="1:2" s="6" customFormat="1" ht="15.75" customHeight="1" x14ac:dyDescent="0.15">
      <c r="A44" s="8" t="s">
        <v>4</v>
      </c>
      <c r="B44" s="9">
        <f>SUM(B43:B43)</f>
        <v>6</v>
      </c>
    </row>
    <row r="45" spans="1:2" s="6" customFormat="1" ht="15.75" customHeight="1" x14ac:dyDescent="0.15">
      <c r="A45" s="18"/>
      <c r="B45" s="13"/>
    </row>
    <row r="46" spans="1:2" s="6" customFormat="1" ht="15.75" customHeight="1" x14ac:dyDescent="0.15">
      <c r="A46" s="10" t="s">
        <v>39</v>
      </c>
      <c r="B46" s="13"/>
    </row>
    <row r="47" spans="1:2" s="6" customFormat="1" ht="28" x14ac:dyDescent="0.15">
      <c r="A47" s="19" t="s">
        <v>40</v>
      </c>
      <c r="B47" s="13">
        <v>0.25</v>
      </c>
    </row>
    <row r="48" spans="1:2" s="6" customFormat="1" ht="28" x14ac:dyDescent="0.15">
      <c r="A48" s="19" t="s">
        <v>41</v>
      </c>
      <c r="B48" s="13">
        <v>0.25</v>
      </c>
    </row>
    <row r="49" spans="1:2" s="6" customFormat="1" ht="28" x14ac:dyDescent="0.15">
      <c r="A49" s="12" t="s">
        <v>42</v>
      </c>
      <c r="B49" s="13">
        <v>4</v>
      </c>
    </row>
    <row r="50" spans="1:2" s="6" customFormat="1" ht="15.75" customHeight="1" x14ac:dyDescent="0.15">
      <c r="A50" s="8" t="s">
        <v>4</v>
      </c>
      <c r="B50" s="9">
        <f>SUM(B47:B49)</f>
        <v>4.5</v>
      </c>
    </row>
    <row r="51" spans="1:2" s="6" customFormat="1" ht="15" customHeight="1" x14ac:dyDescent="0.15">
      <c r="A51" s="18"/>
      <c r="B51" s="13"/>
    </row>
    <row r="52" spans="1:2" s="6" customFormat="1" ht="16.5" customHeight="1" thickBot="1" x14ac:dyDescent="0.2">
      <c r="A52" s="20" t="s">
        <v>43</v>
      </c>
      <c r="B52" s="21">
        <f>SUM(B50+B44+B40+B36+B22)</f>
        <v>66</v>
      </c>
    </row>
    <row r="53" spans="1:2" s="6" customFormat="1" ht="16.5" customHeight="1" thickBot="1" x14ac:dyDescent="0.2">
      <c r="A53" s="22" t="s">
        <v>44</v>
      </c>
      <c r="B53" s="23">
        <v>8</v>
      </c>
    </row>
    <row r="54" spans="1:2" ht="15.75" customHeight="1" x14ac:dyDescent="0.2">
      <c r="A54" s="6"/>
      <c r="B54" s="6"/>
    </row>
    <row r="55" spans="1:2" s="26" customFormat="1" ht="15.75" customHeight="1" x14ac:dyDescent="0.2">
      <c r="A55" s="24" t="s">
        <v>45</v>
      </c>
      <c r="B55" s="25"/>
    </row>
    <row r="56" spans="1:2" ht="15.75" customHeight="1" x14ac:dyDescent="0.2">
      <c r="A56" s="6"/>
      <c r="B56" s="6"/>
    </row>
    <row r="57" spans="1:2" ht="15.75" customHeight="1" x14ac:dyDescent="0.2">
      <c r="A57" s="6"/>
      <c r="B57" s="6"/>
    </row>
    <row r="58" spans="1:2" ht="15.75" customHeight="1" x14ac:dyDescent="0.2">
      <c r="B58" s="6"/>
    </row>
    <row r="59" spans="1:2" ht="15.75" customHeight="1" x14ac:dyDescent="0.2">
      <c r="A59" s="6"/>
      <c r="B59" s="6"/>
    </row>
    <row r="60" spans="1:2" ht="15.75" customHeight="1" x14ac:dyDescent="0.2">
      <c r="A60" s="6"/>
      <c r="B60" s="6"/>
    </row>
    <row r="61" spans="1:2" ht="15.75" customHeight="1" x14ac:dyDescent="0.2">
      <c r="A61" s="6"/>
      <c r="B61" s="6"/>
    </row>
    <row r="62" spans="1:2" ht="15.75" customHeight="1" x14ac:dyDescent="0.2">
      <c r="A62" s="6"/>
      <c r="B62" s="6"/>
    </row>
    <row r="63" spans="1:2" ht="15.75" customHeight="1" x14ac:dyDescent="0.2">
      <c r="A63" s="6"/>
      <c r="B63" s="6"/>
    </row>
    <row r="64" spans="1:2" ht="15.75" customHeight="1" x14ac:dyDescent="0.2">
      <c r="A64" s="6"/>
      <c r="B64" s="6"/>
    </row>
    <row r="65" spans="1:2" ht="15.75" customHeight="1" x14ac:dyDescent="0.2">
      <c r="A65" s="6"/>
      <c r="B65" s="6"/>
    </row>
    <row r="66" spans="1:2" ht="15.75" customHeight="1" x14ac:dyDescent="0.2">
      <c r="A66" s="6"/>
      <c r="B66" s="6"/>
    </row>
    <row r="67" spans="1:2" ht="15.75" customHeight="1" x14ac:dyDescent="0.2">
      <c r="A67" s="6"/>
      <c r="B67" s="6"/>
    </row>
    <row r="68" spans="1:2" ht="15.75" customHeight="1" x14ac:dyDescent="0.2">
      <c r="A68" s="6"/>
      <c r="B68" s="6"/>
    </row>
    <row r="69" spans="1:2" ht="15.75" customHeight="1" x14ac:dyDescent="0.2">
      <c r="A69" s="6"/>
      <c r="B69" s="6"/>
    </row>
    <row r="70" spans="1:2" ht="15.75" customHeight="1" x14ac:dyDescent="0.2">
      <c r="A70" s="6"/>
      <c r="B70" s="6"/>
    </row>
    <row r="71" spans="1:2" ht="15.75" customHeight="1" x14ac:dyDescent="0.2">
      <c r="A71" s="6"/>
      <c r="B71" s="6"/>
    </row>
    <row r="72" spans="1:2" ht="15.75" customHeight="1" x14ac:dyDescent="0.2">
      <c r="A72" s="6"/>
      <c r="B72" s="6"/>
    </row>
    <row r="73" spans="1:2" ht="15.75" customHeight="1" x14ac:dyDescent="0.2">
      <c r="A73" s="6"/>
      <c r="B73" s="6"/>
    </row>
    <row r="74" spans="1:2" ht="15.75" customHeight="1" x14ac:dyDescent="0.2">
      <c r="A74" s="6"/>
      <c r="B74" s="6"/>
    </row>
    <row r="75" spans="1:2" ht="15.75" customHeight="1" x14ac:dyDescent="0.2">
      <c r="A75" s="6"/>
      <c r="B75" s="6"/>
    </row>
    <row r="76" spans="1:2" ht="15.75" customHeight="1" x14ac:dyDescent="0.2">
      <c r="A76" s="6"/>
      <c r="B76" s="6"/>
    </row>
    <row r="77" spans="1:2" ht="15.75" customHeight="1" x14ac:dyDescent="0.2">
      <c r="A77" s="6"/>
      <c r="B77" s="6"/>
    </row>
    <row r="78" spans="1:2" ht="15.75" customHeight="1" x14ac:dyDescent="0.2">
      <c r="A78" s="6"/>
      <c r="B78" s="6"/>
    </row>
    <row r="79" spans="1:2" ht="15.75" customHeight="1" x14ac:dyDescent="0.2">
      <c r="A79" s="6"/>
      <c r="B79" s="6"/>
    </row>
    <row r="80" spans="1:2" ht="15.75" customHeight="1" x14ac:dyDescent="0.2">
      <c r="A80" s="6"/>
      <c r="B80" s="6"/>
    </row>
    <row r="81" spans="1:2" ht="15.75" customHeight="1" x14ac:dyDescent="0.2">
      <c r="A81" s="6"/>
      <c r="B81" s="6"/>
    </row>
    <row r="82" spans="1:2" ht="15.75" customHeight="1" x14ac:dyDescent="0.2">
      <c r="A82" s="6"/>
      <c r="B82" s="6"/>
    </row>
    <row r="83" spans="1:2" ht="15.75" customHeight="1" x14ac:dyDescent="0.2">
      <c r="A83" s="6"/>
      <c r="B83" s="6"/>
    </row>
    <row r="84" spans="1:2" ht="15.75" customHeight="1" x14ac:dyDescent="0.2">
      <c r="A84" s="6"/>
      <c r="B84" s="6"/>
    </row>
    <row r="85" spans="1:2" ht="15.75" customHeight="1" x14ac:dyDescent="0.2">
      <c r="A85" s="6"/>
      <c r="B85" s="6"/>
    </row>
    <row r="86" spans="1:2" ht="15.75" customHeight="1" x14ac:dyDescent="0.2">
      <c r="A86" s="6"/>
      <c r="B86" s="6"/>
    </row>
    <row r="87" spans="1:2" ht="15.75" customHeight="1" x14ac:dyDescent="0.2">
      <c r="A87" s="6"/>
      <c r="B87" s="6"/>
    </row>
    <row r="88" spans="1:2" ht="15.75" customHeight="1" x14ac:dyDescent="0.2">
      <c r="A88" s="6"/>
      <c r="B88" s="6"/>
    </row>
    <row r="89" spans="1:2" ht="15.75" customHeight="1" x14ac:dyDescent="0.2">
      <c r="A89" s="6"/>
      <c r="B89" s="6"/>
    </row>
    <row r="90" spans="1:2" ht="15.75" customHeight="1" x14ac:dyDescent="0.2">
      <c r="A90" s="6"/>
      <c r="B90" s="6"/>
    </row>
    <row r="91" spans="1:2" ht="15.75" customHeight="1" x14ac:dyDescent="0.2">
      <c r="A91" s="6"/>
      <c r="B91" s="6"/>
    </row>
    <row r="92" spans="1:2" ht="15.75" customHeight="1" x14ac:dyDescent="0.2">
      <c r="A92" s="6"/>
      <c r="B92" s="6"/>
    </row>
    <row r="93" spans="1:2" ht="15.75" customHeight="1" x14ac:dyDescent="0.2">
      <c r="A93" s="6"/>
      <c r="B93" s="6"/>
    </row>
    <row r="94" spans="1:2" ht="15.75" customHeight="1" x14ac:dyDescent="0.2">
      <c r="A94" s="6"/>
      <c r="B94" s="6"/>
    </row>
    <row r="95" spans="1:2" ht="15.75" customHeight="1" x14ac:dyDescent="0.2">
      <c r="A95" s="6"/>
      <c r="B95" s="6"/>
    </row>
    <row r="96" spans="1:2" ht="15.75" customHeight="1" x14ac:dyDescent="0.2">
      <c r="A96" s="6"/>
      <c r="B96" s="6"/>
    </row>
    <row r="97" spans="1:2" ht="15.75" customHeight="1" x14ac:dyDescent="0.2">
      <c r="A97" s="6"/>
      <c r="B97" s="6"/>
    </row>
    <row r="98" spans="1:2" ht="15.75" customHeight="1" x14ac:dyDescent="0.2">
      <c r="A98" s="6"/>
      <c r="B98" s="6"/>
    </row>
    <row r="99" spans="1:2" ht="15.75" customHeight="1" x14ac:dyDescent="0.2">
      <c r="A99" s="6"/>
      <c r="B99" s="6"/>
    </row>
    <row r="100" spans="1:2" ht="15.75" customHeight="1" x14ac:dyDescent="0.2">
      <c r="A100" s="6"/>
      <c r="B100" s="6"/>
    </row>
    <row r="101" spans="1:2" ht="15.75" customHeight="1" x14ac:dyDescent="0.2">
      <c r="A101" s="6"/>
      <c r="B101" s="6"/>
    </row>
    <row r="102" spans="1:2" ht="15.75" customHeight="1" x14ac:dyDescent="0.2">
      <c r="A102" s="6"/>
      <c r="B102" s="6"/>
    </row>
    <row r="103" spans="1:2" ht="15.75" customHeight="1" x14ac:dyDescent="0.2">
      <c r="A103" s="6"/>
      <c r="B103" s="6"/>
    </row>
    <row r="104" spans="1:2" ht="15.75" customHeight="1" x14ac:dyDescent="0.2">
      <c r="A104" s="6"/>
      <c r="B104" s="6"/>
    </row>
    <row r="105" spans="1:2" ht="15.75" customHeight="1" x14ac:dyDescent="0.2">
      <c r="A105" s="6"/>
      <c r="B105" s="6"/>
    </row>
    <row r="106" spans="1:2" ht="15.75" customHeight="1" x14ac:dyDescent="0.2">
      <c r="A106" s="6"/>
      <c r="B106" s="6"/>
    </row>
    <row r="107" spans="1:2" ht="15.75" customHeight="1" x14ac:dyDescent="0.2">
      <c r="A107" s="6"/>
      <c r="B107" s="6"/>
    </row>
    <row r="108" spans="1:2" ht="15.75" customHeight="1" x14ac:dyDescent="0.2">
      <c r="A108" s="6"/>
      <c r="B108" s="6"/>
    </row>
    <row r="109" spans="1:2" ht="15.75" customHeight="1" x14ac:dyDescent="0.2">
      <c r="A109" s="6"/>
      <c r="B109" s="6"/>
    </row>
    <row r="110" spans="1:2" ht="15.75" customHeight="1" x14ac:dyDescent="0.2">
      <c r="A110" s="6"/>
      <c r="B110" s="6"/>
    </row>
    <row r="111" spans="1:2" ht="15.75" customHeight="1" x14ac:dyDescent="0.2">
      <c r="A111" s="6"/>
      <c r="B111" s="6"/>
    </row>
    <row r="112" spans="1:2" ht="15.75" customHeight="1" x14ac:dyDescent="0.2">
      <c r="A112" s="6"/>
      <c r="B112" s="6"/>
    </row>
    <row r="113" spans="1:2" ht="15.75" customHeight="1" x14ac:dyDescent="0.2">
      <c r="A113" s="6"/>
      <c r="B113" s="6"/>
    </row>
    <row r="114" spans="1:2" ht="15.75" customHeight="1" x14ac:dyDescent="0.2">
      <c r="A114" s="6"/>
      <c r="B114" s="6"/>
    </row>
    <row r="115" spans="1:2" ht="15.75" customHeight="1" x14ac:dyDescent="0.2">
      <c r="A115" s="6"/>
      <c r="B115" s="6"/>
    </row>
    <row r="116" spans="1:2" ht="15.75" customHeight="1" x14ac:dyDescent="0.2">
      <c r="A116" s="6"/>
      <c r="B116" s="6"/>
    </row>
    <row r="117" spans="1:2" ht="15.75" customHeight="1" x14ac:dyDescent="0.2">
      <c r="A117" s="6"/>
      <c r="B117" s="6"/>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row r="1009" spans="1:2" ht="15.75" customHeight="1" x14ac:dyDescent="0.2">
      <c r="A1009" s="3"/>
      <c r="B1009" s="3"/>
    </row>
    <row r="1010" spans="1:2" ht="15.75" customHeight="1" x14ac:dyDescent="0.2">
      <c r="A1010" s="3"/>
      <c r="B1010" s="3"/>
    </row>
    <row r="1011" spans="1:2" ht="15.75" customHeight="1" x14ac:dyDescent="0.2">
      <c r="A1011" s="3"/>
      <c r="B1011" s="3"/>
    </row>
  </sheetData>
  <hyperlinks>
    <hyperlink ref="A2" r:id="rId1" xr:uid="{213BE7F0-8CE4-4648-9AD3-AA67B67F1123}"/>
    <hyperlink ref="A55" r:id="rId2" display="https://www.thoxan.com/kontakt/" xr:uid="{12D09E28-0AD7-A44C-B586-6FB3183BEB01}"/>
    <hyperlink ref="A13" r:id="rId3" xr:uid="{1D1C8C81-0D3D-B74F-9E62-F8AF31FA2706}"/>
    <hyperlink ref="A14" r:id="rId4" xr:uid="{D57F5FBD-FB38-D344-9FC4-9B9FAB330C3F}"/>
    <hyperlink ref="A15" r:id="rId5" xr:uid="{A6E516D7-7015-284A-9633-311A284074D6}"/>
    <hyperlink ref="A16" r:id="rId6" xr:uid="{63D6DD66-FE8A-7A46-94DD-17EF0204D617}"/>
    <hyperlink ref="A17" r:id="rId7" xr:uid="{BB78C1E9-D0B9-B644-99B2-01D3AC5B8AEA}"/>
    <hyperlink ref="A18" r:id="rId8" xr:uid="{E2B39CF1-5486-4A48-B276-296EE9205DF7}"/>
    <hyperlink ref="A19" r:id="rId9" xr:uid="{EB49CB21-6999-D24E-8A35-7F5769577A2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BKK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2024-08-26T15:56:32Z</dcterms:created>
  <dcterms:modified xsi:type="dcterms:W3CDTF">2024-08-26T15:57:38Z</dcterms:modified>
</cp:coreProperties>
</file>