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Volumes/G-RAID Studio/Zoho WorkDrive (thoxan)/THOXAN GMBH/REPORTINGS/2024-04/"/>
    </mc:Choice>
  </mc:AlternateContent>
  <xr:revisionPtr revIDLastSave="0" documentId="8_{A3D62F9C-259E-2941-9B71-65468E7D4674}" xr6:coauthVersionLast="47" xr6:coauthVersionMax="47" xr10:uidLastSave="{00000000-0000-0000-0000-000000000000}"/>
  <bookViews>
    <workbookView xWindow="11900" yWindow="500" windowWidth="37900" windowHeight="26940" xr2:uid="{FF5456A3-015D-0E4F-B00A-99829041EFA5}"/>
  </bookViews>
  <sheets>
    <sheet name="BKK"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 i="1" l="1"/>
  <c r="B50" i="1"/>
  <c r="B46" i="1"/>
  <c r="B39" i="1"/>
  <c r="B35" i="1"/>
  <c r="B25" i="1"/>
  <c r="B58" i="1" l="1"/>
</calcChain>
</file>

<file path=xl/sharedStrings.xml><?xml version="1.0" encoding="utf-8"?>
<sst xmlns="http://schemas.openxmlformats.org/spreadsheetml/2006/main" count="56" uniqueCount="50">
  <si>
    <t>BKK GILDEMEISTER SEIDENSTICKER</t>
  </si>
  <si>
    <t>März/April 2024</t>
  </si>
  <si>
    <t>www.bkkgs.de</t>
  </si>
  <si>
    <t>Monatliche Optimierung</t>
  </si>
  <si>
    <t>Aufwand ca. in Std.</t>
  </si>
  <si>
    <t>1. Linkaufbau, Online-PR</t>
  </si>
  <si>
    <t>Textarbeiten (Gastartikel): Briefing und Recherche, Texterstellung für Gastbeitrag auf therapeutenfinder.com, Lektorat, Abstimmung und Vorbereitung zur Veröffentlichung (28.02., EXT, TKI)</t>
  </si>
  <si>
    <t>Textarbeiten (Gastartikel): Briefing und Recherche, Texterstellung für Gastbeitrag auf naturmed.de, Lektorat, Abstimmung und Vorbereitung zur Veröffentlichung (04.03., EXT, TKI)</t>
  </si>
  <si>
    <t>Textarbeiten (Gastartikel): Briefing und Recherche, Texterstellung für Gastbeitrag auf blueprints.de, Lektorat, Abstimmung und Vorbereitung zur Veröffentlichung (11.03., EXT, TKI)</t>
  </si>
  <si>
    <t>Textarbeiten (Gastartikel): Briefing und Recherche, Texterstellung für Gastbeitrag auf gesundheit.com, Lektorat, Abstimmung und Vorbereitung zur Veröffentlichung (12.03, EXT, TKI)</t>
  </si>
  <si>
    <t>Textarbeiten (Erweiterung): Briefing und Recherche, Texterstellung für Gastbeitrag auf mutterschutz-rechner.de, Lektorat, Abstimmung und Vorbereitung zur Veröffentlichung (09.04., EXT, TKI)</t>
  </si>
  <si>
    <t>Textarbeiten (Gastartikel): Briefing und Recherche, Texterstellung für Gastbeitrag auf kinderglueck-der-familienblog.de, Lektorat, Abstimmung und Vorbereitung zur Veröffentlichung (15.04., EXT, TKI)</t>
  </si>
  <si>
    <t>Linkaufbau-Organisation und Abstimmung mit den Seitenbetreibern zur Veröffentlichung der vorbereiteten Gastartikel, Prüfung der Link-Integration, Abrechnung der Linkaufbau-Auslagen, Abstimmung und Dokumentation (05.03.-30.04., TKI)</t>
  </si>
  <si>
    <t>https://www.therapeutenfinder.com/news/101740-die-chemie-zwischen-therapeut-und-patient-als-erfolgsfaktor-fuer-heilung.html</t>
  </si>
  <si>
    <t>https://www.naturmed.de/blog/naturheilkunde/klassische-medizin-und-alternative-heilverfahren/</t>
  </si>
  <si>
    <t>https://www.blueprints.de/artikel/ernaehrung-bewegung/gesunde-smoothie.html</t>
  </si>
  <si>
    <t>https://www.gesundheit.com/gesundheit/praevention-alter/1/praevention-von-demenz-faktoren-die-das-risiko-beeinflussen</t>
  </si>
  <si>
    <t>https://www.mutterschutz-rechner.de/mutterschaftsgeld/faq-mutterschaftsgeld-haeufig-gestellte-fragen-und-antworten-720077</t>
  </si>
  <si>
    <t>https://kinderglueck-der-familienblog.de/</t>
  </si>
  <si>
    <t>(Wartet auf Veröffentlichung)</t>
  </si>
  <si>
    <t>Abstimmung und Recherche für eine Pressemeldung zum Thema "Endometriose", Texterstellung inkl. Abbinder, interne Verlinkung, ggf. Zitate, etc., Lektorat und Dokumentation, finale Absprachen (04.-06.03., GBO, TKI)</t>
  </si>
  <si>
    <t>Abstimmung wegen Pressebildern, begleitend zur aktuellen Pressemeldung, Bildbearbeitung und Vorbereitung der Medien zur einheitlichen Veröffentlichung (04.-05.03., TKI)</t>
  </si>
  <si>
    <t>Pressemeldung auf gepflegten und geprüften (kostenfreien) Presseportalen online einstellen, Profile z.T. aktualisieren, Prüfung der Veröffentlichungen, Abstimmung und Dokumentation, Portale siehe Asana (06.-08.03., TKI)</t>
  </si>
  <si>
    <t>Abstimmung und Recherche für eine Pressemeldung zum Thema "Welt-Asthma-Tag", Texterstellung inkl. Abbinder, interne Verlinkung, ggf. Zitate, etc., Lektorat und Dokumentation, finale Absprachen (23.-29.04., GBO, TKI)</t>
  </si>
  <si>
    <t>Abstimmung wegen Pressebildern, begleitend zur aktuellen Pressemeldung, Bildrecherche, Bildbearbeitung und Vorbereitung der Medien zur einheitlichen Veröffentlichung (29.04., TKI)</t>
  </si>
  <si>
    <t>Link-Monitoring: Neue Verlinkungen aus Link-Tools der letzten 30 Tage überprüft, einzeln bewertet (monatlich ca. 0,25 Std., TKI)</t>
  </si>
  <si>
    <t>2. Website- und Redaktionelle Arbeiten</t>
  </si>
  <si>
    <t>Textarbeiten "Digitale Anwendungen": Abstimmung, Briefing und inhaltliche Konzeption, Recherche und Zusammentragen der Informationen, Texterstellung, Keyword-Optimierung nach WDF*IDF, Ergänzungen und kl. Anpassungen, Lektorat und finale Bearbeitung, Versand an Kunden und Dokumentation (04.-05.03., GBO, TKI)</t>
  </si>
  <si>
    <t>Textarbeiten "Online Services": Abstimmung, Briefing und inhaltliche Konzeption, Recherche und Zusammentragen der Informationen, Texterstellung, Keyword-Optimierung nach WDF*IDF, Ergänzungen und kl. Anpassungen, Lektorat und finale Bearbeitung, Versand an Kunden und Dokumentation (XX.03., GBO, TKI)</t>
  </si>
  <si>
    <t>Textkorrektur Arbeitsunfall, Unfallversicherung, Unfallfragebogen: Abstimmung und Durchsicht der Änderungswünsche, Inhaltliche Bearbeitung des Textes inkl. Umsetzung möglicher Ergänzungen (ggf. Umstrukturierung oder Texterweiterung), Durchsicht der Texte und finale Bearbeitung, Vorbereitung und Übergabe zum Einpflegen auf der Website (26,03., GBO, TKI)</t>
  </si>
  <si>
    <t>Textarbeiten "Kontaktseite": Abstimmung, Briefing und inhaltliche Konzeption, Recherche und Zusammentragen der Informationen, Texterstellung, Keyword-Optimierung nach WDF*IDF, Ergänzungen und kl. Anpassungen, Lektorat und finale Bearbeitung, Versand an Kunden und Dokumentation (08.-11.03., GBO, TKI)</t>
  </si>
  <si>
    <t>Textarbeiten "BKK GS App": Abstimmung, Briefing und inhaltliche Konzeption, Recherche und Zusammentragen der Informationen, Texterstellung, Keyword-Optimierung nach WDF*IDF, Ergänzungen und kl. Anpassungen, Lektorat und finale Bearbeitung, Versand an Kunden und Dokumentation (04.-05.04., GBO, TKI)</t>
  </si>
  <si>
    <t>Textkorrektur "Krankenzusatzversicherung": Abstimmung und Durchsicht der Änderungswünsche, Inhaltliche Bearbeitung des Textes inkl. Umsetzung möglicher Ergänzungen (ggf. Umstrukturierung oder Texterweiterung), Durchsicht der Texte und finale Bearbeitung, Vorbereitung und Übergabe zum Einpflegen auf der Website (12.04., GBO, TKI)</t>
  </si>
  <si>
    <t>Textoptimierung für Unterseite zur Familien-Kampagne, Abstimmung intern / extern, Recherche und Arbeiten in TermLabs, Überarbeitung Bestandstext inklusive Verfassen von Kommentaren, Dokumentation (12., 16.04., GBO)</t>
  </si>
  <si>
    <t>3. Technische Arbeiten, Onpage-Optimierung, ggf. Programmierung</t>
  </si>
  <si>
    <t>Weitere Abstimmung und Überprüfung der Maßnahmen und der technischen Anpassungen von move:elevator, siehe Ticket-Dokumentation – Ladezeit-Optimierung, Core Web Vitals, PDF im Index, W3C-Validierung, etc. (01.03.-18.04., TKI)</t>
  </si>
  <si>
    <t>4. Google Ads, Monitoring</t>
  </si>
  <si>
    <t>Anpassungen Matomo-Tracking (01.-05.03., JST)</t>
  </si>
  <si>
    <t>Wartungsseite bei Klick auf Google Ads Anzeige, Recherche, Abstimmung und Dokumentation (20.03., JST)</t>
  </si>
  <si>
    <t>Google Ads (Erweiterung): Abstimmung, Einrichtung einer neuen Google Ads Familienkampagne, Anzeigengruppen erstellt, Keywords recherchiert und hinzugefügt, Anzeigentexte für die verschiedenen Anzeigengruppen erstellt, Anzeigenerweiterungen und Sitelinks erstellt, Zielgruppen sowie weiteres Bildmaterial fürs Remarketing hinzugefügt, Budgets angepasst, weitere kl. Anpassungen im Google Ads Konto, Dokumentation und Abstimmung (12.-15.04., JST, TKI)</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</si>
  <si>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(01.03.-30.04., DHE, JST, TKI)</t>
  </si>
  <si>
    <t>5. Auswertung und Maßnahmenplanung, Workshops</t>
  </si>
  <si>
    <t>Finale Vorbereitung und Durchführung eines Workshops per Zoom (10-12.15 Uhr), Präsentation der Jahresauswertung mit Ergebnissen, Kennzahlen und geplanten Maßnahmen, Abstimmung und Klären von Fragen, konkrete Maßnahmen- und Zeitplanung für die nächsten Schritte, anschließend kurze Dokumentation, Planung und interne Abstimmung weiterer Maßnahmen (27.03., TKI)</t>
  </si>
  <si>
    <t>6. Beratung &amp; Sonstiges</t>
  </si>
  <si>
    <t>Kurze Vorbereitung und telefonische / virtuelle Abstimmung zur aktuellen Zusammenarbeit, Linkaufbau, Google Ads, Workshops, Klärung von div. Fragen 11:00 bis 12:15 Uhr, anschließend Dokumentation und interne Abstimmung für die nächsten Maßnahmen (18.04., TKI)</t>
  </si>
  <si>
    <t>Erneute Durchsicht der Jahresauswertung 2023 sowie der Videoaufzeichnung vom Workshop, Ermitteln von konkreten (neuen) Aufgaben, Tickets anlegen, Abstimmung und Dokumentation (26.04.,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</si>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</sst>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theme="0" tint="-0.499984740745262"/>
      <name val="Arial"/>
      <family val="2"/>
    </font>
    <font>
      <sz val="10"/>
      <color theme="3"/>
      <name val="Arial"/>
      <family val="2"/>
    </font>
    <font>
      <sz val="10.5"/>
      <color theme="1"/>
      <name val="Arial"/>
      <family val="2"/>
    </font>
    <font>
      <sz val="10.5"/>
      <color theme="1"/>
      <name val="Calibri"/>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38">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center" vertical="center"/>
    </xf>
    <xf numFmtId="0" fontId="4" fillId="0" borderId="1" xfId="1" applyFont="1" applyBorder="1" applyAlignment="1">
      <alignment vertical="top" wrapText="1"/>
    </xf>
    <xf numFmtId="0" fontId="4" fillId="0" borderId="1" xfId="1" applyFont="1" applyBorder="1" applyAlignment="1">
      <alignment vertical="center" wrapText="1"/>
    </xf>
    <xf numFmtId="0" fontId="5" fillId="0" borderId="1" xfId="0" applyFont="1" applyBorder="1" applyAlignment="1">
      <alignment horizontal="center" vertical="top"/>
    </xf>
    <xf numFmtId="0" fontId="5" fillId="3" borderId="1" xfId="0" applyFont="1" applyFill="1" applyBorder="1" applyAlignment="1">
      <alignment horizontal="center" vertical="center" wrapText="1"/>
    </xf>
    <xf numFmtId="0" fontId="5" fillId="0" borderId="4" xfId="0" applyFont="1" applyBorder="1" applyAlignment="1">
      <alignment vertical="top" wrapText="1"/>
    </xf>
    <xf numFmtId="0" fontId="5" fillId="2" borderId="4" xfId="0" applyFont="1" applyFill="1" applyBorder="1" applyAlignment="1">
      <alignment vertical="center"/>
    </xf>
    <xf numFmtId="0" fontId="5" fillId="0" borderId="4" xfId="0" applyFont="1" applyBorder="1" applyAlignment="1">
      <alignment vertical="center"/>
    </xf>
    <xf numFmtId="0" fontId="3" fillId="0" borderId="4" xfId="0" applyFont="1" applyBorder="1"/>
    <xf numFmtId="0" fontId="5" fillId="0" borderId="0" xfId="0" applyFont="1" applyAlignment="1">
      <alignment vertical="top" wrapText="1"/>
    </xf>
    <xf numFmtId="0" fontId="5" fillId="0" borderId="6" xfId="0" applyFont="1" applyBorder="1" applyAlignment="1">
      <alignment horizontal="center" vertical="center"/>
    </xf>
    <xf numFmtId="0" fontId="5" fillId="0" borderId="2" xfId="0" applyFont="1" applyBorder="1" applyAlignment="1">
      <alignment vertical="center"/>
    </xf>
    <xf numFmtId="0" fontId="5" fillId="0" borderId="3" xfId="0" applyFont="1" applyBorder="1" applyAlignment="1">
      <alignment vertical="top" wrapText="1"/>
    </xf>
    <xf numFmtId="0" fontId="8" fillId="0" borderId="0" xfId="0" applyFont="1"/>
    <xf numFmtId="0" fontId="5" fillId="0" borderId="0" xfId="0" applyFont="1" applyAlignment="1">
      <alignment vertical="center"/>
    </xf>
    <xf numFmtId="0" fontId="5" fillId="3" borderId="1" xfId="0" applyFont="1" applyFill="1" applyBorder="1" applyAlignment="1">
      <alignment vertical="top" wrapText="1"/>
    </xf>
    <xf numFmtId="0" fontId="5" fillId="3" borderId="1" xfId="0" applyFont="1" applyFill="1" applyBorder="1" applyAlignment="1">
      <alignment vertical="center"/>
    </xf>
    <xf numFmtId="0" fontId="3" fillId="3" borderId="1" xfId="0" applyFont="1" applyFill="1" applyBorder="1" applyAlignment="1">
      <alignment horizontal="center" vertical="center"/>
    </xf>
    <xf numFmtId="0" fontId="5" fillId="2" borderId="2" xfId="0" applyFont="1" applyFill="1" applyBorder="1" applyAlignment="1">
      <alignment vertical="center"/>
    </xf>
    <xf numFmtId="0" fontId="3" fillId="2" borderId="5" xfId="0" applyFont="1" applyFill="1" applyBorder="1" applyAlignment="1">
      <alignment horizontal="center" vertical="center"/>
    </xf>
    <xf numFmtId="0" fontId="5" fillId="2" borderId="7" xfId="0" applyFont="1" applyFill="1" applyBorder="1" applyAlignment="1">
      <alignment vertical="center"/>
    </xf>
    <xf numFmtId="0" fontId="3" fillId="2" borderId="8" xfId="0" applyFont="1" applyFill="1" applyBorder="1" applyAlignment="1">
      <alignment horizontal="center" vertical="center"/>
    </xf>
    <xf numFmtId="0" fontId="7" fillId="0" borderId="0" xfId="1" applyFont="1"/>
    <xf numFmtId="0" fontId="9" fillId="0" borderId="0" xfId="0" applyFont="1"/>
    <xf numFmtId="0" fontId="10"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utterschutz-rechner.de/mutterschaftsgeld/faq-mutterschaftsgeld-haeufig-gestellte-fragen-und-antworten-720077" TargetMode="External"/><Relationship Id="rId3" Type="http://schemas.openxmlformats.org/officeDocument/2006/relationships/hyperlink" Target="https://www.therapeutenfinder.com/news/101740-die-chemie-zwischen-therapeut-und-patient-als-erfolgsfaktor-fuer-heilung.html" TargetMode="External"/><Relationship Id="rId7" Type="http://schemas.openxmlformats.org/officeDocument/2006/relationships/hyperlink" Target="https://kinderglueck-der-familienblog.de/"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6" Type="http://schemas.openxmlformats.org/officeDocument/2006/relationships/hyperlink" Target="https://www.gesundheit.com/gesundheit/praevention-alter/1/praevention-von-demenz-faktoren-die-das-risiko-beeinflussen" TargetMode="External"/><Relationship Id="rId5" Type="http://schemas.openxmlformats.org/officeDocument/2006/relationships/hyperlink" Target="https://www.blueprints.de/artikel/ernaehrung-bewegung/gesunde-smoothie.html" TargetMode="External"/><Relationship Id="rId4" Type="http://schemas.openxmlformats.org/officeDocument/2006/relationships/hyperlink" Target="https://www.naturmed.de/blog/naturheilkunde/klassische-medizin-und-alternative-heilverfahr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202BF-E1EB-8240-AE33-30D72A06A5CA}">
  <dimension ref="A1:B1017"/>
  <sheetViews>
    <sheetView tabSelected="1" zoomScale="150" zoomScaleNormal="150" workbookViewId="0">
      <pane ySplit="4" topLeftCell="A5" activePane="bottomLeft" state="frozen"/>
      <selection pane="bottomLeft" activeCell="C57" sqref="C57"/>
    </sheetView>
  </sheetViews>
  <sheetFormatPr baseColWidth="10" defaultColWidth="11.1640625" defaultRowHeight="15" customHeight="1" x14ac:dyDescent="0.2"/>
  <cols>
    <col min="1" max="1" width="57.5" customWidth="1"/>
    <col min="2" max="2" width="23" customWidth="1"/>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ht="42" x14ac:dyDescent="0.2">
      <c r="A6" s="12" t="s">
        <v>6</v>
      </c>
      <c r="B6" s="13">
        <v>3</v>
      </c>
    </row>
    <row r="7" spans="1:2" ht="42" x14ac:dyDescent="0.2">
      <c r="A7" s="12" t="s">
        <v>7</v>
      </c>
      <c r="B7" s="13">
        <v>3</v>
      </c>
    </row>
    <row r="8" spans="1:2" ht="42" x14ac:dyDescent="0.2">
      <c r="A8" s="12" t="s">
        <v>8</v>
      </c>
      <c r="B8" s="13">
        <v>3</v>
      </c>
    </row>
    <row r="9" spans="1:2" ht="42" x14ac:dyDescent="0.2">
      <c r="A9" s="12" t="s">
        <v>9</v>
      </c>
      <c r="B9" s="13">
        <v>3.5</v>
      </c>
    </row>
    <row r="10" spans="1:2" ht="42" x14ac:dyDescent="0.2">
      <c r="A10" s="12" t="s">
        <v>10</v>
      </c>
      <c r="B10" s="13">
        <v>2.5</v>
      </c>
    </row>
    <row r="11" spans="1:2" ht="42" x14ac:dyDescent="0.2">
      <c r="A11" s="12" t="s">
        <v>11</v>
      </c>
      <c r="B11" s="13">
        <v>3</v>
      </c>
    </row>
    <row r="12" spans="1:2" s="6" customFormat="1" ht="56" x14ac:dyDescent="0.15">
      <c r="A12" s="12" t="s">
        <v>12</v>
      </c>
      <c r="B12" s="13">
        <v>3.5</v>
      </c>
    </row>
    <row r="13" spans="1:2" s="6" customFormat="1" ht="28" x14ac:dyDescent="0.15">
      <c r="A13" s="14" t="s">
        <v>13</v>
      </c>
      <c r="B13" s="13"/>
    </row>
    <row r="14" spans="1:2" s="6" customFormat="1" ht="28" x14ac:dyDescent="0.15">
      <c r="A14" s="15" t="s">
        <v>14</v>
      </c>
      <c r="B14" s="16"/>
    </row>
    <row r="15" spans="1:2" s="6" customFormat="1" ht="28" x14ac:dyDescent="0.15">
      <c r="A15" s="15" t="s">
        <v>15</v>
      </c>
      <c r="B15" s="13"/>
    </row>
    <row r="16" spans="1:2" s="6" customFormat="1" ht="28" x14ac:dyDescent="0.15">
      <c r="A16" s="15" t="s">
        <v>16</v>
      </c>
      <c r="B16" s="13"/>
    </row>
    <row r="17" spans="1:2" s="6" customFormat="1" ht="28" x14ac:dyDescent="0.15">
      <c r="A17" s="15" t="s">
        <v>17</v>
      </c>
      <c r="B17" s="13"/>
    </row>
    <row r="18" spans="1:2" s="6" customFormat="1" ht="14" x14ac:dyDescent="0.15">
      <c r="A18" s="15" t="s">
        <v>18</v>
      </c>
      <c r="B18" s="13" t="s">
        <v>19</v>
      </c>
    </row>
    <row r="19" spans="1:2" s="6" customFormat="1" ht="56" x14ac:dyDescent="0.15">
      <c r="A19" s="12" t="s">
        <v>20</v>
      </c>
      <c r="B19" s="13">
        <v>2.5</v>
      </c>
    </row>
    <row r="20" spans="1:2" s="6" customFormat="1" ht="42" x14ac:dyDescent="0.15">
      <c r="A20" s="12" t="s">
        <v>21</v>
      </c>
      <c r="B20" s="13">
        <v>0.5</v>
      </c>
    </row>
    <row r="21" spans="1:2" s="6" customFormat="1" ht="56" x14ac:dyDescent="0.15">
      <c r="A21" s="12" t="s">
        <v>22</v>
      </c>
      <c r="B21" s="13">
        <v>3</v>
      </c>
    </row>
    <row r="22" spans="1:2" s="6" customFormat="1" ht="56" x14ac:dyDescent="0.15">
      <c r="A22" s="12" t="s">
        <v>23</v>
      </c>
      <c r="B22" s="13">
        <v>2</v>
      </c>
    </row>
    <row r="23" spans="1:2" s="6" customFormat="1" ht="42" x14ac:dyDescent="0.15">
      <c r="A23" s="12" t="s">
        <v>24</v>
      </c>
      <c r="B23" s="13">
        <v>0.5</v>
      </c>
    </row>
    <row r="24" spans="1:2" s="6" customFormat="1" ht="27.75" customHeight="1" x14ac:dyDescent="0.15">
      <c r="A24" s="12" t="s">
        <v>25</v>
      </c>
      <c r="B24" s="13">
        <v>0.5</v>
      </c>
    </row>
    <row r="25" spans="1:2" s="6" customFormat="1" ht="15.75" customHeight="1" x14ac:dyDescent="0.15">
      <c r="A25" s="8" t="s">
        <v>4</v>
      </c>
      <c r="B25" s="9">
        <f>SUM(B6:B24)</f>
        <v>30.5</v>
      </c>
    </row>
    <row r="26" spans="1:2" s="6" customFormat="1" ht="15.75" customHeight="1" x14ac:dyDescent="0.15">
      <c r="A26" s="7"/>
      <c r="B26" s="13"/>
    </row>
    <row r="27" spans="1:2" s="6" customFormat="1" ht="15.75" customHeight="1" x14ac:dyDescent="0.15">
      <c r="A27" s="10" t="s">
        <v>26</v>
      </c>
      <c r="B27" s="13"/>
    </row>
    <row r="28" spans="1:2" s="6" customFormat="1" ht="70" x14ac:dyDescent="0.15">
      <c r="A28" s="12" t="s">
        <v>27</v>
      </c>
      <c r="B28" s="13">
        <v>5.5</v>
      </c>
    </row>
    <row r="29" spans="1:2" s="6" customFormat="1" ht="70" x14ac:dyDescent="0.15">
      <c r="A29" s="12" t="s">
        <v>28</v>
      </c>
      <c r="B29" s="13">
        <v>5.25</v>
      </c>
    </row>
    <row r="30" spans="1:2" s="6" customFormat="1" ht="76" customHeight="1" x14ac:dyDescent="0.15">
      <c r="A30" s="18" t="s">
        <v>29</v>
      </c>
      <c r="B30" s="13">
        <v>1</v>
      </c>
    </row>
    <row r="31" spans="1:2" s="6" customFormat="1" ht="70" x14ac:dyDescent="0.15">
      <c r="A31" s="12" t="s">
        <v>30</v>
      </c>
      <c r="B31" s="13">
        <v>3.75</v>
      </c>
    </row>
    <row r="32" spans="1:2" s="6" customFormat="1" ht="70" x14ac:dyDescent="0.15">
      <c r="A32" s="12" t="s">
        <v>31</v>
      </c>
      <c r="B32" s="13">
        <v>6</v>
      </c>
    </row>
    <row r="33" spans="1:2" s="6" customFormat="1" ht="76" customHeight="1" x14ac:dyDescent="0.15">
      <c r="A33" s="18" t="s">
        <v>32</v>
      </c>
      <c r="B33" s="13">
        <v>0.25</v>
      </c>
    </row>
    <row r="34" spans="1:2" s="6" customFormat="1" ht="56" x14ac:dyDescent="0.15">
      <c r="A34" s="18" t="s">
        <v>33</v>
      </c>
      <c r="B34" s="13">
        <v>1.5</v>
      </c>
    </row>
    <row r="35" spans="1:2" s="6" customFormat="1" ht="15.75" customHeight="1" x14ac:dyDescent="0.15">
      <c r="A35" s="19" t="s">
        <v>4</v>
      </c>
      <c r="B35" s="9">
        <f>SUM(B28:B34)</f>
        <v>23.25</v>
      </c>
    </row>
    <row r="36" spans="1:2" s="6" customFormat="1" ht="15.75" customHeight="1" x14ac:dyDescent="0.15">
      <c r="A36" s="20"/>
      <c r="B36" s="13"/>
    </row>
    <row r="37" spans="1:2" s="6" customFormat="1" ht="15.75" customHeight="1" x14ac:dyDescent="0.15">
      <c r="A37" s="21" t="s">
        <v>34</v>
      </c>
      <c r="B37" s="13"/>
    </row>
    <row r="38" spans="1:2" s="6" customFormat="1" ht="56" x14ac:dyDescent="0.15">
      <c r="A38" s="22" t="s">
        <v>35</v>
      </c>
      <c r="B38" s="13">
        <v>1</v>
      </c>
    </row>
    <row r="39" spans="1:2" s="6" customFormat="1" ht="15.75" customHeight="1" x14ac:dyDescent="0.15">
      <c r="A39" s="19" t="s">
        <v>4</v>
      </c>
      <c r="B39" s="9">
        <f>SUM(B38:B38)</f>
        <v>1</v>
      </c>
    </row>
    <row r="40" spans="1:2" s="6" customFormat="1" ht="15.75" customHeight="1" x14ac:dyDescent="0.15">
      <c r="A40" s="20"/>
      <c r="B40" s="13"/>
    </row>
    <row r="41" spans="1:2" s="6" customFormat="1" ht="15.75" customHeight="1" x14ac:dyDescent="0.15">
      <c r="A41" s="10" t="s">
        <v>36</v>
      </c>
      <c r="B41" s="13"/>
    </row>
    <row r="42" spans="1:2" s="6" customFormat="1" ht="14" x14ac:dyDescent="0.15">
      <c r="A42" s="12" t="s">
        <v>37</v>
      </c>
      <c r="B42" s="13">
        <v>1</v>
      </c>
    </row>
    <row r="43" spans="1:2" s="6" customFormat="1" ht="28" x14ac:dyDescent="0.15">
      <c r="A43" s="12" t="s">
        <v>38</v>
      </c>
      <c r="B43" s="13">
        <v>0.5</v>
      </c>
    </row>
    <row r="44" spans="1:2" s="6" customFormat="1" ht="98" x14ac:dyDescent="0.15">
      <c r="A44" s="12" t="s">
        <v>39</v>
      </c>
      <c r="B44" s="13">
        <v>3.25</v>
      </c>
    </row>
    <row r="45" spans="1:2" s="6" customFormat="1" ht="71" customHeight="1" x14ac:dyDescent="0.15">
      <c r="A45" s="12" t="s">
        <v>40</v>
      </c>
      <c r="B45" s="13">
        <v>5.5</v>
      </c>
    </row>
    <row r="46" spans="1:2" s="6" customFormat="1" ht="15.75" customHeight="1" x14ac:dyDescent="0.15">
      <c r="A46" s="8" t="s">
        <v>4</v>
      </c>
      <c r="B46" s="9">
        <f>SUM(B42:B45)</f>
        <v>10.25</v>
      </c>
    </row>
    <row r="47" spans="1:2" s="6" customFormat="1" ht="15.75" customHeight="1" x14ac:dyDescent="0.15">
      <c r="A47" s="24"/>
      <c r="B47" s="23"/>
    </row>
    <row r="48" spans="1:2" s="6" customFormat="1" ht="15.75" customHeight="1" x14ac:dyDescent="0.15">
      <c r="A48" s="21" t="s">
        <v>41</v>
      </c>
      <c r="B48" s="13"/>
    </row>
    <row r="49" spans="1:2" s="26" customFormat="1" ht="83" customHeight="1" x14ac:dyDescent="0.15">
      <c r="A49" s="25" t="s">
        <v>42</v>
      </c>
      <c r="B49" s="17">
        <v>3</v>
      </c>
    </row>
    <row r="50" spans="1:2" s="6" customFormat="1" ht="15.75" customHeight="1" x14ac:dyDescent="0.15">
      <c r="A50" s="8" t="s">
        <v>4</v>
      </c>
      <c r="B50" s="9">
        <f>SUM(B48:B49)</f>
        <v>3</v>
      </c>
    </row>
    <row r="51" spans="1:2" s="6" customFormat="1" ht="15.75" customHeight="1" x14ac:dyDescent="0.15">
      <c r="A51" s="27"/>
      <c r="B51" s="23"/>
    </row>
    <row r="52" spans="1:2" s="6" customFormat="1" ht="15.75" customHeight="1" x14ac:dyDescent="0.15">
      <c r="A52" s="10" t="s">
        <v>43</v>
      </c>
      <c r="B52" s="13"/>
    </row>
    <row r="53" spans="1:2" s="6" customFormat="1" ht="70" x14ac:dyDescent="0.15">
      <c r="A53" s="28" t="s">
        <v>44</v>
      </c>
      <c r="B53" s="13">
        <v>1.5</v>
      </c>
    </row>
    <row r="54" spans="1:2" s="6" customFormat="1" ht="56" x14ac:dyDescent="0.15">
      <c r="A54" s="28" t="s">
        <v>45</v>
      </c>
      <c r="B54" s="13">
        <v>0.75</v>
      </c>
    </row>
    <row r="55" spans="1:2" s="6" customFormat="1" ht="28" x14ac:dyDescent="0.15">
      <c r="A55" s="28" t="s">
        <v>46</v>
      </c>
      <c r="B55" s="13">
        <v>4.5</v>
      </c>
    </row>
    <row r="56" spans="1:2" s="6" customFormat="1" ht="15.75" customHeight="1" x14ac:dyDescent="0.15">
      <c r="A56" s="8" t="s">
        <v>4</v>
      </c>
      <c r="B56" s="9">
        <f>SUM(B53:B55)</f>
        <v>6.75</v>
      </c>
    </row>
    <row r="57" spans="1:2" s="6" customFormat="1" ht="16.5" customHeight="1" x14ac:dyDescent="0.15">
      <c r="A57" s="29"/>
      <c r="B57" s="30"/>
    </row>
    <row r="58" spans="1:2" s="6" customFormat="1" ht="16.5" customHeight="1" thickBot="1" x14ac:dyDescent="0.2">
      <c r="A58" s="31" t="s">
        <v>47</v>
      </c>
      <c r="B58" s="32">
        <f>SUM(B56+B46+B39+B35+B25+B50)</f>
        <v>74.75</v>
      </c>
    </row>
    <row r="59" spans="1:2" s="6" customFormat="1" ht="16.5" customHeight="1" thickBot="1" x14ac:dyDescent="0.2">
      <c r="A59" s="33" t="s">
        <v>48</v>
      </c>
      <c r="B59" s="34">
        <v>9</v>
      </c>
    </row>
    <row r="60" spans="1:2" ht="15.75" customHeight="1" x14ac:dyDescent="0.2">
      <c r="A60" s="6"/>
      <c r="B60" s="6"/>
    </row>
    <row r="61" spans="1:2" s="37" customFormat="1" ht="15.75" customHeight="1" x14ac:dyDescent="0.2">
      <c r="A61" s="35" t="s">
        <v>49</v>
      </c>
      <c r="B61" s="36"/>
    </row>
    <row r="62" spans="1:2" ht="15.75" customHeight="1" x14ac:dyDescent="0.2">
      <c r="A62" s="6"/>
      <c r="B62" s="6"/>
    </row>
    <row r="63" spans="1:2" ht="15.75" customHeight="1" x14ac:dyDescent="0.2">
      <c r="A63" s="6"/>
      <c r="B63" s="6"/>
    </row>
    <row r="64" spans="1:2" ht="15.75" customHeight="1" x14ac:dyDescent="0.2">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6"/>
      <c r="B112" s="6"/>
    </row>
    <row r="113" spans="1:2" ht="15.75" customHeight="1" x14ac:dyDescent="0.2">
      <c r="A113" s="6"/>
      <c r="B113" s="6"/>
    </row>
    <row r="114" spans="1:2" ht="15.75" customHeight="1" x14ac:dyDescent="0.2">
      <c r="A114" s="6"/>
      <c r="B114" s="6"/>
    </row>
    <row r="115" spans="1:2" ht="15.75" customHeight="1" x14ac:dyDescent="0.2">
      <c r="A115" s="6"/>
      <c r="B115" s="6"/>
    </row>
    <row r="116" spans="1:2" ht="15.75" customHeight="1" x14ac:dyDescent="0.2">
      <c r="A116" s="6"/>
      <c r="B116" s="6"/>
    </row>
    <row r="117" spans="1:2" ht="15.75" customHeight="1" x14ac:dyDescent="0.2">
      <c r="A117" s="6"/>
      <c r="B117" s="6"/>
    </row>
    <row r="118" spans="1:2" ht="15.75" customHeight="1" x14ac:dyDescent="0.2">
      <c r="A118" s="6"/>
      <c r="B118" s="6"/>
    </row>
    <row r="119" spans="1:2" ht="15.75" customHeight="1" x14ac:dyDescent="0.2">
      <c r="A119" s="6"/>
      <c r="B119" s="6"/>
    </row>
    <row r="120" spans="1:2" ht="15.75" customHeight="1" x14ac:dyDescent="0.2">
      <c r="A120" s="6"/>
      <c r="B120" s="6"/>
    </row>
    <row r="121" spans="1:2" ht="15.75" customHeight="1" x14ac:dyDescent="0.2">
      <c r="A121" s="6"/>
      <c r="B121" s="6"/>
    </row>
    <row r="122" spans="1:2" ht="15.75" customHeight="1" x14ac:dyDescent="0.2">
      <c r="A122" s="6"/>
      <c r="B122" s="6"/>
    </row>
    <row r="123" spans="1:2" ht="15.75" customHeight="1" x14ac:dyDescent="0.2">
      <c r="A123" s="6"/>
      <c r="B123" s="6"/>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row r="1011" spans="1:2" ht="15.75" customHeight="1" x14ac:dyDescent="0.2">
      <c r="A1011" s="3"/>
      <c r="B1011" s="3"/>
    </row>
    <row r="1012" spans="1:2" ht="15.75" customHeight="1" x14ac:dyDescent="0.2">
      <c r="A1012" s="3"/>
      <c r="B1012" s="3"/>
    </row>
    <row r="1013" spans="1:2" ht="15.75" customHeight="1" x14ac:dyDescent="0.2">
      <c r="A1013" s="3"/>
      <c r="B1013" s="3"/>
    </row>
    <row r="1014" spans="1:2" ht="15.75" customHeight="1" x14ac:dyDescent="0.2">
      <c r="A1014" s="3"/>
      <c r="B1014" s="3"/>
    </row>
    <row r="1015" spans="1:2" ht="15.75" customHeight="1" x14ac:dyDescent="0.2">
      <c r="A1015" s="3"/>
      <c r="B1015" s="3"/>
    </row>
    <row r="1016" spans="1:2" ht="15.75" customHeight="1" x14ac:dyDescent="0.2">
      <c r="A1016" s="3"/>
      <c r="B1016" s="3"/>
    </row>
    <row r="1017" spans="1:2" ht="15.75" customHeight="1" x14ac:dyDescent="0.2">
      <c r="A1017" s="3"/>
      <c r="B1017" s="3"/>
    </row>
  </sheetData>
  <hyperlinks>
    <hyperlink ref="A2" r:id="rId1" xr:uid="{8909A230-5CF0-1644-85AD-024F22DDB2DE}"/>
    <hyperlink ref="A61" r:id="rId2" display="https://www.thoxan.com/kontakt/" xr:uid="{5B2F69A5-968B-3043-BFE0-F0E6BC2720CE}"/>
    <hyperlink ref="A13" r:id="rId3" xr:uid="{76EC50BE-E8D2-4E41-81C6-26F2C9BD4014}"/>
    <hyperlink ref="A14" r:id="rId4" xr:uid="{D3508B0C-F6FB-0D48-82B5-793294822B28}"/>
    <hyperlink ref="A15" r:id="rId5" xr:uid="{5AF9A480-AA13-0743-800D-D9ADBCE056E4}"/>
    <hyperlink ref="A16" r:id="rId6" xr:uid="{8795532B-3C8D-DC41-9B2D-B4A00AA8DD55}"/>
    <hyperlink ref="A18" r:id="rId7" xr:uid="{4CA7D850-5A4F-C345-BE61-871A2D126AAC}"/>
    <hyperlink ref="A17" r:id="rId8" xr:uid="{BEEB6E61-ABAB-D642-AC89-D2B11DF4AFE7}"/>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2024-04-30T06:21:31Z</dcterms:created>
  <dcterms:modified xsi:type="dcterms:W3CDTF">2024-04-30T06:22:38Z</dcterms:modified>
</cp:coreProperties>
</file>