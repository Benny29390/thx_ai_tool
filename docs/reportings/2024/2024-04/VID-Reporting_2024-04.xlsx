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Volumes/G-RAID Studio/Zoho WorkDrive (thoxan)/THOXAN GMBH/REPORTINGS/2024-04/"/>
    </mc:Choice>
  </mc:AlternateContent>
  <xr:revisionPtr revIDLastSave="0" documentId="13_ncr:1_{5302E28B-40C7-1849-8B72-BBC634309ADB}" xr6:coauthVersionLast="47" xr6:coauthVersionMax="47" xr10:uidLastSave="{00000000-0000-0000-0000-000000000000}"/>
  <bookViews>
    <workbookView xWindow="13320" yWindow="1440" windowWidth="37160" windowHeight="25300" xr2:uid="{26A55846-B2CF-DD47-BFE8-ADF799964075}"/>
  </bookViews>
  <sheets>
    <sheet name="VI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9" i="1" l="1"/>
  <c r="B35" i="1"/>
  <c r="B26" i="1"/>
  <c r="B22" i="1"/>
  <c r="B7" i="1"/>
  <c r="B41" i="1" l="1"/>
</calcChain>
</file>

<file path=xl/sharedStrings.xml><?xml version="1.0" encoding="utf-8"?>
<sst xmlns="http://schemas.openxmlformats.org/spreadsheetml/2006/main" count="39" uniqueCount="34">
  <si>
    <t>Steinmann Video Stream Hosting</t>
  </si>
  <si>
    <t>März / Apr. 2024</t>
  </si>
  <si>
    <t>https://www.video-stream-hosting.com</t>
  </si>
  <si>
    <t>Monatliche Optimierung</t>
  </si>
  <si>
    <t>Aufwand ca. in Std.</t>
  </si>
  <si>
    <t>1. Linkaufbau, Linkabbau, Online-PR</t>
  </si>
  <si>
    <t>---</t>
  </si>
  <si>
    <t>2. Redaktionelle Arbeiten &amp; Website-Pflege</t>
  </si>
  <si>
    <t>Kick-off für die inhaltliche Optimierung der Unterseiten, interne Abstimmung und Erstellen eines Kurzbriefings, Dokumentation (14.03., TKI)</t>
  </si>
  <si>
    <t>Textarbeiten Startseite: Abstimmung, Briefing und inhaltliche Konzeption, Recherche und Zusammentragen der Informationen, Texterstellung, Keyword-Optimierung nach WDF*IDF, Ergänzungen und kl. Anpassungen, Lektorat und finale Bearbeitung, Versand an Kunden und Dokumentation (14.-20.03., GBO, TKI)</t>
  </si>
  <si>
    <t>Textarbeiten Event-Agenturen: Abstimmung, Briefing und inhaltliche Konzeption, Recherche und Zusammentragen der Informationen, Texterstellung, Keyword-Optimierung nach WDF*IDF, Ergänzungen und kl. Anpassungen, Lektorat und finale Bearbeitung, Versand an Kunden und Dokumentation (14.-20.03., GBO, TKI)</t>
  </si>
  <si>
    <t>Textanpassungen Event-Agenturen: Umschreiben von Du auf Sie (24.03., NMA)</t>
  </si>
  <si>
    <t>Einpflegen der Startseite: Interne Abstimmung und Einpflegen der neuen Texte auf der Website, Aufbau der Seite mit abwechslungsreichen Text- und Seitenelementen, Störern, Absätzen, Fotos, etc., Strukturierung der Absätze und einheitliche Formatierung der Inhalte, Bildbearbeitung und -integration, kl. Anpassungen und Dokumentation (22.-24.03., NMA)</t>
  </si>
  <si>
    <t>Einpflegen der Landingpage für Event-Agenturen: Interne Abstimmung und Einpflegen der neuen Texte auf der Website, Aufbau der Seite mit abwechslungsreichen Text- und Seitenelementen, Störern, Absätzen, Fotos, etc., Strukturierung der Absätze und einheitliche Formatierung der Inhalte, Bildbearbeitung und -integration, kl. Anpassungen und Dokumentation (25.03., NMA)</t>
  </si>
  <si>
    <t>Check der eingepflegten Seiten, kleine Anpassungen im System,
interne Abstimmung zur Optimierung, Dokumentation
(26.03., GBO)</t>
  </si>
  <si>
    <t>Weitere inhaltliche Arbeiten für die Landingpage "Event-Agenturen": Ergänzende Texterstellung FAQ + Schluss, Lektorat und finale Bearbeitung, Prüfung der eingepflegten Seite, Versand an Kunden, Anpassungen gemäß Kundenwunsch und Dokumentation (03., 04., 05.04., GBO)</t>
  </si>
  <si>
    <t>Optimierung der beiden Unterseiten mit UX + UI Bewertung, Bildrecherche / Videorecherche, Dokumenation und Abstimmung (28.03., BKO)</t>
  </si>
  <si>
    <t>Optimierung der Startseite, Inhalte formatieren, Struktur anpassen, Medien integrieren und optimieren, Optimierung der Landingpage "Event-Agenturen, Inhalte formatieren, Struktur anpassen, Medien integrieren und optimieren, Abstimmung und Dokumentation (03.-04.04., BKO)</t>
  </si>
  <si>
    <t>Telefonische Abstimmung mit Sören, finale Prüfung der Umsetzung, Integration von zwei Testimonials, Einbau von Meta-Description und Indexierung der Landingpage bei Google (09.04., TKI)</t>
  </si>
  <si>
    <t>3. Technische Arbeiten, Onpage-Optimierung, ggf. Programmierung</t>
  </si>
  <si>
    <t>Installation und Einrichtung von Borlabs Cookies inkl. Datenschutztexte und Optouts sowie Verlinkung im Footer (26.03., BKO)</t>
  </si>
  <si>
    <t>4. Google Ads</t>
  </si>
  <si>
    <t>Übernahme des bestehenden Google Ads Kontos, Abstimmung, Einrichtung weiterer Google Ads Kampagnen für verschiedene Themen, Anzeigengruppen erstellt, Keywords recherchiert und hinzugefügt, Anzeigentexte für die verschiedenen Kampagnen erstellt, Anzeigenerweiterungen und Sitelinks erstellt, Zielgruppen sowie beispielhaftes Bildmaterial fürs Remarketing hinzugefügt, Budgets angepasst, weitere kl. Anpassungen im Google Ads Konto, Dokumentation und Abstimmung (20.-27.03., JST, DHE)</t>
  </si>
  <si>
    <t>Einrichtung von Google Analytics 4 und Website-Integration mithilfe des Google Tag Managers, Ereignisse aus dem Google Tag Manager importieren, um Aktionen auf der Website nachverfolgen zu können, Conversions in der neuen Google Analytics 4 Property einrichten und in Google Ads importieren, um Online Marketing Maßnahmen zu bewerten, Zielgruppen erstellen für Auswertungen und Remarketing-Maßnahmen, kl. Anpassungen und Dokumentation (25.-27.03., JST, DHE)</t>
  </si>
  <si>
    <t>Conversion-Tracking (Einrichtung): Abstimmung und Website-Recherche, technische Einrichtung des Conversion-Trackings mittels Google Tag Manager zur Messung verschiedener Conversion-Ziele lt. Konzeption und Absprache, Verbindung zu Google Analytics herstellen, Funktionsprüfung und Dokumentation (25.03.-10.04., JST)</t>
  </si>
  <si>
    <t>Lookerstudio-Dashboard für Google Ads (Einrichtung): Abstimmung und Recherche, Einrichtung eines Dashboards auf Basis von Google Lookerstudio, Verknüpfen mit Google Tag Manager, Google Analytics und Google Ads, Anpassen der Kennzahlen und Auswertungen für einen schnellen Überblick, Vormonats-Vergleich, Kampagnen, Anzeigengruppen und Keywords, Dokumentation und Abstimmung (04.04., JST)</t>
  </si>
  <si>
    <t>Google Ads (Monitoring April 2024): Fortlaufendes Monitoring der eingerichteten Kampagnen und Anzeigengruppen sowie des Remarketings, Anlegen weiterer Anzeigengruppen mit div. Keywords lt. Cluster-Auswahl, Aktualisierung von Anzeigentexten, Gebote anpassen, Ergänzung und Ausschluss von passenden / unpassenden Keywords, kl. Anpassungen für optimale Kontozustandsbewertung, allgemeine Durchsicht und Auswertung nach Bedarf, Dokumentation und Abstimmung (09.-30.04., JST, TKI)</t>
  </si>
  <si>
    <t>5. Beratung &amp; Sonstiges</t>
  </si>
  <si>
    <t>Organisation, Planung, Überwachung und Steuerung der Aufgaben und Ressourcen (pro Tagessatz ca. 0,5 Std., TKI)</t>
  </si>
  <si>
    <t>Aufwand ca. insgesamt in Std.</t>
  </si>
  <si>
    <t>Aufwand in Tagessätzen</t>
  </si>
  <si>
    <t>4 TS</t>
  </si>
  <si>
    <t>Noch Rückfragen? Kontakt zur Thoxan Communications GmbH unter https://www.thoxan.com/kontakt</t>
  </si>
  <si>
    <t>Änderungen gemäß Kundenwunsch; Für Kunden-Rückfrage bezüglich Schreibweise (Eventagenturen/Streamingpakete) recherchiert / interne und externe Kommunikation (09., 11.04., GBO)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</si>
</sst>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font>
    <font>
      <b/>
      <sz val="16"/>
      <color theme="1"/>
      <name val="Arial"/>
      <family val="2"/>
    </font>
    <font>
      <sz val="12"/>
      <color theme="1"/>
      <name val="Arial"/>
      <family val="2"/>
    </font>
    <font>
      <u/>
      <sz val="12"/>
      <color theme="10"/>
      <name val="Calibri"/>
      <family val="2"/>
    </font>
    <font>
      <u/>
      <sz val="10"/>
      <color theme="10"/>
      <name val="Arial"/>
      <family val="2"/>
    </font>
    <font>
      <sz val="10"/>
      <color theme="1"/>
      <name val="Arial"/>
      <family val="2"/>
    </font>
    <font>
      <b/>
      <sz val="10"/>
      <color theme="1"/>
      <name val="Arial"/>
      <family val="2"/>
    </font>
    <font>
      <sz val="10"/>
      <color theme="1"/>
      <name val="Calibri"/>
      <family val="2"/>
    </font>
    <font>
      <sz val="10"/>
      <color rgb="FF808080"/>
      <name val="Arial"/>
      <family val="2"/>
    </font>
  </fonts>
  <fills count="5">
    <fill>
      <patternFill patternType="none"/>
    </fill>
    <fill>
      <patternFill patternType="gray125"/>
    </fill>
    <fill>
      <patternFill patternType="solid">
        <fgColor rgb="FFD8D8D8"/>
        <bgColor rgb="FFD8D8D8"/>
      </patternFill>
    </fill>
    <fill>
      <patternFill patternType="solid">
        <fgColor theme="0"/>
        <bgColor theme="0"/>
      </patternFill>
    </fill>
    <fill>
      <patternFill patternType="solid">
        <fgColor theme="0" tint="-4.9989318521683403E-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medium">
        <color rgb="FF000000"/>
      </bottom>
      <diagonal/>
    </border>
  </borders>
  <cellStyleXfs count="2">
    <xf numFmtId="0" fontId="0" fillId="0" borderId="0"/>
    <xf numFmtId="0" fontId="3" fillId="0" borderId="0" applyNumberFormat="0" applyFill="0" applyBorder="0" applyAlignment="0" applyProtection="0"/>
  </cellStyleXfs>
  <cellXfs count="33">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49" fontId="4" fillId="0" borderId="0" xfId="1" applyNumberFormat="1" applyFont="1" applyAlignment="1">
      <alignment horizontal="left"/>
    </xf>
    <xf numFmtId="49" fontId="5" fillId="0" borderId="0" xfId="0" applyNumberFormat="1" applyFont="1" applyAlignment="1">
      <alignment horizontal="right"/>
    </xf>
    <xf numFmtId="49" fontId="5" fillId="0" borderId="0" xfId="0" applyNumberFormat="1" applyFont="1" applyAlignment="1">
      <alignment horizontal="left"/>
    </xf>
    <xf numFmtId="0" fontId="6" fillId="0" borderId="0" xfId="0" applyFont="1"/>
    <xf numFmtId="0" fontId="6" fillId="0" borderId="1" xfId="0" applyFont="1" applyBorder="1"/>
    <xf numFmtId="0" fontId="6" fillId="2" borderId="1" xfId="0" applyFont="1" applyFill="1" applyBorder="1" applyAlignment="1">
      <alignment horizontal="center" vertical="center"/>
    </xf>
    <xf numFmtId="0" fontId="5" fillId="0" borderId="0" xfId="0" applyFont="1"/>
    <xf numFmtId="0" fontId="7" fillId="0" borderId="0" xfId="0" applyFont="1"/>
    <xf numFmtId="0" fontId="6" fillId="0" borderId="1" xfId="0" applyFont="1" applyBorder="1" applyAlignment="1">
      <alignment horizontal="center" vertical="center"/>
    </xf>
    <xf numFmtId="0" fontId="5" fillId="0" borderId="1" xfId="0" quotePrefix="1" applyFont="1" applyBorder="1" applyAlignment="1">
      <alignment vertical="top" wrapText="1"/>
    </xf>
    <xf numFmtId="0" fontId="5" fillId="0" borderId="1" xfId="0" applyFont="1" applyBorder="1" applyAlignment="1">
      <alignment horizontal="center" vertical="center"/>
    </xf>
    <xf numFmtId="0" fontId="5" fillId="2" borderId="2" xfId="0" applyFont="1" applyFill="1" applyBorder="1" applyAlignment="1">
      <alignment vertical="center"/>
    </xf>
    <xf numFmtId="0" fontId="5" fillId="2" borderId="2" xfId="0" applyFont="1" applyFill="1" applyBorder="1" applyAlignment="1">
      <alignment horizontal="center" vertical="center"/>
    </xf>
    <xf numFmtId="0" fontId="5" fillId="0" borderId="3" xfId="0" applyFont="1" applyBorder="1"/>
    <xf numFmtId="0" fontId="5" fillId="0" borderId="2" xfId="0" applyFont="1" applyBorder="1" applyAlignment="1">
      <alignment horizontal="center" vertical="center"/>
    </xf>
    <xf numFmtId="0" fontId="6" fillId="0" borderId="3" xfId="0" applyFont="1" applyBorder="1"/>
    <xf numFmtId="0" fontId="5" fillId="0" borderId="3" xfId="0" applyFont="1" applyBorder="1" applyAlignment="1">
      <alignment vertical="top" wrapText="1"/>
    </xf>
    <xf numFmtId="0" fontId="5" fillId="3" borderId="2" xfId="0" applyFont="1" applyFill="1" applyBorder="1" applyAlignment="1">
      <alignment horizontal="center" vertical="center"/>
    </xf>
    <xf numFmtId="0" fontId="5" fillId="0" borderId="2" xfId="0" applyFont="1" applyBorder="1" applyAlignment="1" applyProtection="1">
      <alignment wrapText="1"/>
      <protection locked="0"/>
    </xf>
    <xf numFmtId="0" fontId="5" fillId="0" borderId="3" xfId="0" applyFont="1" applyBorder="1" applyAlignment="1" applyProtection="1">
      <alignment vertical="top" wrapText="1"/>
      <protection locked="0"/>
    </xf>
    <xf numFmtId="0" fontId="5" fillId="0" borderId="3" xfId="0" applyFont="1" applyBorder="1" applyAlignment="1">
      <alignment vertical="center"/>
    </xf>
    <xf numFmtId="0" fontId="6" fillId="0" borderId="4" xfId="0" applyFont="1" applyBorder="1"/>
    <xf numFmtId="0" fontId="5" fillId="0" borderId="0" xfId="0" quotePrefix="1" applyFont="1" applyAlignment="1">
      <alignment vertical="top" wrapText="1"/>
    </xf>
    <xf numFmtId="0" fontId="5" fillId="0" borderId="3" xfId="0" applyFont="1" applyBorder="1" applyAlignment="1">
      <alignment horizontal="center" vertical="center"/>
    </xf>
    <xf numFmtId="0" fontId="5" fillId="4" borderId="3" xfId="0" applyFont="1" applyFill="1" applyBorder="1" applyAlignment="1">
      <alignment vertical="top" wrapText="1"/>
    </xf>
    <xf numFmtId="0" fontId="6" fillId="0" borderId="3" xfId="0" applyFont="1" applyBorder="1" applyAlignment="1">
      <alignment wrapText="1"/>
    </xf>
    <xf numFmtId="0" fontId="5" fillId="2" borderId="5" xfId="0" applyFont="1" applyFill="1" applyBorder="1" applyAlignment="1">
      <alignment vertical="center"/>
    </xf>
    <xf numFmtId="0" fontId="6" fillId="2" borderId="5" xfId="0" applyFont="1" applyFill="1" applyBorder="1" applyAlignment="1">
      <alignment horizontal="center" vertical="center"/>
    </xf>
    <xf numFmtId="0" fontId="8" fillId="0" borderId="0" xfId="0" applyFont="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video-stream-hosting.com/" TargetMode="External"/><Relationship Id="rId1" Type="http://schemas.openxmlformats.org/officeDocument/2006/relationships/hyperlink" Target="https://www.thoxan.com/kontak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B97C3-CCF3-B647-AF3F-FF33E771EFF9}">
  <dimension ref="A1:B996"/>
  <sheetViews>
    <sheetView tabSelected="1" zoomScale="150" zoomScaleNormal="150" workbookViewId="0">
      <pane ySplit="4" topLeftCell="A32" activePane="bottomLeft" state="frozen"/>
      <selection pane="bottomLeft" activeCell="E38" sqref="E38"/>
    </sheetView>
  </sheetViews>
  <sheetFormatPr baseColWidth="10" defaultColWidth="11.1640625" defaultRowHeight="15" customHeight="1" x14ac:dyDescent="0.2"/>
  <cols>
    <col min="1" max="1" width="57.5" customWidth="1"/>
    <col min="2" max="2" width="25.33203125" customWidth="1"/>
  </cols>
  <sheetData>
    <row r="1" spans="1:2" ht="21" customHeight="1" x14ac:dyDescent="0.2">
      <c r="A1" s="1" t="s">
        <v>0</v>
      </c>
      <c r="B1" s="2" t="s">
        <v>1</v>
      </c>
    </row>
    <row r="2" spans="1:2" ht="15.75" customHeight="1" x14ac:dyDescent="0.2">
      <c r="A2" s="4" t="s">
        <v>2</v>
      </c>
      <c r="B2" s="5" t="s">
        <v>3</v>
      </c>
    </row>
    <row r="3" spans="1:2" ht="15.75" customHeight="1" x14ac:dyDescent="0.2">
      <c r="A3" s="7"/>
      <c r="B3" s="6"/>
    </row>
    <row r="4" spans="1:2" s="11" customFormat="1" ht="15.75" customHeight="1" x14ac:dyDescent="0.2">
      <c r="A4" s="8"/>
      <c r="B4" s="9" t="s">
        <v>4</v>
      </c>
    </row>
    <row r="5" spans="1:2" s="11" customFormat="1" ht="15.75" customHeight="1" x14ac:dyDescent="0.2">
      <c r="A5" s="8" t="s">
        <v>5</v>
      </c>
      <c r="B5" s="12"/>
    </row>
    <row r="6" spans="1:2" s="11" customFormat="1" ht="14" x14ac:dyDescent="0.2">
      <c r="A6" s="13" t="s">
        <v>6</v>
      </c>
      <c r="B6" s="14"/>
    </row>
    <row r="7" spans="1:2" s="11" customFormat="1" ht="15.75" customHeight="1" x14ac:dyDescent="0.2">
      <c r="A7" s="15" t="s">
        <v>4</v>
      </c>
      <c r="B7" s="16">
        <f>SUM(B6:B6)</f>
        <v>0</v>
      </c>
    </row>
    <row r="8" spans="1:2" s="11" customFormat="1" ht="15.75" customHeight="1" x14ac:dyDescent="0.2">
      <c r="A8" s="17"/>
      <c r="B8" s="18"/>
    </row>
    <row r="9" spans="1:2" s="11" customFormat="1" ht="15.75" customHeight="1" x14ac:dyDescent="0.2">
      <c r="A9" s="19" t="s">
        <v>7</v>
      </c>
      <c r="B9" s="18"/>
    </row>
    <row r="10" spans="1:2" s="11" customFormat="1" ht="42" x14ac:dyDescent="0.2">
      <c r="A10" s="20" t="s">
        <v>8</v>
      </c>
      <c r="B10" s="21">
        <v>0.5</v>
      </c>
    </row>
    <row r="11" spans="1:2" s="11" customFormat="1" ht="70" x14ac:dyDescent="0.2">
      <c r="A11" s="20" t="s">
        <v>9</v>
      </c>
      <c r="B11" s="21">
        <v>2.5</v>
      </c>
    </row>
    <row r="12" spans="1:2" s="11" customFormat="1" ht="70" x14ac:dyDescent="0.2">
      <c r="A12" s="20" t="s">
        <v>10</v>
      </c>
      <c r="B12" s="21">
        <v>3.75</v>
      </c>
    </row>
    <row r="13" spans="1:2" s="11" customFormat="1" ht="28" x14ac:dyDescent="0.2">
      <c r="A13" s="20" t="s">
        <v>11</v>
      </c>
      <c r="B13" s="21">
        <v>0.25</v>
      </c>
    </row>
    <row r="14" spans="1:2" s="11" customFormat="1" ht="84" x14ac:dyDescent="0.2">
      <c r="A14" s="20" t="s">
        <v>12</v>
      </c>
      <c r="B14" s="21">
        <v>1.75</v>
      </c>
    </row>
    <row r="15" spans="1:2" s="11" customFormat="1" ht="84" x14ac:dyDescent="0.2">
      <c r="A15" s="20" t="s">
        <v>13</v>
      </c>
      <c r="B15" s="21">
        <v>2.25</v>
      </c>
    </row>
    <row r="16" spans="1:2" s="11" customFormat="1" ht="43" x14ac:dyDescent="0.2">
      <c r="A16" s="22" t="s">
        <v>14</v>
      </c>
      <c r="B16" s="21">
        <v>1</v>
      </c>
    </row>
    <row r="17" spans="1:2" s="11" customFormat="1" ht="70" x14ac:dyDescent="0.2">
      <c r="A17" s="23" t="s">
        <v>15</v>
      </c>
      <c r="B17" s="21">
        <v>2.25</v>
      </c>
    </row>
    <row r="18" spans="1:2" s="11" customFormat="1" ht="42" x14ac:dyDescent="0.2">
      <c r="A18" s="20" t="s">
        <v>16</v>
      </c>
      <c r="B18" s="21">
        <v>1</v>
      </c>
    </row>
    <row r="19" spans="1:2" s="11" customFormat="1" ht="70" x14ac:dyDescent="0.2">
      <c r="A19" s="20" t="s">
        <v>17</v>
      </c>
      <c r="B19" s="21">
        <v>2</v>
      </c>
    </row>
    <row r="20" spans="1:2" s="11" customFormat="1" ht="42" x14ac:dyDescent="0.2">
      <c r="A20" s="20" t="s">
        <v>18</v>
      </c>
      <c r="B20" s="21">
        <v>0.75</v>
      </c>
    </row>
    <row r="21" spans="1:2" s="11" customFormat="1" ht="43" x14ac:dyDescent="0.2">
      <c r="A21" s="22" t="s">
        <v>33</v>
      </c>
      <c r="B21" s="21">
        <v>0.5</v>
      </c>
    </row>
    <row r="22" spans="1:2" s="11" customFormat="1" ht="15.75" customHeight="1" x14ac:dyDescent="0.2">
      <c r="A22" s="15" t="s">
        <v>4</v>
      </c>
      <c r="B22" s="16">
        <f>SUM(B10:B21)</f>
        <v>18.5</v>
      </c>
    </row>
    <row r="23" spans="1:2" s="11" customFormat="1" ht="15.75" customHeight="1" x14ac:dyDescent="0.2">
      <c r="A23" s="24"/>
      <c r="B23" s="18"/>
    </row>
    <row r="24" spans="1:2" s="10" customFormat="1" ht="15.75" customHeight="1" x14ac:dyDescent="0.15">
      <c r="A24" s="25" t="s">
        <v>19</v>
      </c>
      <c r="B24" s="14"/>
    </row>
    <row r="25" spans="1:2" s="11" customFormat="1" ht="28" x14ac:dyDescent="0.2">
      <c r="A25" s="26" t="s">
        <v>20</v>
      </c>
      <c r="B25" s="18">
        <v>1.5</v>
      </c>
    </row>
    <row r="26" spans="1:2" s="11" customFormat="1" ht="15.75" customHeight="1" x14ac:dyDescent="0.2">
      <c r="A26" s="15" t="s">
        <v>4</v>
      </c>
      <c r="B26" s="16">
        <f>SUM(B24:B25)</f>
        <v>1.5</v>
      </c>
    </row>
    <row r="27" spans="1:2" s="11" customFormat="1" ht="15.75" customHeight="1" x14ac:dyDescent="0.2">
      <c r="A27" s="24"/>
      <c r="B27" s="18"/>
    </row>
    <row r="28" spans="1:2" s="11" customFormat="1" ht="15.75" customHeight="1" x14ac:dyDescent="0.2">
      <c r="A28" s="19" t="s">
        <v>21</v>
      </c>
      <c r="B28" s="18"/>
    </row>
    <row r="29" spans="1:2" s="11" customFormat="1" ht="112" x14ac:dyDescent="0.2">
      <c r="A29" s="20" t="s">
        <v>22</v>
      </c>
      <c r="B29" s="27">
        <v>6</v>
      </c>
    </row>
    <row r="30" spans="1:2" s="11" customFormat="1" ht="112" x14ac:dyDescent="0.2">
      <c r="A30" s="20" t="s">
        <v>23</v>
      </c>
      <c r="B30" s="27">
        <v>3</v>
      </c>
    </row>
    <row r="31" spans="1:2" s="11" customFormat="1" ht="70" x14ac:dyDescent="0.2">
      <c r="A31" s="20" t="s">
        <v>24</v>
      </c>
      <c r="B31" s="27">
        <v>2</v>
      </c>
    </row>
    <row r="32" spans="1:2" s="11" customFormat="1" ht="98" x14ac:dyDescent="0.2">
      <c r="A32" s="20" t="s">
        <v>25</v>
      </c>
      <c r="B32" s="27">
        <v>1</v>
      </c>
    </row>
    <row r="33" spans="1:2" s="11" customFormat="1" ht="14" x14ac:dyDescent="0.2">
      <c r="A33" s="28"/>
      <c r="B33" s="27"/>
    </row>
    <row r="34" spans="1:2" s="11" customFormat="1" ht="112" x14ac:dyDescent="0.2">
      <c r="A34" s="20" t="s">
        <v>26</v>
      </c>
      <c r="B34" s="27">
        <v>1</v>
      </c>
    </row>
    <row r="35" spans="1:2" s="11" customFormat="1" ht="15.75" customHeight="1" x14ac:dyDescent="0.2">
      <c r="A35" s="15" t="s">
        <v>4</v>
      </c>
      <c r="B35" s="16">
        <f>SUM(B29:B34)</f>
        <v>13</v>
      </c>
    </row>
    <row r="36" spans="1:2" s="11" customFormat="1" ht="15.75" customHeight="1" x14ac:dyDescent="0.2">
      <c r="A36" s="29"/>
      <c r="B36" s="18"/>
    </row>
    <row r="37" spans="1:2" s="11" customFormat="1" ht="15.75" customHeight="1" x14ac:dyDescent="0.2">
      <c r="A37" s="19" t="s">
        <v>27</v>
      </c>
      <c r="B37" s="18"/>
    </row>
    <row r="38" spans="1:2" s="11" customFormat="1" ht="28" x14ac:dyDescent="0.2">
      <c r="A38" s="20" t="s">
        <v>28</v>
      </c>
      <c r="B38" s="18">
        <v>2</v>
      </c>
    </row>
    <row r="39" spans="1:2" s="11" customFormat="1" ht="15.75" customHeight="1" x14ac:dyDescent="0.2">
      <c r="A39" s="15" t="s">
        <v>4</v>
      </c>
      <c r="B39" s="16">
        <f>SUM(B38:B38)</f>
        <v>2</v>
      </c>
    </row>
    <row r="40" spans="1:2" s="11" customFormat="1" ht="15.75" customHeight="1" x14ac:dyDescent="0.2">
      <c r="A40" s="24"/>
      <c r="B40" s="18"/>
    </row>
    <row r="41" spans="1:2" s="11" customFormat="1" ht="16.5" customHeight="1" thickBot="1" x14ac:dyDescent="0.25">
      <c r="A41" s="30" t="s">
        <v>29</v>
      </c>
      <c r="B41" s="31">
        <f>SUM(B7+B22+B26+B35+B39)</f>
        <v>35</v>
      </c>
    </row>
    <row r="42" spans="1:2" s="11" customFormat="1" ht="16.5" customHeight="1" thickBot="1" x14ac:dyDescent="0.25">
      <c r="A42" s="30" t="s">
        <v>30</v>
      </c>
      <c r="B42" s="31" t="s">
        <v>31</v>
      </c>
    </row>
    <row r="43" spans="1:2" ht="15.75" customHeight="1" x14ac:dyDescent="0.2">
      <c r="A43" s="10"/>
      <c r="B43" s="10"/>
    </row>
    <row r="44" spans="1:2" ht="15.75" customHeight="1" x14ac:dyDescent="0.2">
      <c r="A44" s="32" t="s">
        <v>32</v>
      </c>
      <c r="B44" s="10"/>
    </row>
    <row r="45" spans="1:2" ht="15.75" customHeight="1" x14ac:dyDescent="0.2">
      <c r="A45" s="10"/>
      <c r="B45" s="10"/>
    </row>
    <row r="46" spans="1:2" ht="15.75" customHeight="1" x14ac:dyDescent="0.2">
      <c r="A46" s="10"/>
      <c r="B46" s="10"/>
    </row>
    <row r="47" spans="1:2" ht="15.75" customHeight="1" x14ac:dyDescent="0.2">
      <c r="A47" s="10"/>
      <c r="B47" s="10"/>
    </row>
    <row r="48" spans="1:2" ht="15.75" customHeight="1" x14ac:dyDescent="0.2">
      <c r="A48" s="10"/>
      <c r="B48" s="10"/>
    </row>
    <row r="49" spans="1:2" ht="15.75" customHeight="1" x14ac:dyDescent="0.2">
      <c r="A49" s="10"/>
      <c r="B49" s="10"/>
    </row>
    <row r="50" spans="1:2" ht="15.75" customHeight="1" x14ac:dyDescent="0.2">
      <c r="A50" s="10"/>
      <c r="B50" s="10"/>
    </row>
    <row r="51" spans="1:2" ht="15.75" customHeight="1" x14ac:dyDescent="0.2">
      <c r="A51" s="10"/>
      <c r="B51" s="10"/>
    </row>
    <row r="52" spans="1:2" ht="15.75" customHeight="1" x14ac:dyDescent="0.2">
      <c r="A52" s="10"/>
      <c r="B52" s="10"/>
    </row>
    <row r="53" spans="1:2" ht="15.75" customHeight="1" x14ac:dyDescent="0.2">
      <c r="A53" s="10"/>
      <c r="B53" s="10"/>
    </row>
    <row r="54" spans="1:2" ht="15.75" customHeight="1" x14ac:dyDescent="0.2">
      <c r="A54" s="10"/>
      <c r="B54" s="10"/>
    </row>
    <row r="55" spans="1:2" ht="15.75" customHeight="1" x14ac:dyDescent="0.2">
      <c r="A55" s="10"/>
      <c r="B55" s="10"/>
    </row>
    <row r="56" spans="1:2" ht="15.75" customHeight="1" x14ac:dyDescent="0.2">
      <c r="A56" s="10"/>
      <c r="B56" s="10"/>
    </row>
    <row r="57" spans="1:2" ht="15.75" customHeight="1" x14ac:dyDescent="0.2">
      <c r="A57" s="10"/>
      <c r="B57" s="10"/>
    </row>
    <row r="58" spans="1:2" ht="15.75" customHeight="1" x14ac:dyDescent="0.2">
      <c r="A58" s="10"/>
      <c r="B58" s="10"/>
    </row>
    <row r="59" spans="1:2" ht="15.75" customHeight="1" x14ac:dyDescent="0.2">
      <c r="A59" s="10"/>
      <c r="B59" s="10"/>
    </row>
    <row r="60" spans="1:2" ht="15.75" customHeight="1" x14ac:dyDescent="0.2">
      <c r="A60" s="10"/>
      <c r="B60" s="10"/>
    </row>
    <row r="61" spans="1:2" ht="15.75" customHeight="1" x14ac:dyDescent="0.2">
      <c r="A61" s="10"/>
      <c r="B61" s="10"/>
    </row>
    <row r="62" spans="1:2" ht="15.75" customHeight="1" x14ac:dyDescent="0.2">
      <c r="A62" s="10"/>
      <c r="B62" s="10"/>
    </row>
    <row r="63" spans="1:2" ht="15.75" customHeight="1" x14ac:dyDescent="0.2">
      <c r="A63" s="10"/>
      <c r="B63" s="10"/>
    </row>
    <row r="64" spans="1:2" ht="15.75" customHeight="1" x14ac:dyDescent="0.2">
      <c r="A64" s="10"/>
      <c r="B64" s="10"/>
    </row>
    <row r="65" spans="1:2" ht="15.75" customHeight="1" x14ac:dyDescent="0.2">
      <c r="A65" s="10"/>
      <c r="B65" s="10"/>
    </row>
    <row r="66" spans="1:2" ht="15.75" customHeight="1" x14ac:dyDescent="0.2">
      <c r="A66" s="10"/>
      <c r="B66" s="10"/>
    </row>
    <row r="67" spans="1:2" ht="15.75" customHeight="1" x14ac:dyDescent="0.2">
      <c r="A67" s="10"/>
      <c r="B67" s="10"/>
    </row>
    <row r="68" spans="1:2" ht="15.75" customHeight="1" x14ac:dyDescent="0.2">
      <c r="A68" s="10"/>
      <c r="B68" s="10"/>
    </row>
    <row r="69" spans="1:2" ht="15.75" customHeight="1" x14ac:dyDescent="0.2">
      <c r="A69" s="10"/>
      <c r="B69" s="10"/>
    </row>
    <row r="70" spans="1:2" ht="15.75" customHeight="1" x14ac:dyDescent="0.2">
      <c r="A70" s="10"/>
      <c r="B70" s="10"/>
    </row>
    <row r="71" spans="1:2" ht="15.75" customHeight="1" x14ac:dyDescent="0.2">
      <c r="A71" s="10"/>
      <c r="B71" s="10"/>
    </row>
    <row r="72" spans="1:2" ht="15.75" customHeight="1" x14ac:dyDescent="0.2">
      <c r="A72" s="10"/>
      <c r="B72" s="10"/>
    </row>
    <row r="73" spans="1:2" ht="15.75" customHeight="1" x14ac:dyDescent="0.2">
      <c r="A73" s="10"/>
      <c r="B73" s="10"/>
    </row>
    <row r="74" spans="1:2" ht="15.75" customHeight="1" x14ac:dyDescent="0.2">
      <c r="A74" s="10"/>
      <c r="B74" s="10"/>
    </row>
    <row r="75" spans="1:2" ht="15.75" customHeight="1" x14ac:dyDescent="0.2">
      <c r="A75" s="10"/>
      <c r="B75" s="10"/>
    </row>
    <row r="76" spans="1:2" ht="15.75" customHeight="1" x14ac:dyDescent="0.2">
      <c r="A76" s="10"/>
      <c r="B76" s="10"/>
    </row>
    <row r="77" spans="1:2" ht="15.75" customHeight="1" x14ac:dyDescent="0.2">
      <c r="A77" s="10"/>
      <c r="B77" s="10"/>
    </row>
    <row r="78" spans="1:2" ht="15.75" customHeight="1" x14ac:dyDescent="0.2">
      <c r="A78" s="10"/>
      <c r="B78" s="10"/>
    </row>
    <row r="79" spans="1:2" ht="15.75" customHeight="1" x14ac:dyDescent="0.2">
      <c r="A79" s="10"/>
      <c r="B79" s="10"/>
    </row>
    <row r="80" spans="1:2" ht="15.75" customHeight="1" x14ac:dyDescent="0.2">
      <c r="A80" s="10"/>
      <c r="B80" s="10"/>
    </row>
    <row r="81" spans="1:2" ht="15.75" customHeight="1" x14ac:dyDescent="0.2">
      <c r="A81" s="10"/>
      <c r="B81" s="10"/>
    </row>
    <row r="82" spans="1:2" ht="15.75" customHeight="1" x14ac:dyDescent="0.2">
      <c r="A82" s="10"/>
      <c r="B82" s="10"/>
    </row>
    <row r="83" spans="1:2" ht="15.75" customHeight="1" x14ac:dyDescent="0.2">
      <c r="A83" s="10"/>
      <c r="B83" s="10"/>
    </row>
    <row r="84" spans="1:2" ht="15.75" customHeight="1" x14ac:dyDescent="0.2">
      <c r="A84" s="10"/>
      <c r="B84" s="10"/>
    </row>
    <row r="85" spans="1:2" ht="15.75" customHeight="1" x14ac:dyDescent="0.2">
      <c r="A85" s="10"/>
      <c r="B85" s="10"/>
    </row>
    <row r="86" spans="1:2" ht="15.75" customHeight="1" x14ac:dyDescent="0.2">
      <c r="A86" s="10"/>
      <c r="B86" s="10"/>
    </row>
    <row r="87" spans="1:2" ht="15.75" customHeight="1" x14ac:dyDescent="0.2">
      <c r="A87" s="10"/>
      <c r="B87" s="10"/>
    </row>
    <row r="88" spans="1:2" ht="15.75" customHeight="1" x14ac:dyDescent="0.2">
      <c r="A88" s="10"/>
      <c r="B88" s="10"/>
    </row>
    <row r="89" spans="1:2" ht="15.75" customHeight="1" x14ac:dyDescent="0.2">
      <c r="A89" s="10"/>
      <c r="B89" s="10"/>
    </row>
    <row r="90" spans="1:2" ht="15.75" customHeight="1" x14ac:dyDescent="0.2">
      <c r="A90" s="10"/>
      <c r="B90" s="10"/>
    </row>
    <row r="91" spans="1:2" ht="15.75" customHeight="1" x14ac:dyDescent="0.2">
      <c r="A91" s="10"/>
      <c r="B91" s="10"/>
    </row>
    <row r="92" spans="1:2" ht="15.75" customHeight="1" x14ac:dyDescent="0.2">
      <c r="A92" s="10"/>
      <c r="B92" s="10"/>
    </row>
    <row r="93" spans="1:2" ht="15.75" customHeight="1" x14ac:dyDescent="0.2">
      <c r="A93" s="10"/>
      <c r="B93" s="10"/>
    </row>
    <row r="94" spans="1:2" ht="15.75" customHeight="1" x14ac:dyDescent="0.2">
      <c r="A94" s="10"/>
      <c r="B94" s="10"/>
    </row>
    <row r="95" spans="1:2" ht="15.75" customHeight="1" x14ac:dyDescent="0.2">
      <c r="A95" s="10"/>
      <c r="B95" s="10"/>
    </row>
    <row r="96" spans="1:2" ht="15.75" customHeight="1" x14ac:dyDescent="0.2">
      <c r="A96" s="10"/>
      <c r="B96" s="10"/>
    </row>
    <row r="97" spans="1:2" ht="15.75" customHeight="1" x14ac:dyDescent="0.2">
      <c r="A97" s="10"/>
      <c r="B97" s="10"/>
    </row>
    <row r="98" spans="1:2" ht="15.75" customHeight="1" x14ac:dyDescent="0.2">
      <c r="A98" s="10"/>
      <c r="B98" s="10"/>
    </row>
    <row r="99" spans="1:2" ht="15.75" customHeight="1" x14ac:dyDescent="0.2">
      <c r="A99" s="10"/>
      <c r="B99" s="10"/>
    </row>
    <row r="100" spans="1:2" ht="15.75" customHeight="1" x14ac:dyDescent="0.2">
      <c r="A100" s="10"/>
      <c r="B100" s="10"/>
    </row>
    <row r="101" spans="1:2" ht="15.75" customHeight="1" x14ac:dyDescent="0.2">
      <c r="A101" s="10"/>
      <c r="B101" s="10"/>
    </row>
    <row r="102" spans="1:2" ht="15.75" customHeight="1" x14ac:dyDescent="0.2">
      <c r="A102" s="10"/>
      <c r="B102" s="10"/>
    </row>
    <row r="103" spans="1:2" ht="15.75" customHeight="1" x14ac:dyDescent="0.2">
      <c r="A103" s="10"/>
      <c r="B103" s="10"/>
    </row>
    <row r="104" spans="1:2" ht="15.75" customHeight="1" x14ac:dyDescent="0.2">
      <c r="A104" s="10"/>
      <c r="B104" s="10"/>
    </row>
    <row r="105" spans="1:2" ht="15.75" customHeight="1" x14ac:dyDescent="0.2">
      <c r="A105" s="10"/>
      <c r="B105" s="10"/>
    </row>
    <row r="106" spans="1:2" ht="15.75" customHeight="1" x14ac:dyDescent="0.2">
      <c r="A106" s="10"/>
      <c r="B106" s="10"/>
    </row>
    <row r="107" spans="1:2" ht="15.75" customHeight="1" x14ac:dyDescent="0.2">
      <c r="A107" s="3"/>
      <c r="B107" s="3"/>
    </row>
    <row r="108" spans="1:2" ht="15.75" customHeight="1" x14ac:dyDescent="0.2">
      <c r="A108" s="3"/>
      <c r="B108" s="3"/>
    </row>
    <row r="109" spans="1:2" ht="15.75" customHeight="1" x14ac:dyDescent="0.2">
      <c r="A109" s="3"/>
      <c r="B109" s="3"/>
    </row>
    <row r="110" spans="1:2" ht="15.75" customHeight="1" x14ac:dyDescent="0.2">
      <c r="A110" s="3"/>
      <c r="B110" s="3"/>
    </row>
    <row r="111" spans="1:2" ht="15.75" customHeight="1" x14ac:dyDescent="0.2">
      <c r="A111" s="3"/>
      <c r="B111" s="3"/>
    </row>
    <row r="112" spans="1:2" ht="15.75" customHeight="1" x14ac:dyDescent="0.2">
      <c r="A112" s="3"/>
      <c r="B112" s="3"/>
    </row>
    <row r="113" spans="1:2" ht="15.75" customHeight="1" x14ac:dyDescent="0.2">
      <c r="A113" s="3"/>
      <c r="B113" s="3"/>
    </row>
    <row r="114" spans="1:2" ht="15.75" customHeight="1" x14ac:dyDescent="0.2">
      <c r="A114" s="3"/>
      <c r="B114" s="3"/>
    </row>
    <row r="115" spans="1:2" ht="15.75" customHeight="1" x14ac:dyDescent="0.2">
      <c r="A115" s="3"/>
      <c r="B115" s="3"/>
    </row>
    <row r="116" spans="1:2" ht="15.75" customHeight="1" x14ac:dyDescent="0.2">
      <c r="A116" s="3"/>
      <c r="B116" s="3"/>
    </row>
    <row r="117" spans="1:2" ht="15.75" customHeight="1" x14ac:dyDescent="0.2">
      <c r="A117" s="3"/>
      <c r="B117" s="3"/>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row r="992" spans="1:2" ht="15.75" customHeight="1" x14ac:dyDescent="0.2">
      <c r="A992" s="3"/>
      <c r="B992" s="3"/>
    </row>
    <row r="993" spans="1:2" ht="15.75" customHeight="1" x14ac:dyDescent="0.2">
      <c r="A993" s="3"/>
      <c r="B993" s="3"/>
    </row>
    <row r="994" spans="1:2" ht="15.75" customHeight="1" x14ac:dyDescent="0.2">
      <c r="A994" s="3"/>
      <c r="B994" s="3"/>
    </row>
    <row r="995" spans="1:2" ht="15.75" customHeight="1" x14ac:dyDescent="0.2">
      <c r="A995" s="3"/>
      <c r="B995" s="3"/>
    </row>
    <row r="996" spans="1:2" ht="15.75" customHeight="1" x14ac:dyDescent="0.2">
      <c r="A996" s="3"/>
      <c r="B996" s="3"/>
    </row>
  </sheetData>
  <hyperlinks>
    <hyperlink ref="A44" r:id="rId1" display="https://www.thoxan.com/kontakt/" xr:uid="{B8328F41-0CF5-B14F-A2FC-94765C0E393A}"/>
    <hyperlink ref="A2" r:id="rId2" xr:uid="{D8FB50AF-E634-1846-8268-140B82C40844}"/>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VID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2024-04-16T19:38:07Z</dcterms:created>
  <dcterms:modified xsi:type="dcterms:W3CDTF">2024-04-16T20:08:28Z</dcterms:modified>
</cp:coreProperties>
</file>