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tkilian/Desktop/"/>
    </mc:Choice>
  </mc:AlternateContent>
  <xr:revisionPtr revIDLastSave="0" documentId="8_{9C7C6BEA-A8F3-C64A-85AA-06F0156A3F84}" xr6:coauthVersionLast="47" xr6:coauthVersionMax="47" xr10:uidLastSave="{00000000-0000-0000-0000-000000000000}"/>
  <bookViews>
    <workbookView xWindow="14500" yWindow="500" windowWidth="37360" windowHeight="27040" xr2:uid="{C95BFE6D-4B2B-074B-8DCE-7380E634508B}"/>
  </bookViews>
  <sheets>
    <sheet name="KE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23" i="1"/>
  <c r="B18" i="1"/>
  <c r="B11" i="1"/>
  <c r="B7" i="1"/>
  <c r="B36" i="1" s="1"/>
</calcChain>
</file>

<file path=xl/sharedStrings.xml><?xml version="1.0" encoding="utf-8"?>
<sst xmlns="http://schemas.openxmlformats.org/spreadsheetml/2006/main" count="36" uniqueCount="30">
  <si>
    <t>keeunit GmbH</t>
  </si>
  <si>
    <t>April-Mai 2024</t>
  </si>
  <si>
    <t>https://keelearning.de</t>
  </si>
  <si>
    <t>Monatliche Optimierung</t>
  </si>
  <si>
    <t>Aufwand ca. in Std.</t>
  </si>
  <si>
    <t>1. Linkaufbau, Linkabbau, Online-PR</t>
  </si>
  <si>
    <t>---</t>
  </si>
  <si>
    <t>2. Redaktionelle Arbeiten &amp; Website-Pflege</t>
  </si>
  <si>
    <r>
      <t>3. Technische Arbeiten, Onpage-Optimierung, ggf. Programmierung</t>
    </r>
    <r>
      <rPr>
        <b/>
        <sz val="10"/>
        <color rgb="FFFF0000"/>
        <rFont val="Arial"/>
        <family val="2"/>
      </rPr>
      <t xml:space="preserve"> // max. 1 Tagessatz</t>
    </r>
  </si>
  <si>
    <t>Diverse Anpassungen auf Wunsch (siehe Asana): Video Einbindung, Schriftschnitte vereinheitlichen, Programmierung einer internen Suche, Abstimmung und Dokumentation (19.-24.04., BKO, TKI)</t>
  </si>
  <si>
    <t>Technische Detailprüfung wegen Ranking-Verhinderung, Analyse mit div. Online-Tools, Zusammentragen der Zwischenergebnisse, interne Abstimmung (19.-21.05., BKO)</t>
  </si>
  <si>
    <t>4. Google &amp; Social Ads</t>
  </si>
  <si>
    <t>Intensive Prüfung des Google Ads Kontos, der aktiven Kampagnen, Anzeigengruppen, Keywords, Assets und Sitelinks, Überprüfung der eingesetzten Budgets im Verhältnis zum Ergebnis, Ermitteln von Optimierungspotenzial, Dokumentation der Erkenntnisse als kurze Präsentation, interne Abstimmung (10.-13.05., JST, TKI)</t>
  </si>
  <si>
    <t>Inhaltliche Bewertung der durchgeführten Prüfung, Dokumentation der Ergebnisse in einem Loom-Video, Abstimmung (14.05., TKI)</t>
  </si>
  <si>
    <r>
      <t xml:space="preserve">5. Beratung &amp; Sonstiges </t>
    </r>
    <r>
      <rPr>
        <b/>
        <sz val="10"/>
        <color rgb="FFFF0000"/>
        <rFont val="Arial"/>
        <family val="2"/>
      </rPr>
      <t>// max. 1 TS inkl. Google Ads Prüfung</t>
    </r>
  </si>
  <si>
    <t>Erneute Detail-Durchsicht der Keyword-Analyse nach Priorisierung von Norma, Cluster sortieren und Sub-Cluster bilden, alle einzelnen Cluster nach Sinnhaftigkeit durchschauen, Abstimmung und Video-Dokumentation (12.05., TKI)</t>
  </si>
  <si>
    <t>Kurzanalyse der indexierten Unterseiten, Screaming-Frog-Crawl und Sortierung, Ermitteln von sehr ähnlichen Unterseiten (gegenseitiger Wettbewerb), Analyse einer beispielhaften Landingpage ("digitales Onboarding") unter Nutzung verschiedener Tools, Dokumentation der Erkenntnisse per Video, Abstimmung (13.05., TKI)</t>
  </si>
  <si>
    <t>Prüfung des Nicht-Rankings (technisch / inhaltlich), interne Abstimmung, Dokumentation von Einflussfaktoren anhand zahlreicher Tools, Konzeption der nächsten Schritte (21.-22.05., TKI)</t>
  </si>
  <si>
    <t>Finale Auswahl der Keyword-Cluster, letzte Anpassungen (21.05., TKI)</t>
  </si>
  <si>
    <t>Aufbereiten der Fakten und Screenshots als Präsentation, Vorbereitung des Workshops (22.05., TKI)</t>
  </si>
  <si>
    <t>Durchführung eines Workshops zur Präsentation der Website-Analyse, Klären von div. Fragen, Abstimmung und weitere Planung, von 14:00 bis 15:20 Uhr , anschließende Dokumentation und interne Abstimmung, 2 MA (22.05., TKI)</t>
  </si>
  <si>
    <t>Erneuter Crawl der Website mit Screamingfrog, Export der kompletten Seitenstruktur, Durchsicht aller Unterseiten und Blogartikel, Beschreibung und Sortierung, Dokumentation und Abstimmung der Ergebnisse (22.05., TKI)</t>
  </si>
  <si>
    <t>o. Berechnung</t>
  </si>
  <si>
    <t>Organisation, Planung, Überwachung und Steuerung der Aufgaben und Ressourcen (pro Tagessatz ca. 0,5 Std., TKI)</t>
  </si>
  <si>
    <t>Aufwand ca. insgesamt in Std.</t>
  </si>
  <si>
    <t>Aufwand in Tagessätzen</t>
  </si>
  <si>
    <t>2 Tagessätze</t>
  </si>
  <si>
    <t>Noch Rückfragen? Kontakt zur Thoxan Communications GmbH unter https://www.thoxan.com/kontakt</t>
  </si>
  <si>
    <t>WordPress-Update: Backup der Dateien und der Datenbank, umfassendes Update des WordPress-Systems sowie aller verwendeten Plugins, Funktionsprüfung, kl. Anpassungen im System, erneutes Backup nach Aktualisierung, Dokumentation und Abstimmung (10., 22.05., BKO, TKI)</t>
  </si>
  <si>
    <t>Technische Arbeiten: Prüfung und Testing über diverse Tools (Lighthouse, PageSpeed Insights, Seitwert, GT Metrix), Überarbeitung der .htaccess (Sicherheit erhöht, Weiterleitungen konfigurieren, Komprimierung optimieren, Cachingregeln überarbeiten), Einstellungen in RankMath optimieren, Robots.txt optimieren und Fehler beseitigen, Performanteres Caching Plugin installieren und einrichten, Alle Plugins prüfen und updaten, nicht mehr verwendete Plugins gelöscht, WordPress Einstellungen geprüft und angepasst (Gravatar deaktiviert, Kommentare und Pingback deaktiviert), zusätzliches Firewall Plugin installiert, WebP Bildkomprimierung installiert und eingerichtet, Plugin WP Statstics Einstellungen angepasst, so dass es auch mit dem Caching funktioniert, Kommentare administriert, Abstimmung und Dokumentation (10.-21.05., BKO)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</si>
</sst>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b/>
      <sz val="10"/>
      <color rgb="FFFF0000"/>
      <name val="Arial"/>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quotePrefix="1" applyFont="1" applyBorder="1" applyAlignment="1">
      <alignment vertical="top" wrapText="1"/>
    </xf>
    <xf numFmtId="0" fontId="5" fillId="3" borderId="2" xfId="0" applyFont="1" applyFill="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top" wrapText="1"/>
    </xf>
    <xf numFmtId="0" fontId="6" fillId="0" borderId="3" xfId="0" applyFont="1" applyBorder="1" applyAlignment="1">
      <alignment wrapText="1"/>
    </xf>
    <xf numFmtId="0" fontId="5" fillId="0" borderId="3" xfId="0" applyFont="1" applyBorder="1" applyAlignment="1">
      <alignment vertical="top"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8" fillId="2" borderId="4" xfId="0" applyFont="1" applyFill="1" applyBorder="1" applyAlignment="1">
      <alignment horizontal="center" vertical="center"/>
    </xf>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BA2E-0CF4-654A-945B-9AF2E24B6D56}">
  <dimension ref="A1:B991"/>
  <sheetViews>
    <sheetView tabSelected="1" zoomScale="180" zoomScaleNormal="180" workbookViewId="0">
      <pane ySplit="4" topLeftCell="A21" activePane="bottomLeft" state="frozen"/>
      <selection pane="bottomLeft" activeCell="B18" sqref="B18"/>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14" x14ac:dyDescent="0.2">
      <c r="A10" s="20" t="s">
        <v>6</v>
      </c>
      <c r="B10" s="21"/>
    </row>
    <row r="11" spans="1:2" s="11" customFormat="1" ht="15.75" customHeight="1" x14ac:dyDescent="0.2">
      <c r="A11" s="15" t="s">
        <v>4</v>
      </c>
      <c r="B11" s="16">
        <f>SUM(B10:B10)</f>
        <v>0</v>
      </c>
    </row>
    <row r="12" spans="1:2" s="11" customFormat="1" ht="15.75" customHeight="1" x14ac:dyDescent="0.2">
      <c r="A12" s="22"/>
      <c r="B12" s="23"/>
    </row>
    <row r="13" spans="1:2" s="10" customFormat="1" ht="15.75" customHeight="1" x14ac:dyDescent="0.15">
      <c r="A13" s="8" t="s">
        <v>8</v>
      </c>
      <c r="B13" s="14"/>
    </row>
    <row r="14" spans="1:2" s="11" customFormat="1" ht="42" x14ac:dyDescent="0.2">
      <c r="A14" s="13" t="s">
        <v>9</v>
      </c>
      <c r="B14" s="14">
        <v>2.5</v>
      </c>
    </row>
    <row r="15" spans="1:2" s="11" customFormat="1" ht="165" customHeight="1" x14ac:dyDescent="0.2">
      <c r="A15" s="13" t="s">
        <v>29</v>
      </c>
      <c r="B15" s="14">
        <v>4</v>
      </c>
    </row>
    <row r="16" spans="1:2" s="11" customFormat="1" ht="62" customHeight="1" x14ac:dyDescent="0.2">
      <c r="A16" s="13" t="s">
        <v>28</v>
      </c>
      <c r="B16" s="14">
        <v>2</v>
      </c>
    </row>
    <row r="17" spans="1:2" s="11" customFormat="1" ht="42" x14ac:dyDescent="0.2">
      <c r="A17" s="13" t="s">
        <v>10</v>
      </c>
      <c r="B17" s="14">
        <v>1</v>
      </c>
    </row>
    <row r="18" spans="1:2" s="11" customFormat="1" ht="15.75" customHeight="1" x14ac:dyDescent="0.2">
      <c r="A18" s="24" t="s">
        <v>4</v>
      </c>
      <c r="B18" s="25">
        <f>SUM(B13:B17)</f>
        <v>9.5</v>
      </c>
    </row>
    <row r="19" spans="1:2" s="11" customFormat="1" ht="15.75" customHeight="1" x14ac:dyDescent="0.2">
      <c r="A19" s="26"/>
      <c r="B19" s="14"/>
    </row>
    <row r="20" spans="1:2" s="11" customFormat="1" ht="15.75" customHeight="1" x14ac:dyDescent="0.2">
      <c r="A20" s="8" t="s">
        <v>11</v>
      </c>
      <c r="B20" s="14"/>
    </row>
    <row r="21" spans="1:2" s="11" customFormat="1" ht="70" x14ac:dyDescent="0.2">
      <c r="A21" s="27" t="s">
        <v>12</v>
      </c>
      <c r="B21" s="14">
        <v>2</v>
      </c>
    </row>
    <row r="22" spans="1:2" s="11" customFormat="1" ht="28" x14ac:dyDescent="0.2">
      <c r="A22" s="27" t="s">
        <v>13</v>
      </c>
      <c r="B22" s="14">
        <v>0.5</v>
      </c>
    </row>
    <row r="23" spans="1:2" s="11" customFormat="1" ht="15.75" customHeight="1" x14ac:dyDescent="0.2">
      <c r="A23" s="15" t="s">
        <v>4</v>
      </c>
      <c r="B23" s="16">
        <f>SUM(B21:B22)</f>
        <v>2.5</v>
      </c>
    </row>
    <row r="24" spans="1:2" s="11" customFormat="1" ht="15.75" customHeight="1" x14ac:dyDescent="0.2">
      <c r="A24" s="28"/>
      <c r="B24" s="18"/>
    </row>
    <row r="25" spans="1:2" s="11" customFormat="1" ht="15.75" customHeight="1" x14ac:dyDescent="0.2">
      <c r="A25" s="19" t="s">
        <v>14</v>
      </c>
      <c r="B25" s="18"/>
    </row>
    <row r="26" spans="1:2" s="11" customFormat="1" ht="56" x14ac:dyDescent="0.2">
      <c r="A26" s="29" t="s">
        <v>15</v>
      </c>
      <c r="B26" s="18">
        <v>1.25</v>
      </c>
    </row>
    <row r="27" spans="1:2" s="11" customFormat="1" ht="70" x14ac:dyDescent="0.2">
      <c r="A27" s="29" t="s">
        <v>16</v>
      </c>
      <c r="B27" s="18">
        <v>1</v>
      </c>
    </row>
    <row r="28" spans="1:2" s="11" customFormat="1" ht="42" x14ac:dyDescent="0.2">
      <c r="A28" s="29" t="s">
        <v>17</v>
      </c>
      <c r="B28" s="18">
        <v>2</v>
      </c>
    </row>
    <row r="29" spans="1:2" s="11" customFormat="1" ht="14" x14ac:dyDescent="0.2">
      <c r="A29" s="29" t="s">
        <v>18</v>
      </c>
      <c r="B29" s="18">
        <v>0.5</v>
      </c>
    </row>
    <row r="30" spans="1:2" s="11" customFormat="1" ht="28" x14ac:dyDescent="0.2">
      <c r="A30" s="29" t="s">
        <v>19</v>
      </c>
      <c r="B30" s="18">
        <v>1</v>
      </c>
    </row>
    <row r="31" spans="1:2" s="11" customFormat="1" ht="56" x14ac:dyDescent="0.2">
      <c r="A31" s="29" t="s">
        <v>20</v>
      </c>
      <c r="B31" s="18">
        <v>1</v>
      </c>
    </row>
    <row r="32" spans="1:2" s="11" customFormat="1" ht="56" x14ac:dyDescent="0.2">
      <c r="A32" s="29" t="s">
        <v>21</v>
      </c>
      <c r="B32" s="18" t="s">
        <v>22</v>
      </c>
    </row>
    <row r="33" spans="1:2" s="11" customFormat="1" ht="28" x14ac:dyDescent="0.2">
      <c r="A33" s="29" t="s">
        <v>23</v>
      </c>
      <c r="B33" s="18">
        <v>0.25</v>
      </c>
    </row>
    <row r="34" spans="1:2" s="11" customFormat="1" ht="15.75" customHeight="1" x14ac:dyDescent="0.2">
      <c r="A34" s="15" t="s">
        <v>4</v>
      </c>
      <c r="B34" s="16">
        <f>SUM(B26:B33)</f>
        <v>7</v>
      </c>
    </row>
    <row r="35" spans="1:2" s="11" customFormat="1" ht="15.75" customHeight="1" x14ac:dyDescent="0.2">
      <c r="A35" s="22"/>
      <c r="B35" s="18"/>
    </row>
    <row r="36" spans="1:2" s="11" customFormat="1" ht="16.5" customHeight="1" thickBot="1" x14ac:dyDescent="0.25">
      <c r="A36" s="30" t="s">
        <v>24</v>
      </c>
      <c r="B36" s="31">
        <f>SUM(B7+B11+B18+B23+B34)</f>
        <v>19</v>
      </c>
    </row>
    <row r="37" spans="1:2" s="11" customFormat="1" ht="16.5" customHeight="1" thickBot="1" x14ac:dyDescent="0.25">
      <c r="A37" s="30" t="s">
        <v>25</v>
      </c>
      <c r="B37" s="32" t="s">
        <v>26</v>
      </c>
    </row>
    <row r="38" spans="1:2" ht="15.75" customHeight="1" x14ac:dyDescent="0.2">
      <c r="A38" s="10"/>
      <c r="B38" s="10"/>
    </row>
    <row r="39" spans="1:2" ht="15.75" customHeight="1" x14ac:dyDescent="0.2">
      <c r="A39" s="33" t="s">
        <v>27</v>
      </c>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sheetData>
  <hyperlinks>
    <hyperlink ref="A39" r:id="rId1" display="https://www.thoxan.com/kontakt/" xr:uid="{9F4E479E-98A5-194F-95DB-5DB1A424DD9C}"/>
    <hyperlink ref="A2" r:id="rId2" xr:uid="{36014043-F63E-5F43-904C-D1DB9E388248}"/>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2024-05-24T12:13:57Z</dcterms:created>
  <dcterms:modified xsi:type="dcterms:W3CDTF">2024-05-24T12:22:57Z</dcterms:modified>
</cp:coreProperties>
</file>