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13BC0585-6ABA-0043-AA52-3E42F479A8BA}" xr6:coauthVersionLast="47" xr6:coauthVersionMax="47" xr10:uidLastSave="{00000000-0000-0000-0000-000000000000}"/>
  <bookViews>
    <workbookView xWindow="14560" yWindow="520" windowWidth="38960" windowHeight="26400" xr2:uid="{C02D0E0D-249C-8648-BB71-3CC5081F4E6A}"/>
  </bookViews>
  <sheets>
    <sheet name="GR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B50" i="1"/>
  <c r="B46" i="1"/>
  <c r="B34" i="1"/>
  <c r="B23" i="1"/>
  <c r="B11" i="1"/>
  <c r="B7" i="1"/>
  <c r="B52" i="1" l="1"/>
</calcChain>
</file>

<file path=xl/sharedStrings.xml><?xml version="1.0" encoding="utf-8"?>
<sst xmlns="http://schemas.openxmlformats.org/spreadsheetml/2006/main" count="58" uniqueCount="50">
  <si>
    <t>Grow Andre Rasche Consulting GmbH</t>
  </si>
  <si>
    <t>Website-Relaunch</t>
  </si>
  <si>
    <t>https://www.andrerasche.de</t>
  </si>
  <si>
    <t>BioKat Systeme</t>
  </si>
  <si>
    <t>https://www.bio-kat.de</t>
  </si>
  <si>
    <t>Aufwand ca. in Std.</t>
  </si>
  <si>
    <t>1. Redaktionelle Pflege</t>
  </si>
  <si>
    <r>
      <t xml:space="preserve">Redaktionellen Pflege </t>
    </r>
    <r>
      <rPr>
        <b/>
        <sz val="10"/>
        <color theme="1"/>
        <rFont val="Arial"/>
        <family val="2"/>
      </rPr>
      <t xml:space="preserve">Grow-Website </t>
    </r>
    <r>
      <rPr>
        <sz val="10"/>
        <color theme="1"/>
        <rFont val="Arial"/>
        <family val="2"/>
      </rPr>
      <t>in WordPress, Bildbearbeitung, div. Elemente, Zuarbeit oder Übernahme kompletter Bereiche (18.-30.11., BKO, RBO, TKI)</t>
    </r>
  </si>
  <si>
    <t>2. Online-Gang</t>
  </si>
  <si>
    <r>
      <rPr>
        <b/>
        <sz val="10"/>
        <color theme="1"/>
        <rFont val="Arial"/>
        <family val="2"/>
      </rPr>
      <t xml:space="preserve">Grow-Website: </t>
    </r>
    <r>
      <rPr>
        <sz val="10"/>
        <color theme="1"/>
        <rFont val="Arial"/>
        <family val="2"/>
      </rPr>
      <t>Finale Prüfung und letzte Anpassungen an der neuen Website, Servereinstellungen anpassen, Redirects eintragen, Technische Einstellungen beim und nach dem Onlinegang, Umsetzung der bewährten Thoxan Website-Checkliste, Absprachen und Dokumentation (03.12., BKO, TKI)</t>
    </r>
  </si>
  <si>
    <t>3. Zusätzliche Arbeiten nach Aufwand (bio-kat.de)</t>
  </si>
  <si>
    <t>Domainbestellung und Redirect »biokat.de«, SSL Einrichtung und Monitoring der Klicks (11.09., BKO)</t>
  </si>
  <si>
    <t>Kurze Recherche, Texterstellung für 18 Seitentitel und 18 Meta-Descriptions aller Unterseiten und Produkte auf bio-kat.de, Einpflegen ins System, kl. Anpassungen und Dokumentation, Indexierung beantragt und Prüfung der Ergebnisse nach Verarbeitung in der Search Console (17.-30.09., TKI)</t>
  </si>
  <si>
    <t>Einrichtung von Google Analytics 4 und Website-Integration mithilfe des Google Tag Managers, Ereignisse aus dem Google Tag Manager importieren, um Aktionen auf der Website nachverfolgen zu können, Conversions in der neuen Google Analytics 4 Property einrichten, kl. Anpassungen und Dokumentation (20.09.-08.10., JST, BKO, TKI)</t>
  </si>
  <si>
    <t>Tag Manager über Borlabs einbinden (20.09., BKO)</t>
  </si>
  <si>
    <t>Conversion-Tracking (Einrichtung): Abstimmung und Website-Recherche, technische Einrichtung des Conversion-Trackings mittels Google Tag Manager zur Messung verschiedener Conversion-Ziele lt. Konzeption und Absprache, Verbindung zu Google Analytics herstellen, Funktionsprüfung und Dokumentation (20.09.-08.10., JST, TKI)</t>
  </si>
  <si>
    <t>Buttontext für Merkliste Abschicken angepasst / zusätzlich englische Übersetzung (23.09., BKO)</t>
  </si>
  <si>
    <t>Abstimmung, Jobs als Custom Post Type inkl. Aufbau und Übertragung von Inhalten, Dokumentation (02.10., BKO)</t>
  </si>
  <si>
    <t>Einrichtung einer Danke-Seite fürs Conversion-Tracking, Anleitung für Paypal, Abstimmung und Dokumentation (02.10., BKO)</t>
  </si>
  <si>
    <t>Weitere Organisation, Planung, Überwachung und Steuerung der Aufgaben und Ressourcen (fortlaufende Arbeiten, pro Tagessatz ca. 0,5 Std.) (11.09.-02.10., TKI)</t>
  </si>
  <si>
    <t>4. Redaktionelle Arbeiten, Positionierung, Lektorat (grow-medical.de)</t>
  </si>
  <si>
    <t>Vorbereitung und virtuelle Abstimmung zur Positionierung der neuen grow-medical.de Website, Klärung von div. Fragen 16:15-17:00 Uhr, anschließend Dokumentation und interne Abstimmung für die nächsten Maßnahmen (25.09., TKI)</t>
  </si>
  <si>
    <t>Textüberarbeitung "Bioresonanz für Therapeuten": Abstimmung und Planung der Arbeiten, Durchsicht der Änderungswünsche, Inhaltliche Bearbeitung des Textes inkl. Umsetzung möglicher Ergänzungen (ggf. Umstrukturierung oder Texterweiterung), Durchsicht und finale Bearbeitung, interne/externe Kommunikation, Dokumentation (11.-22.10., GBO, TKI)</t>
  </si>
  <si>
    <t>Vorbereitung und virtuelle Abstimmung zu den Textarbeiten bei grow-medical.de, Klärung von div. Fragen 16:00-16:40 Uhr, anschließend Dokumentation und interne Abstimmung für die nächsten Maßnahmen (30.10., TKI)</t>
  </si>
  <si>
    <t>Textüberarbeitung "Startseite": Kurze Abstimmung und Durchsicht der von Karolin gelieferten Texte, Inhaltliche Bearbeitung des Textes inkl. Umsetzung möglicher Ergänzungen (ggf. Umstrukturierung oder Texterweiterung), Durchsicht und finale Bearbeitung, Dokumentation (04.11., TKI)</t>
  </si>
  <si>
    <t>Durchsicht geänderter und neuer Texte, kurze Vorbereitung, telefonische Abstimmung zur weiteren Vorgehensweise, Klären von Fragen, Zeit- und Maßnahmenplanung, anschließend interne Abstimmung und Dokumentation (11.11., TKI)</t>
  </si>
  <si>
    <t>Finale Textarbeiten für Startseite, Bioresonanz, M V, Sports, Über uns, Andre Rasche Unterseite, Karriere, Kontakt, etc., Abstimmung der finalen Dateien, Ticket-Management, Vorbereitung zum Einpflegen der Texte auf der neuen Website (14.11., TKI)</t>
  </si>
  <si>
    <t>Finale Textarbeiten im Bereich Magnetfeldtherapie, Life Tuner Unterseite, Über Andre Rasche, etc., Abstimmung der finalen Dateien, Ticket-Management, Vorbereitung zum Einpflegen der Texte auf der neuen Website (18.11., TKI)</t>
  </si>
  <si>
    <t>Weitere Organisation, Planung, Überwachung und Steuerung der Aufgaben und Ressourcen (fortlaufende Arbeiten, pro Tagessatz ca. 0,5 Std.) (25.09.-18.11., TKI)</t>
  </si>
  <si>
    <t>5. Zusätzliche Arbeiten nach Aufwand (grow-medical.de)</t>
  </si>
  <si>
    <t>Abstimmung wegen Bildmaterial, Sichtung Canva-Fotos, Prüfen der Lizenzbedingungen, Klärung und Download gelieferter Fotos (19.11., TKI)</t>
  </si>
  <si>
    <t>Zusatzaufwand: PayPal Integration optimieren mittels eigenen Skripten für eine autarke Lösung, optische Anpassung, zwei Bestellvarianten (20.11., BKO)</t>
  </si>
  <si>
    <t>Broschüren-Formular einrichten, Bestellfunktionalität (27.11., BKO)</t>
  </si>
  <si>
    <t>Anpassung wegen doppelter Paypal-Nutzung auf Unterseite (28.11., BKO)</t>
  </si>
  <si>
    <t>Siegel Back Forest anpassen (02.12., BKO)</t>
  </si>
  <si>
    <t>Kurze Recherche, Texterstellung für 29 Seitentitel und 29 Meta-Descriptions aller Unterseiten und Produkte auf grow-medical.de auf Basis der BioKat-Vorlagen, Einpflegen ins System, kl. Anpassungen und Dokumentation, Indexierung beantragt und Prüfung der Ergebnisse nach Verarbeitung in der Search Console (03.12., TKI)</t>
  </si>
  <si>
    <t>Einrichtung von Google Analytics 4 und Website-Integration mithilfe des Google Tag Managers, Ereignisse aus dem Google Tag Manager importieren, um Aktionen auf der Website nachverfolgen zu können, Conversions in der neuen Google Analytics 4 Property einrichten, kl. Anpassungen und Dokumentation (03-06.12., JST, BKO, TKI)</t>
  </si>
  <si>
    <t>Conversion-Tracking (Einrichtung): Abstimmung und Website-Recherche, technische Einrichtung des Conversion-Trackings mittels Google Tag Manager zur Messung verschiedener Conversion-Ziele lt. Konzeption und Absprache, Verbindung zu Google Analytics herstellen, Funktionsprüfung und Dokumentation (03-06.12., JST, BKO, TKI)</t>
  </si>
  <si>
    <t>Weitere Organisation, Planung, Überwachung und Steuerung der Aufgaben und Ressourcen (fortlaufende Arbeiten, pro Tagessatz ca. 0,5 Std.) (11.09.-30.11., TKI)</t>
  </si>
  <si>
    <t>4. Beratung &amp; Sonstiges</t>
  </si>
  <si>
    <r>
      <t xml:space="preserve">Projektmanagement Website-Relaunch </t>
    </r>
    <r>
      <rPr>
        <b/>
        <sz val="10"/>
        <color theme="1"/>
        <rFont val="Arial"/>
        <family val="2"/>
      </rPr>
      <t>GROW</t>
    </r>
    <r>
      <rPr>
        <sz val="10"/>
        <color theme="1"/>
        <rFont val="Arial"/>
        <family val="2"/>
      </rPr>
      <t>: Besprechungen (auch interne
Absprachen), Präsentationen, Abstimmungen, Dokumentation</t>
    </r>
  </si>
  <si>
    <t>Aufwand ca. insgesamt in Std.</t>
  </si>
  <si>
    <t>Aufwand in Tagessätzen</t>
  </si>
  <si>
    <t>8,5 Tagessätze</t>
  </si>
  <si>
    <t>Noch Rückfragen? Kontakt zur Thoxan Communications GmbH unter https://www.thoxan.com/kontakt</t>
  </si>
  <si>
    <t>2,5 TS</t>
  </si>
  <si>
    <t>1 TS</t>
  </si>
  <si>
    <t>1,5 TS</t>
  </si>
  <si>
    <t>0,5 TS</t>
  </si>
  <si>
    <t>8,5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</si>
</sst>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4" fillId="0" borderId="0" xfId="1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wrapText="1"/>
      <protection locked="0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164" fontId="7" fillId="0" borderId="0" xfId="0" applyNumberFormat="1" applyFont="1"/>
    <xf numFmtId="164" fontId="5" fillId="0" borderId="0" xfId="0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o-kat.de/" TargetMode="External"/><Relationship Id="rId2" Type="http://schemas.openxmlformats.org/officeDocument/2006/relationships/hyperlink" Target="https://www.andrerasche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56DD-CA18-7543-9A24-F9AC749B02D5}">
  <dimension ref="A1:E1007"/>
  <sheetViews>
    <sheetView tabSelected="1" zoomScale="150" zoomScaleNormal="150" workbookViewId="0">
      <pane ySplit="4" topLeftCell="A37" activePane="bottomLeft" state="frozen"/>
      <selection pane="bottomLeft" activeCell="B49" sqref="B49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  <col min="5" max="5" width="11.1640625" style="30"/>
  </cols>
  <sheetData>
    <row r="1" spans="1:5" ht="21" customHeight="1" x14ac:dyDescent="0.2">
      <c r="A1" s="1" t="s">
        <v>0</v>
      </c>
      <c r="B1" s="2" t="s">
        <v>1</v>
      </c>
    </row>
    <row r="2" spans="1:5" ht="15.75" customHeight="1" x14ac:dyDescent="0.2">
      <c r="A2" s="4" t="s">
        <v>2</v>
      </c>
      <c r="B2" s="5" t="s">
        <v>3</v>
      </c>
    </row>
    <row r="3" spans="1:5" ht="15.75" customHeight="1" x14ac:dyDescent="0.2">
      <c r="A3" s="7" t="s">
        <v>4</v>
      </c>
      <c r="B3" s="6"/>
    </row>
    <row r="4" spans="1:5" s="11" customFormat="1" ht="15.75" customHeight="1" x14ac:dyDescent="0.2">
      <c r="A4" s="8"/>
      <c r="B4" s="9" t="s">
        <v>5</v>
      </c>
      <c r="E4" s="31"/>
    </row>
    <row r="5" spans="1:5" s="10" customFormat="1" ht="15.75" customHeight="1" x14ac:dyDescent="0.15">
      <c r="A5" s="8" t="s">
        <v>6</v>
      </c>
      <c r="B5" s="12"/>
      <c r="E5" s="32"/>
    </row>
    <row r="6" spans="1:5" s="11" customFormat="1" ht="42" x14ac:dyDescent="0.2">
      <c r="A6" s="14" t="s">
        <v>7</v>
      </c>
      <c r="B6" s="12">
        <v>22.5</v>
      </c>
      <c r="E6" s="31"/>
    </row>
    <row r="7" spans="1:5" s="11" customFormat="1" ht="15.75" customHeight="1" x14ac:dyDescent="0.2">
      <c r="A7" s="15" t="s">
        <v>5</v>
      </c>
      <c r="B7" s="16">
        <f>SUM(B5:B6)</f>
        <v>22.5</v>
      </c>
      <c r="D7" s="11" t="s">
        <v>45</v>
      </c>
      <c r="E7" s="31">
        <v>3500</v>
      </c>
    </row>
    <row r="8" spans="1:5" s="11" customFormat="1" ht="15.75" customHeight="1" x14ac:dyDescent="0.2">
      <c r="A8" s="18"/>
      <c r="B8" s="12"/>
      <c r="E8" s="31"/>
    </row>
    <row r="9" spans="1:5" s="11" customFormat="1" ht="15.75" customHeight="1" x14ac:dyDescent="0.2">
      <c r="A9" s="8" t="s">
        <v>8</v>
      </c>
      <c r="B9" s="12"/>
      <c r="E9" s="31"/>
    </row>
    <row r="10" spans="1:5" s="11" customFormat="1" ht="70" x14ac:dyDescent="0.2">
      <c r="A10" s="14" t="s">
        <v>9</v>
      </c>
      <c r="B10" s="12">
        <v>9</v>
      </c>
      <c r="E10" s="31"/>
    </row>
    <row r="11" spans="1:5" s="11" customFormat="1" ht="15.75" customHeight="1" x14ac:dyDescent="0.2">
      <c r="A11" s="15" t="s">
        <v>5</v>
      </c>
      <c r="B11" s="17">
        <f>SUM(B10:B10)</f>
        <v>9</v>
      </c>
      <c r="D11" s="11" t="s">
        <v>46</v>
      </c>
      <c r="E11" s="31">
        <v>1400</v>
      </c>
    </row>
    <row r="12" spans="1:5" s="11" customFormat="1" ht="15.75" customHeight="1" x14ac:dyDescent="0.2">
      <c r="A12" s="20"/>
      <c r="B12" s="12"/>
      <c r="E12" s="31"/>
    </row>
    <row r="13" spans="1:5" s="11" customFormat="1" ht="15.75" customHeight="1" x14ac:dyDescent="0.2">
      <c r="A13" s="8" t="s">
        <v>10</v>
      </c>
      <c r="B13" s="12"/>
      <c r="E13" s="31"/>
    </row>
    <row r="14" spans="1:5" s="11" customFormat="1" ht="28" x14ac:dyDescent="0.2">
      <c r="A14" s="21" t="s">
        <v>11</v>
      </c>
      <c r="B14" s="12">
        <v>1</v>
      </c>
      <c r="E14" s="31"/>
    </row>
    <row r="15" spans="1:5" s="11" customFormat="1" ht="70" x14ac:dyDescent="0.2">
      <c r="A15" s="21" t="s">
        <v>12</v>
      </c>
      <c r="B15" s="12">
        <v>2</v>
      </c>
      <c r="E15" s="31"/>
    </row>
    <row r="16" spans="1:5" s="11" customFormat="1" ht="70" x14ac:dyDescent="0.2">
      <c r="A16" s="22" t="s">
        <v>13</v>
      </c>
      <c r="B16" s="19">
        <v>3</v>
      </c>
      <c r="E16" s="31"/>
    </row>
    <row r="17" spans="1:5" s="11" customFormat="1" ht="14" x14ac:dyDescent="0.2">
      <c r="A17" s="21" t="s">
        <v>14</v>
      </c>
      <c r="B17" s="12">
        <v>0.5</v>
      </c>
      <c r="E17" s="31"/>
    </row>
    <row r="18" spans="1:5" s="11" customFormat="1" ht="84" x14ac:dyDescent="0.2">
      <c r="A18" s="22" t="s">
        <v>15</v>
      </c>
      <c r="B18" s="19">
        <v>2.5</v>
      </c>
      <c r="E18" s="31"/>
    </row>
    <row r="19" spans="1:5" s="11" customFormat="1" ht="28" x14ac:dyDescent="0.2">
      <c r="A19" s="21" t="s">
        <v>16</v>
      </c>
      <c r="B19" s="12">
        <v>0.25</v>
      </c>
      <c r="E19" s="31"/>
    </row>
    <row r="20" spans="1:5" s="11" customFormat="1" ht="28" x14ac:dyDescent="0.2">
      <c r="A20" s="21" t="s">
        <v>17</v>
      </c>
      <c r="B20" s="12">
        <v>3</v>
      </c>
      <c r="E20" s="31"/>
    </row>
    <row r="21" spans="1:5" s="11" customFormat="1" ht="28" x14ac:dyDescent="0.2">
      <c r="A21" s="21" t="s">
        <v>18</v>
      </c>
      <c r="B21" s="12">
        <v>0.75</v>
      </c>
      <c r="E21" s="31"/>
    </row>
    <row r="22" spans="1:5" s="11" customFormat="1" ht="42" x14ac:dyDescent="0.2">
      <c r="A22" s="21" t="s">
        <v>19</v>
      </c>
      <c r="B22" s="12">
        <v>0.75</v>
      </c>
      <c r="E22" s="31"/>
    </row>
    <row r="23" spans="1:5" s="11" customFormat="1" ht="15.75" customHeight="1" x14ac:dyDescent="0.2">
      <c r="A23" s="15" t="s">
        <v>5</v>
      </c>
      <c r="B23" s="16">
        <f>SUM(B14:B22)</f>
        <v>13.75</v>
      </c>
      <c r="D23" s="11" t="s">
        <v>47</v>
      </c>
      <c r="E23" s="31">
        <v>2100</v>
      </c>
    </row>
    <row r="24" spans="1:5" s="11" customFormat="1" ht="15.75" customHeight="1" x14ac:dyDescent="0.2">
      <c r="A24" s="20"/>
      <c r="B24" s="12"/>
      <c r="E24" s="31"/>
    </row>
    <row r="25" spans="1:5" s="11" customFormat="1" ht="15.75" customHeight="1" x14ac:dyDescent="0.2">
      <c r="A25" s="8" t="s">
        <v>20</v>
      </c>
      <c r="B25" s="12"/>
      <c r="E25" s="31"/>
    </row>
    <row r="26" spans="1:5" s="11" customFormat="1" ht="56" x14ac:dyDescent="0.2">
      <c r="A26" s="21" t="s">
        <v>21</v>
      </c>
      <c r="B26" s="12">
        <v>1</v>
      </c>
      <c r="E26" s="31"/>
    </row>
    <row r="27" spans="1:5" s="11" customFormat="1" ht="72" customHeight="1" x14ac:dyDescent="0.2">
      <c r="A27" s="24" t="s">
        <v>22</v>
      </c>
      <c r="B27" s="23">
        <v>3.25</v>
      </c>
      <c r="E27" s="31"/>
    </row>
    <row r="28" spans="1:5" s="11" customFormat="1" ht="56" x14ac:dyDescent="0.2">
      <c r="A28" s="21" t="s">
        <v>23</v>
      </c>
      <c r="B28" s="12">
        <v>0.75</v>
      </c>
      <c r="E28" s="31"/>
    </row>
    <row r="29" spans="1:5" s="11" customFormat="1" ht="70" x14ac:dyDescent="0.2">
      <c r="A29" s="21" t="s">
        <v>24</v>
      </c>
      <c r="B29" s="12">
        <v>1.25</v>
      </c>
      <c r="E29" s="31"/>
    </row>
    <row r="30" spans="1:5" s="11" customFormat="1" ht="56" x14ac:dyDescent="0.2">
      <c r="A30" s="21" t="s">
        <v>25</v>
      </c>
      <c r="B30" s="12">
        <v>0.75</v>
      </c>
      <c r="E30" s="31"/>
    </row>
    <row r="31" spans="1:5" s="11" customFormat="1" ht="56" x14ac:dyDescent="0.2">
      <c r="A31" s="21" t="s">
        <v>26</v>
      </c>
      <c r="B31" s="12">
        <v>3</v>
      </c>
      <c r="E31" s="31"/>
    </row>
    <row r="32" spans="1:5" s="11" customFormat="1" ht="56" x14ac:dyDescent="0.2">
      <c r="A32" s="21" t="s">
        <v>27</v>
      </c>
      <c r="B32" s="12">
        <v>1.5</v>
      </c>
      <c r="E32" s="31"/>
    </row>
    <row r="33" spans="1:5" s="11" customFormat="1" ht="42" x14ac:dyDescent="0.2">
      <c r="A33" s="21" t="s">
        <v>28</v>
      </c>
      <c r="B33" s="12">
        <v>0.75</v>
      </c>
      <c r="E33" s="31"/>
    </row>
    <row r="34" spans="1:5" s="11" customFormat="1" ht="15.75" customHeight="1" x14ac:dyDescent="0.2">
      <c r="A34" s="15" t="s">
        <v>5</v>
      </c>
      <c r="B34" s="16">
        <f>SUM(B26:B33)</f>
        <v>12.25</v>
      </c>
      <c r="D34" s="11" t="s">
        <v>47</v>
      </c>
      <c r="E34" s="31">
        <v>2100</v>
      </c>
    </row>
    <row r="35" spans="1:5" s="11" customFormat="1" ht="15.75" customHeight="1" x14ac:dyDescent="0.2">
      <c r="A35" s="20"/>
      <c r="B35" s="12"/>
      <c r="E35" s="31"/>
    </row>
    <row r="36" spans="1:5" s="11" customFormat="1" ht="15.75" customHeight="1" x14ac:dyDescent="0.2">
      <c r="A36" s="8" t="s">
        <v>29</v>
      </c>
      <c r="B36" s="12"/>
      <c r="E36" s="31"/>
    </row>
    <row r="37" spans="1:5" s="11" customFormat="1" ht="42" x14ac:dyDescent="0.2">
      <c r="A37" s="21" t="s">
        <v>30</v>
      </c>
      <c r="B37" s="12">
        <v>0.75</v>
      </c>
      <c r="E37" s="31"/>
    </row>
    <row r="38" spans="1:5" s="11" customFormat="1" ht="42" x14ac:dyDescent="0.2">
      <c r="A38" s="14" t="s">
        <v>31</v>
      </c>
      <c r="B38" s="12">
        <v>3</v>
      </c>
      <c r="E38" s="31"/>
    </row>
    <row r="39" spans="1:5" s="11" customFormat="1" ht="14" x14ac:dyDescent="0.2">
      <c r="A39" s="21" t="s">
        <v>32</v>
      </c>
      <c r="B39" s="12">
        <v>1</v>
      </c>
      <c r="E39" s="31"/>
    </row>
    <row r="40" spans="1:5" s="11" customFormat="1" ht="28" x14ac:dyDescent="0.2">
      <c r="A40" s="21" t="s">
        <v>33</v>
      </c>
      <c r="B40" s="12">
        <v>1</v>
      </c>
      <c r="E40" s="31"/>
    </row>
    <row r="41" spans="1:5" s="11" customFormat="1" ht="14" x14ac:dyDescent="0.2">
      <c r="A41" s="21" t="s">
        <v>34</v>
      </c>
      <c r="B41" s="12">
        <v>0.25</v>
      </c>
      <c r="E41" s="31"/>
    </row>
    <row r="42" spans="1:5" s="11" customFormat="1" ht="70" x14ac:dyDescent="0.2">
      <c r="A42" s="21" t="s">
        <v>35</v>
      </c>
      <c r="B42" s="12">
        <v>1</v>
      </c>
      <c r="E42" s="31"/>
    </row>
    <row r="43" spans="1:5" s="11" customFormat="1" ht="70" x14ac:dyDescent="0.2">
      <c r="A43" s="22" t="s">
        <v>36</v>
      </c>
      <c r="B43" s="19">
        <v>2</v>
      </c>
      <c r="E43" s="31"/>
    </row>
    <row r="44" spans="1:5" s="11" customFormat="1" ht="84" x14ac:dyDescent="0.2">
      <c r="A44" s="22" t="s">
        <v>37</v>
      </c>
      <c r="B44" s="19">
        <v>3</v>
      </c>
      <c r="E44" s="31"/>
    </row>
    <row r="45" spans="1:5" s="11" customFormat="1" ht="42" x14ac:dyDescent="0.2">
      <c r="A45" s="21" t="s">
        <v>38</v>
      </c>
      <c r="B45" s="12">
        <v>0.75</v>
      </c>
      <c r="E45" s="31"/>
    </row>
    <row r="46" spans="1:5" s="11" customFormat="1" ht="15.75" customHeight="1" x14ac:dyDescent="0.2">
      <c r="A46" s="15" t="s">
        <v>5</v>
      </c>
      <c r="B46" s="16">
        <f>SUM(B37:B45)</f>
        <v>12.75</v>
      </c>
      <c r="D46" s="11" t="s">
        <v>47</v>
      </c>
      <c r="E46" s="31">
        <v>2100</v>
      </c>
    </row>
    <row r="47" spans="1:5" s="11" customFormat="1" ht="15.75" customHeight="1" x14ac:dyDescent="0.2">
      <c r="A47" s="20"/>
      <c r="B47" s="12"/>
      <c r="E47" s="31"/>
    </row>
    <row r="48" spans="1:5" s="11" customFormat="1" ht="15.75" customHeight="1" x14ac:dyDescent="0.2">
      <c r="A48" s="8" t="s">
        <v>39</v>
      </c>
      <c r="B48" s="12"/>
      <c r="E48" s="31"/>
    </row>
    <row r="49" spans="1:5" s="11" customFormat="1" ht="42" x14ac:dyDescent="0.2">
      <c r="A49" s="21" t="s">
        <v>40</v>
      </c>
      <c r="B49" s="13">
        <v>4.5</v>
      </c>
      <c r="E49" s="31"/>
    </row>
    <row r="50" spans="1:5" s="11" customFormat="1" ht="15.75" customHeight="1" x14ac:dyDescent="0.2">
      <c r="A50" s="25" t="s">
        <v>5</v>
      </c>
      <c r="B50" s="17">
        <f>SUM(B49:B49)</f>
        <v>4.5</v>
      </c>
      <c r="D50" s="11" t="s">
        <v>48</v>
      </c>
      <c r="E50" s="31">
        <v>950</v>
      </c>
    </row>
    <row r="51" spans="1:5" s="11" customFormat="1" ht="15.75" customHeight="1" x14ac:dyDescent="0.2">
      <c r="A51" s="26"/>
      <c r="B51" s="13"/>
      <c r="E51" s="31"/>
    </row>
    <row r="52" spans="1:5" s="11" customFormat="1" ht="16.5" customHeight="1" thickBot="1" x14ac:dyDescent="0.25">
      <c r="A52" s="27" t="s">
        <v>41</v>
      </c>
      <c r="B52" s="28">
        <f>SUM(B7+B11+B23+B34+B46+B50)</f>
        <v>74.75</v>
      </c>
      <c r="E52" s="31"/>
    </row>
    <row r="53" spans="1:5" s="11" customFormat="1" ht="16.5" customHeight="1" thickBot="1" x14ac:dyDescent="0.25">
      <c r="A53" s="27" t="s">
        <v>42</v>
      </c>
      <c r="B53" s="28" t="s">
        <v>43</v>
      </c>
      <c r="D53" s="11" t="s">
        <v>49</v>
      </c>
      <c r="E53" s="31">
        <f>SUM(E6:E52)</f>
        <v>12150</v>
      </c>
    </row>
    <row r="54" spans="1:5" ht="15.75" customHeight="1" x14ac:dyDescent="0.2">
      <c r="A54" s="10"/>
      <c r="B54" s="10"/>
    </row>
    <row r="55" spans="1:5" ht="15.75" customHeight="1" x14ac:dyDescent="0.2">
      <c r="A55" s="29" t="s">
        <v>44</v>
      </c>
      <c r="B55" s="10"/>
    </row>
    <row r="56" spans="1:5" ht="15.75" customHeight="1" x14ac:dyDescent="0.2">
      <c r="A56" s="10"/>
      <c r="B56" s="10"/>
    </row>
    <row r="57" spans="1:5" ht="15.75" customHeight="1" x14ac:dyDescent="0.2">
      <c r="A57" s="10"/>
      <c r="B57" s="10"/>
    </row>
    <row r="58" spans="1:5" ht="15.75" customHeight="1" x14ac:dyDescent="0.2">
      <c r="A58" s="10"/>
      <c r="B58" s="10"/>
    </row>
    <row r="59" spans="1:5" ht="15.75" customHeight="1" x14ac:dyDescent="0.2">
      <c r="A59" s="10"/>
      <c r="B59" s="10"/>
    </row>
    <row r="60" spans="1:5" ht="15.75" customHeight="1" x14ac:dyDescent="0.2">
      <c r="A60" s="10"/>
      <c r="B60" s="10"/>
    </row>
    <row r="61" spans="1:5" ht="15.75" customHeight="1" x14ac:dyDescent="0.2">
      <c r="A61" s="10"/>
      <c r="B61" s="10"/>
    </row>
    <row r="62" spans="1:5" ht="15.75" customHeight="1" x14ac:dyDescent="0.2">
      <c r="A62" s="10"/>
      <c r="B62" s="10"/>
    </row>
    <row r="63" spans="1:5" ht="15.75" customHeight="1" x14ac:dyDescent="0.2">
      <c r="A63" s="10"/>
      <c r="B63" s="10"/>
    </row>
    <row r="64" spans="1:5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>
      <c r="A116" s="10"/>
      <c r="B116" s="10"/>
    </row>
    <row r="117" spans="1:2" ht="15.75" customHeight="1" x14ac:dyDescent="0.2">
      <c r="A117" s="10"/>
      <c r="B117" s="10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  <row r="1007" spans="1:2" ht="15.75" customHeight="1" x14ac:dyDescent="0.2">
      <c r="A1007" s="3"/>
      <c r="B1007" s="3"/>
    </row>
  </sheetData>
  <hyperlinks>
    <hyperlink ref="A55" r:id="rId1" display="https://www.thoxan.com/kontakt/" xr:uid="{A7115BEF-A473-C741-A93F-E92491B6F9DE}"/>
    <hyperlink ref="A2" r:id="rId2" xr:uid="{42E6288A-7984-5346-8722-DDE5DA823C00}"/>
    <hyperlink ref="A3" r:id="rId3" xr:uid="{AD24B79C-4E21-0B40-8E26-42099C78D7E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2024-12-08T07:25:02Z</dcterms:created>
  <dcterms:modified xsi:type="dcterms:W3CDTF">2024-12-08T08:05:27Z</dcterms:modified>
</cp:coreProperties>
</file>