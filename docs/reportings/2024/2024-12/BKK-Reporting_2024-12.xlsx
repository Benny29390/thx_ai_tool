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12/"/>
    </mc:Choice>
  </mc:AlternateContent>
  <xr:revisionPtr revIDLastSave="0" documentId="8_{0F989E7C-5716-BC43-B7AD-6C6003E0BB5F}" xr6:coauthVersionLast="47" xr6:coauthVersionMax="47" xr10:uidLastSave="{00000000-0000-0000-0000-000000000000}"/>
  <bookViews>
    <workbookView xWindow="10000" yWindow="1460" windowWidth="37960" windowHeight="25780" xr2:uid="{D46772D8-ADA6-E94E-9D85-2DBC4B91AEBD}"/>
  </bookViews>
  <sheets>
    <sheet name="BK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1" l="1"/>
  <c r="B45" i="1"/>
  <c r="B38" i="1"/>
  <c r="B34" i="1"/>
  <c r="B18" i="1"/>
  <c r="B56" i="1" l="1"/>
</calcChain>
</file>

<file path=xl/sharedStrings.xml><?xml version="1.0" encoding="utf-8"?>
<sst xmlns="http://schemas.openxmlformats.org/spreadsheetml/2006/main" count="54" uniqueCount="49">
  <si>
    <t>BKK GILDEMEISTER SEIDENSTICKER</t>
  </si>
  <si>
    <t>Nov./Dez. 2024</t>
  </si>
  <si>
    <t>www.bkkgs.de</t>
  </si>
  <si>
    <t>Monatliche Optimierung</t>
  </si>
  <si>
    <t>Aufwand ca. in Std.</t>
  </si>
  <si>
    <t>1. Linkaufbau, Online-PR</t>
  </si>
  <si>
    <t>Linkquellen-Recherche (Gastartikel): Thematisch passende Linkquellen zur Veröffentlichung von Gastbeiträgen recherchiert, nach Duplikatskontrolle anhand kurzer Sichtprüfung und SEO-Kennzahlen dokumentiert, Aussortieren unpassender Websites, erste Kontaktdaten ermittelt (01.-15.11., TKI)</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</si>
  <si>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(11.-30.11., TKI)</t>
  </si>
  <si>
    <t>Textarbeiten (Gastartikel): Briefing und Recherche, Texterstellung für Gastbeitrag auf 55plus-magazin.net, Lektorat, Abstimmung und Vorbereitung zur Veröffentlichung (05.11., EXT, TKI)</t>
  </si>
  <si>
    <t>Textarbeiten (Gastartikel): Briefing und Recherche, Texterstellung für Gastbeitrag auf partnerschaft-lernen.de, Lektorat, Abstimmung und Vorbereitung zur Veröffentlichung (06.11., EXT, TKI)</t>
  </si>
  <si>
    <t>Textarbeiten (Gastartikel): Briefing und Recherche, Texterstellung für Gastbeitrag auf portal-der-augenmedizin.de, Lektorat, Abstimmung und Vorbereitung zur Veröffentlichung (13.11., EXT, TKI)</t>
  </si>
  <si>
    <t>Textarbeiten (Gastartikel): Briefing und Recherche, Texterstellung für Gastbeitrag auf sozialversicherung-kompetent.de, Lektorat, Abstimmung und Vorbereitung zur Veröffentlichung (14.11., EXT, TKI)</t>
  </si>
  <si>
    <t>Linkaufbau-Organisation und Abstimmung mit den Seitenbetreibern zur Veröffentlichung der vorbereiteten Gastartikel, Prüfung der Link-Integration, Abrechnung der Linkaufbau-Auslagen, Abstimmung und Dokumentation  (05.11.-12.12., TKI)</t>
  </si>
  <si>
    <t>https://www.55plus-magazin.net/php/graue_haare_graue_zellen_so_bleibt_das_gehirn_bis_ins_hohe_alter_fit,13252,25294.html</t>
  </si>
  <si>
    <t>https://www.partnerschaft-lernen.de/wissenswert/familienleben-wege-zu-harmonischen-beziehungen/</t>
  </si>
  <si>
    <t>https://www.portal-der-augenmedizin.de/aktuelles/20241126/sehbeeintraechtigung-im-fokus.html</t>
  </si>
  <si>
    <t>https://sozialversicherung-kompetent.de/krankenversicherung/sonstiges/1544-entwicklung-krankenkassen-digitalen-zeitalter.html</t>
  </si>
  <si>
    <t>Link-Monitoring: Neue Verlinkungen aus Link-Tools der letzten 30 Tage überprüft, einzeln bewertet (monatlich ca. 0,25 Std., TKI)</t>
  </si>
  <si>
    <t>2. Website- und Redaktionelle Arbeiten</t>
  </si>
  <si>
    <t>Terminabstimmung, Kurze Vorbereitung und virtuelle Abstimmung zur Veranschaulichung von Textaufbau und Lektorat am Beispiel Mutter-Kind-Kuren, Klärung von div. Fragen, 21.11. von 9:00 bis 10:35 Uhr, anschließend Dokumentation und interne Abstimmung für die nächsten Maßnahmen (15.-21.11., GBO)</t>
  </si>
  <si>
    <t>Textkorrektur Mutter-Vater-Kind-Kur: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(15.-25.11., GBO)</t>
  </si>
  <si>
    <t>Einpflegen Telematik-Anwendungen: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(15.11., DKI, TKI)</t>
  </si>
  <si>
    <t>Einbau erster Gesundheitsjournal-Boxen zur Platzierung als Mehrwert auf relevanten Leistungsseiten, Prüfung der Daten und finale Bearbeitung, Versand an Kunden und Dokumentation (07., 15.11., DKI, TKI)</t>
  </si>
  <si>
    <t>Einpflegen Online-Services: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(27.11., DKI, TKI)</t>
  </si>
  <si>
    <t>Einpflegen Alzheimer-Unterseite: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(05.12., DKI, TKI)</t>
  </si>
  <si>
    <t>Anpassungen nach Kundenfeedback auf den Unterseiten Telematik-Anwendungen und Online-Services (05.12., DKI)</t>
  </si>
  <si>
    <t>Anpassungen nach Kundenfeedback auf den Unterseiten Alzheimer-Vorsorge (17.12., DKI)</t>
  </si>
  <si>
    <t>Einpflegen Demenz-Unterseite: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(17.12., DKI, TKI)</t>
  </si>
  <si>
    <t>Textkorrektur Stationäre Kuren: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(04.12., GBO)</t>
  </si>
  <si>
    <t>Durchsicht / Planung der aktuellen Textaufträge, interne Abstimmung, Asana-Tickets, Dokumentation (01.11.-15.12., GBO)</t>
  </si>
  <si>
    <t>Grobe Themenplanung 1. Halbjahr 2025 lt. Keyword-Clustern, Prüfung der vorhandenen Unterseiten, Auflistung möglicher Optimierungen, Zusammentragen der Informationen, Dokumentation per Video, Abstimmung (08.12., TKI)</t>
  </si>
  <si>
    <t>Prüfung der Gesundheitsjournal-Unterseiten wegen Überschriften-Anfrage, Abstimmung und Dokumentation per Video, weitere Klärung zur Struktur der H1- und H2-Überschriften (08., 15.12., TKI)</t>
  </si>
  <si>
    <t>3. Technische Arbeiten, Onpage-Optimierung, ggf. Programmierung</t>
  </si>
  <si>
    <t>4. Google Ads, Monitoring</t>
  </si>
  <si>
    <t>Weitere Abstimmung und Anpassungen fürs Matomo-Tracking, Prüfung von Conversion, kl. Anpassungen im Google Ads Konto, finale Abstimmung und Dokumentation (01.-28.11., JST, TKI)</t>
  </si>
  <si>
    <t>Kurze Prüfung und Abstimmung per E-Mail wegen Google-Konto mit Laura Märk (11.-14.11., TKI)</t>
  </si>
  <si>
    <t>Anpassung der Conversions (Allianz, Gesund in Kita und Schule), Bericht und Versand prüfen, Abstimmung und Dokumentation (24.-28.11., JST, TKI)</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</si>
  <si>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(01.11.-31.12., JST, DHE, TKI)</t>
  </si>
  <si>
    <t>5. Beratung &amp; Sonstiges</t>
  </si>
  <si>
    <t>Finale Prüfung der Einträge mit Telefonnummer Friedrichshafen, letztmalige Erinnerung per E-Mail, Abstimmung und Dokumentation (03.11., TKI)</t>
  </si>
  <si>
    <t>Kurze Vorbereitung und virtuelle Abstimmung zum Thema Online-PR und Presseportalen, Klärung von div. Fragen, 14-14:45 Uhr, anschließend Dokumentation und Abstimmung für die nächsten Maßnahmen (27.11., TKI)</t>
  </si>
  <si>
    <t>Kurze Vorbereitung und virtuelle Abstimmung zur aktuellen Zusammenarbeit, Linkaufbau, Google Ads, Workshops, Klärung von div. Fragen, 12:15 bis 12:35 Uhr, anschließend Dokumentation und interne Abstimmung für die nächsten Maßnahmen (04.12., TKI)</t>
  </si>
  <si>
    <t>Kurze Prüfung der Möglichkeiten, im TYPO3-System Alt-Attribute bei Bildern in der Mediathek pflegen zu können, Abstimmung und Dokumentation (08.12., TKI)</t>
  </si>
  <si>
    <t>Recherche und Vorbereitung, erste konzeptionelle Ideen entwickeln, Kick-Off-Workshop wegen Klickpfaden und Benutzerführung, UX-Optimierung, Planung der nächsten Schritte (10.-17.12.,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</si>
  <si>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</si>
  <si>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</si>
  <si>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</si>
  <si>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</si>
  <si>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Überprüfung der Maßnahmen und der technischen Anpassungen von move:elevator, siehe Ticket-Dokumentation – Ladezeit-Optimierung, Core Web Vitals, PDF im Index, W3C-Validierung, etc., Abstimmung und Dokumentation (01.11.-19.12.,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</si>
</sst>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5"/>
      <color theme="1"/>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1" xfId="1" applyFont="1" applyBorder="1" applyAlignment="1">
      <alignment vertical="center" wrapText="1"/>
    </xf>
    <xf numFmtId="0" fontId="5" fillId="3" borderId="1" xfId="0" applyFont="1" applyFill="1" applyBorder="1" applyAlignment="1">
      <alignment vertical="top" wrapText="1"/>
    </xf>
    <xf numFmtId="0" fontId="5" fillId="0" borderId="0" xfId="0" applyFont="1" applyAlignment="1">
      <alignment vertical="top"/>
    </xf>
    <xf numFmtId="0" fontId="5" fillId="0" borderId="1" xfId="0" applyFont="1" applyBorder="1" applyAlignment="1">
      <alignment vertical="center"/>
    </xf>
    <xf numFmtId="0" fontId="5" fillId="2" borderId="3" xfId="0" applyFont="1" applyFill="1" applyBorder="1" applyAlignment="1">
      <alignment vertical="center"/>
    </xf>
    <xf numFmtId="0" fontId="3" fillId="2" borderId="2" xfId="0" applyFont="1" applyFill="1" applyBorder="1" applyAlignment="1">
      <alignment horizontal="center" vertical="center"/>
    </xf>
    <xf numFmtId="0" fontId="5" fillId="2" borderId="4" xfId="0" applyFont="1" applyFill="1" applyBorder="1" applyAlignment="1">
      <alignment vertical="center"/>
    </xf>
    <xf numFmtId="0" fontId="3" fillId="2" borderId="5" xfId="0" applyFont="1" applyFill="1" applyBorder="1" applyAlignment="1">
      <alignment horizontal="center" vertical="center"/>
    </xf>
    <xf numFmtId="0" fontId="7" fillId="0" borderId="0" xfId="1" applyFont="1"/>
    <xf numFmtId="0" fontId="8" fillId="0" borderId="0" xfId="0" applyFont="1"/>
    <xf numFmtId="0" fontId="5" fillId="0" borderId="1" xfId="0" applyFont="1" applyBorder="1" applyAlignment="1">
      <alignment horizontal="center" vertical="top"/>
    </xf>
    <xf numFmtId="0" fontId="4" fillId="0" borderId="1" xfId="1" applyFont="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55plus-magazin.net/php/graue_haare_graue_zellen_so_bleibt_das_gehirn_bis_ins_hohe_alter_fit,13252,25294.html"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sozialversicherung-kompetent.de/krankenversicherung/sonstiges/1544-entwicklung-krankenkassen-digitalen-zeitalter.html" TargetMode="External"/><Relationship Id="rId5" Type="http://schemas.openxmlformats.org/officeDocument/2006/relationships/hyperlink" Target="https://www.portal-der-augenmedizin.de/aktuelles/20241126/sehbeeintraechtigung-im-fokus.html" TargetMode="External"/><Relationship Id="rId4" Type="http://schemas.openxmlformats.org/officeDocument/2006/relationships/hyperlink" Target="https://www.partnerschaft-lernen.de/wissenswert/familienleben-wege-zu-harmonischen-beziehu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22A7-A87E-8A45-BD53-70E8DE5B46C6}">
  <dimension ref="A1:B1015"/>
  <sheetViews>
    <sheetView tabSelected="1" zoomScale="160" zoomScaleNormal="160" workbookViewId="0">
      <pane ySplit="4" topLeftCell="A5" activePane="bottomLeft" state="frozen"/>
      <selection pane="bottomLeft" activeCell="D64" sqref="D64"/>
    </sheetView>
  </sheetViews>
  <sheetFormatPr baseColWidth="10" defaultColWidth="11.1640625" defaultRowHeight="15" customHeight="1" x14ac:dyDescent="0.2"/>
  <cols>
    <col min="1" max="1" width="57.5" style="3" customWidth="1"/>
    <col min="2" max="2" width="23" style="3" customWidth="1"/>
    <col min="3" max="16384" width="11.1640625" style="3"/>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70" x14ac:dyDescent="0.2">
      <c r="A6" s="12" t="s">
        <v>6</v>
      </c>
      <c r="B6" s="13">
        <v>2.5</v>
      </c>
    </row>
    <row r="7" spans="1:2" ht="70" x14ac:dyDescent="0.2">
      <c r="A7" s="12" t="s">
        <v>7</v>
      </c>
      <c r="B7" s="13">
        <v>5</v>
      </c>
    </row>
    <row r="8" spans="1:2" ht="42" x14ac:dyDescent="0.2">
      <c r="A8" s="12" t="s">
        <v>8</v>
      </c>
      <c r="B8" s="13">
        <v>3</v>
      </c>
    </row>
    <row r="9" spans="1:2" ht="42" x14ac:dyDescent="0.2">
      <c r="A9" s="12" t="s">
        <v>9</v>
      </c>
      <c r="B9" s="13">
        <v>3</v>
      </c>
    </row>
    <row r="10" spans="1:2" ht="42" x14ac:dyDescent="0.2">
      <c r="A10" s="12" t="s">
        <v>10</v>
      </c>
      <c r="B10" s="13">
        <v>3</v>
      </c>
    </row>
    <row r="11" spans="1:2" ht="42" x14ac:dyDescent="0.2">
      <c r="A11" s="12" t="s">
        <v>11</v>
      </c>
      <c r="B11" s="13">
        <v>3.5</v>
      </c>
    </row>
    <row r="12" spans="1:2" s="6" customFormat="1" ht="56" x14ac:dyDescent="0.15">
      <c r="A12" s="12" t="s">
        <v>12</v>
      </c>
      <c r="B12" s="13">
        <v>3.5</v>
      </c>
    </row>
    <row r="13" spans="1:2" s="6" customFormat="1" ht="42" x14ac:dyDescent="0.15">
      <c r="A13" s="15" t="s">
        <v>13</v>
      </c>
      <c r="B13" s="13"/>
    </row>
    <row r="14" spans="1:2" s="6" customFormat="1" ht="28" x14ac:dyDescent="0.15">
      <c r="A14" s="15" t="s">
        <v>14</v>
      </c>
      <c r="B14" s="25"/>
    </row>
    <row r="15" spans="1:2" s="17" customFormat="1" ht="33" customHeight="1" x14ac:dyDescent="0.2">
      <c r="A15" s="26" t="s">
        <v>15</v>
      </c>
      <c r="B15" s="25"/>
    </row>
    <row r="16" spans="1:2" s="6" customFormat="1" ht="42" x14ac:dyDescent="0.15">
      <c r="A16" s="15" t="s">
        <v>16</v>
      </c>
      <c r="B16" s="13"/>
    </row>
    <row r="17" spans="1:2" s="6" customFormat="1" ht="27.75" customHeight="1" x14ac:dyDescent="0.15">
      <c r="A17" s="12" t="s">
        <v>17</v>
      </c>
      <c r="B17" s="13">
        <v>0.5</v>
      </c>
    </row>
    <row r="18" spans="1:2" s="6" customFormat="1" ht="15.75" customHeight="1" x14ac:dyDescent="0.15">
      <c r="A18" s="8" t="s">
        <v>4</v>
      </c>
      <c r="B18" s="9">
        <f>SUM(B6:B17)</f>
        <v>24</v>
      </c>
    </row>
    <row r="19" spans="1:2" s="6" customFormat="1" ht="15.75" customHeight="1" x14ac:dyDescent="0.15">
      <c r="A19" s="7"/>
      <c r="B19" s="13"/>
    </row>
    <row r="20" spans="1:2" s="6" customFormat="1" ht="15.75" customHeight="1" x14ac:dyDescent="0.15">
      <c r="A20" s="10" t="s">
        <v>18</v>
      </c>
      <c r="B20" s="13"/>
    </row>
    <row r="21" spans="1:2" s="6" customFormat="1" ht="70" x14ac:dyDescent="0.15">
      <c r="A21" s="16" t="s">
        <v>19</v>
      </c>
      <c r="B21" s="13">
        <v>2</v>
      </c>
    </row>
    <row r="22" spans="1:2" s="6" customFormat="1" ht="68" customHeight="1" x14ac:dyDescent="0.15">
      <c r="A22" s="12" t="s">
        <v>20</v>
      </c>
      <c r="B22" s="13">
        <v>1.5</v>
      </c>
    </row>
    <row r="23" spans="1:2" s="6" customFormat="1" ht="84" x14ac:dyDescent="0.15">
      <c r="A23" s="12" t="s">
        <v>21</v>
      </c>
      <c r="B23" s="13">
        <v>3</v>
      </c>
    </row>
    <row r="24" spans="1:2" s="6" customFormat="1" ht="44" customHeight="1" x14ac:dyDescent="0.15">
      <c r="A24" s="12" t="s">
        <v>22</v>
      </c>
      <c r="B24" s="13">
        <v>1.5</v>
      </c>
    </row>
    <row r="25" spans="1:2" s="6" customFormat="1" ht="84" x14ac:dyDescent="0.15">
      <c r="A25" s="12" t="s">
        <v>23</v>
      </c>
      <c r="B25" s="13">
        <v>3</v>
      </c>
    </row>
    <row r="26" spans="1:2" s="6" customFormat="1" ht="84" x14ac:dyDescent="0.15">
      <c r="A26" s="12" t="s">
        <v>24</v>
      </c>
      <c r="B26" s="13">
        <v>3</v>
      </c>
    </row>
    <row r="27" spans="1:2" s="6" customFormat="1" ht="28" x14ac:dyDescent="0.15">
      <c r="A27" s="12" t="s">
        <v>25</v>
      </c>
      <c r="B27" s="13">
        <v>1</v>
      </c>
    </row>
    <row r="28" spans="1:2" s="6" customFormat="1" ht="28" x14ac:dyDescent="0.15">
      <c r="A28" s="12" t="s">
        <v>26</v>
      </c>
      <c r="B28" s="13">
        <v>0.5</v>
      </c>
    </row>
    <row r="29" spans="1:2" s="6" customFormat="1" ht="84" x14ac:dyDescent="0.15">
      <c r="A29" s="12" t="s">
        <v>27</v>
      </c>
      <c r="B29" s="13">
        <v>3</v>
      </c>
    </row>
    <row r="30" spans="1:2" s="6" customFormat="1" ht="84" x14ac:dyDescent="0.15">
      <c r="A30" s="12" t="s">
        <v>28</v>
      </c>
      <c r="B30" s="13">
        <v>0.5</v>
      </c>
    </row>
    <row r="31" spans="1:2" s="6" customFormat="1" ht="28" x14ac:dyDescent="0.15">
      <c r="A31" s="12" t="s">
        <v>29</v>
      </c>
      <c r="B31" s="14">
        <v>0.5</v>
      </c>
    </row>
    <row r="32" spans="1:2" s="6" customFormat="1" ht="56" x14ac:dyDescent="0.15">
      <c r="A32" s="12" t="s">
        <v>30</v>
      </c>
      <c r="B32" s="14">
        <v>1.5</v>
      </c>
    </row>
    <row r="33" spans="1:2" s="6" customFormat="1" ht="42" x14ac:dyDescent="0.15">
      <c r="A33" s="12" t="s">
        <v>31</v>
      </c>
      <c r="B33" s="14">
        <v>0.25</v>
      </c>
    </row>
    <row r="34" spans="1:2" s="6" customFormat="1" ht="15.75" customHeight="1" x14ac:dyDescent="0.15">
      <c r="A34" s="8" t="s">
        <v>4</v>
      </c>
      <c r="B34" s="9">
        <f>SUM(B21:B33)</f>
        <v>21.25</v>
      </c>
    </row>
    <row r="35" spans="1:2" s="6" customFormat="1" ht="15.75" customHeight="1" x14ac:dyDescent="0.15">
      <c r="A35" s="18"/>
      <c r="B35" s="13"/>
    </row>
    <row r="36" spans="1:2" s="6" customFormat="1" ht="15.75" customHeight="1" x14ac:dyDescent="0.15">
      <c r="A36" s="10" t="s">
        <v>32</v>
      </c>
      <c r="B36" s="13"/>
    </row>
    <row r="37" spans="1:2" s="6" customFormat="1" ht="56" x14ac:dyDescent="0.15">
      <c r="A37" s="12" t="s">
        <v>48</v>
      </c>
      <c r="B37" s="13">
        <v>3</v>
      </c>
    </row>
    <row r="38" spans="1:2" s="6" customFormat="1" ht="15.75" customHeight="1" x14ac:dyDescent="0.15">
      <c r="A38" s="8" t="s">
        <v>4</v>
      </c>
      <c r="B38" s="9">
        <f>SUM(B37:B37)</f>
        <v>3</v>
      </c>
    </row>
    <row r="39" spans="1:2" s="6" customFormat="1" ht="15.75" customHeight="1" x14ac:dyDescent="0.15">
      <c r="A39" s="18"/>
      <c r="B39" s="13"/>
    </row>
    <row r="40" spans="1:2" s="6" customFormat="1" ht="15.75" customHeight="1" x14ac:dyDescent="0.15">
      <c r="A40" s="10" t="s">
        <v>33</v>
      </c>
      <c r="B40" s="13"/>
    </row>
    <row r="41" spans="1:2" s="6" customFormat="1" ht="42" x14ac:dyDescent="0.15">
      <c r="A41" s="12" t="s">
        <v>34</v>
      </c>
      <c r="B41" s="13">
        <v>2</v>
      </c>
    </row>
    <row r="42" spans="1:2" s="6" customFormat="1" ht="28" x14ac:dyDescent="0.15">
      <c r="A42" s="12" t="s">
        <v>35</v>
      </c>
      <c r="B42" s="13">
        <v>0.25</v>
      </c>
    </row>
    <row r="43" spans="1:2" s="6" customFormat="1" ht="42" x14ac:dyDescent="0.15">
      <c r="A43" s="12" t="s">
        <v>36</v>
      </c>
      <c r="B43" s="13">
        <v>0.75</v>
      </c>
    </row>
    <row r="44" spans="1:2" s="6" customFormat="1" ht="67" customHeight="1" x14ac:dyDescent="0.15">
      <c r="A44" s="12" t="s">
        <v>37</v>
      </c>
      <c r="B44" s="13">
        <v>5.5</v>
      </c>
    </row>
    <row r="45" spans="1:2" s="6" customFormat="1" ht="15.75" customHeight="1" x14ac:dyDescent="0.15">
      <c r="A45" s="8" t="s">
        <v>4</v>
      </c>
      <c r="B45" s="9">
        <f>SUM(B41:B44)</f>
        <v>8.5</v>
      </c>
    </row>
    <row r="46" spans="1:2" s="6" customFormat="1" ht="15.75" customHeight="1" x14ac:dyDescent="0.15">
      <c r="A46" s="18"/>
      <c r="B46" s="13"/>
    </row>
    <row r="47" spans="1:2" s="6" customFormat="1" ht="15.75" customHeight="1" x14ac:dyDescent="0.15">
      <c r="A47" s="10" t="s">
        <v>38</v>
      </c>
      <c r="B47" s="13"/>
    </row>
    <row r="48" spans="1:2" s="6" customFormat="1" ht="42" x14ac:dyDescent="0.15">
      <c r="A48" s="16" t="s">
        <v>39</v>
      </c>
      <c r="B48" s="13">
        <v>1</v>
      </c>
    </row>
    <row r="49" spans="1:2" s="6" customFormat="1" ht="54" customHeight="1" x14ac:dyDescent="0.15">
      <c r="A49" s="16" t="s">
        <v>40</v>
      </c>
      <c r="B49" s="13">
        <v>1</v>
      </c>
    </row>
    <row r="50" spans="1:2" s="6" customFormat="1" ht="54" customHeight="1" x14ac:dyDescent="0.15">
      <c r="A50" s="16" t="s">
        <v>41</v>
      </c>
      <c r="B50" s="13">
        <v>0.5</v>
      </c>
    </row>
    <row r="51" spans="1:2" s="6" customFormat="1" ht="54" customHeight="1" x14ac:dyDescent="0.15">
      <c r="A51" s="16" t="s">
        <v>42</v>
      </c>
      <c r="B51" s="13">
        <v>0.25</v>
      </c>
    </row>
    <row r="52" spans="1:2" s="6" customFormat="1" ht="42" x14ac:dyDescent="0.15">
      <c r="A52" s="16" t="s">
        <v>43</v>
      </c>
      <c r="B52" s="13">
        <v>2</v>
      </c>
    </row>
    <row r="53" spans="1:2" s="6" customFormat="1" ht="28" x14ac:dyDescent="0.15">
      <c r="A53" s="12" t="s">
        <v>44</v>
      </c>
      <c r="B53" s="13">
        <v>4</v>
      </c>
    </row>
    <row r="54" spans="1:2" s="6" customFormat="1" ht="15.75" customHeight="1" x14ac:dyDescent="0.15">
      <c r="A54" s="8" t="s">
        <v>4</v>
      </c>
      <c r="B54" s="9">
        <f>SUM(B48:B53)</f>
        <v>8.75</v>
      </c>
    </row>
    <row r="55" spans="1:2" s="6" customFormat="1" ht="15" customHeight="1" x14ac:dyDescent="0.15">
      <c r="A55" s="18"/>
      <c r="B55" s="13"/>
    </row>
    <row r="56" spans="1:2" s="6" customFormat="1" ht="16.5" customHeight="1" thickBot="1" x14ac:dyDescent="0.2">
      <c r="A56" s="19" t="s">
        <v>45</v>
      </c>
      <c r="B56" s="20">
        <f>SUM(B54+B45+B38+B34+B18)</f>
        <v>65.5</v>
      </c>
    </row>
    <row r="57" spans="1:2" s="6" customFormat="1" ht="16.5" customHeight="1" thickBot="1" x14ac:dyDescent="0.2">
      <c r="A57" s="21" t="s">
        <v>46</v>
      </c>
      <c r="B57" s="22">
        <v>8</v>
      </c>
    </row>
    <row r="58" spans="1:2" ht="15.75" customHeight="1" x14ac:dyDescent="0.2">
      <c r="A58" s="6"/>
      <c r="B58" s="6"/>
    </row>
    <row r="59" spans="1:2" s="24" customFormat="1" ht="15.75" customHeight="1" x14ac:dyDescent="0.15">
      <c r="A59" s="23" t="s">
        <v>47</v>
      </c>
    </row>
    <row r="60" spans="1:2" ht="15.75" customHeight="1" x14ac:dyDescent="0.2">
      <c r="A60" s="6"/>
      <c r="B60" s="6"/>
    </row>
    <row r="61" spans="1:2" ht="15.75" customHeight="1" x14ac:dyDescent="0.2">
      <c r="A61" s="6"/>
      <c r="B61" s="6"/>
    </row>
    <row r="62" spans="1:2" ht="15.75" customHeight="1" x14ac:dyDescent="0.2">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6"/>
      <c r="B118" s="6"/>
    </row>
    <row r="119" spans="1:2" ht="15.75" customHeight="1" x14ac:dyDescent="0.2">
      <c r="A119" s="6"/>
      <c r="B119" s="6"/>
    </row>
    <row r="120" spans="1:2" ht="15.75" customHeight="1" x14ac:dyDescent="0.2">
      <c r="A120" s="6"/>
      <c r="B120" s="6"/>
    </row>
    <row r="121" spans="1:2" ht="15.75" customHeight="1" x14ac:dyDescent="0.2">
      <c r="A121" s="6"/>
      <c r="B121" s="6"/>
    </row>
    <row r="122" spans="1:2" ht="15.75" customHeight="1" x14ac:dyDescent="0.2"/>
    <row r="123" spans="1:2" ht="15.75" customHeight="1" x14ac:dyDescent="0.2"/>
    <row r="124" spans="1:2" ht="15.75" customHeight="1" x14ac:dyDescent="0.2"/>
    <row r="125" spans="1:2" ht="15.75" customHeight="1" x14ac:dyDescent="0.2"/>
    <row r="126" spans="1:2" ht="15.75" customHeight="1" x14ac:dyDescent="0.2"/>
    <row r="127" spans="1:2" ht="15.75" customHeight="1" x14ac:dyDescent="0.2"/>
    <row r="128" spans="1:2"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sheetData>
  <hyperlinks>
    <hyperlink ref="A2" r:id="rId1" xr:uid="{599BC3DB-0EB7-9D47-AD8F-101D357F6BD2}"/>
    <hyperlink ref="A59" r:id="rId2" display="https://www.thoxan.com/kontakt/" xr:uid="{3BA7952A-F6F9-7A4E-9DC1-8F6821D29ACD}"/>
    <hyperlink ref="A13" r:id="rId3" xr:uid="{9FD9B7DD-A655-114A-891E-3FF0939F5B25}"/>
    <hyperlink ref="A14" r:id="rId4" xr:uid="{FDCE9128-2EEE-CD49-8D11-4C362B93A8C2}"/>
    <hyperlink ref="A15" r:id="rId5" xr:uid="{07FF4D9C-3885-2D45-93EF-6879D81F2297}"/>
    <hyperlink ref="A16" r:id="rId6" xr:uid="{CC29A060-CA10-304A-A437-392E7C19204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2024-12-19T06:02:54Z</dcterms:created>
  <dcterms:modified xsi:type="dcterms:W3CDTF">2024-12-19T06:05:32Z</dcterms:modified>
</cp:coreProperties>
</file>