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Volumes/G-RAID Studio/Zoho WorkDrive (thoxan)/THOXAN GMBH/REPORTINGS/2024-03/"/>
    </mc:Choice>
  </mc:AlternateContent>
  <xr:revisionPtr revIDLastSave="0" documentId="13_ncr:1_{F506E960-DEBD-F942-9755-A9CFFA4465F0}" xr6:coauthVersionLast="47" xr6:coauthVersionMax="47" xr10:uidLastSave="{00000000-0000-0000-0000-000000000000}"/>
  <bookViews>
    <workbookView xWindow="7660" yWindow="1060" windowWidth="31600" windowHeight="25380" xr2:uid="{B97A0B1F-653F-DB45-B9C1-BE8D3C2A8F12}"/>
  </bookViews>
  <sheets>
    <sheet name="SP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1" l="1"/>
  <c r="B28" i="1"/>
  <c r="B23" i="1"/>
  <c r="B19" i="1"/>
  <c r="B14" i="1"/>
  <c r="B7" i="1"/>
  <c r="B36" i="1" l="1"/>
</calcChain>
</file>

<file path=xl/sharedStrings.xml><?xml version="1.0" encoding="utf-8"?>
<sst xmlns="http://schemas.openxmlformats.org/spreadsheetml/2006/main" count="33" uniqueCount="27">
  <si>
    <t>spe group  GmbH / IT-Schutzengel</t>
  </si>
  <si>
    <t>1. Quartal 2024</t>
  </si>
  <si>
    <t>https://www.it-schutzengel.de</t>
  </si>
  <si>
    <t>Monatliche Optimierung</t>
  </si>
  <si>
    <t>Aufwand ca. in Std.</t>
  </si>
  <si>
    <t>1. Linkaufbau, Linkabbau, Online-PR</t>
  </si>
  <si>
    <t>---</t>
  </si>
  <si>
    <t>2. Redaktionelle Arbeiten &amp; Website-Pflege</t>
  </si>
  <si>
    <t>Abstimmung und Bearbeitung eines gelieferten Videos für die Startseite, Entfernen der schwarzen Balken, Komprimierung für mobile Abrufe, Einbindung auf der Website (18.01., TKI)</t>
  </si>
  <si>
    <t>Textarbeiten und Grafikdesign (Bild-Recherche, Bildbearbeitung) für 10 Social-Media-Posts im Februar/März 2024 (war noch offen aus 2023), Abstimmung und Dokumentation (22.-23.01., TKI)</t>
  </si>
  <si>
    <t>Textarbeiten und Grafikdesign (Bild-Recherche, Bildbearbeitung) für 5 Social-Media-Posts im April 2024, Abstimmung und Dokumentation (10.-11.03., TKI)</t>
  </si>
  <si>
    <t>Weitere Lösungen der IT-Schutzengel als Grid unterhalb des Kontaktformulars, erste Überlegungen zur Conversion-Optimierung, kl. Anpassungen und interne Abstimmung (24.-25.03., TKI)</t>
  </si>
  <si>
    <t>3. Technische Arbeiten, Onpage-Optimierung, ggf. Programmierung</t>
  </si>
  <si>
    <t>Einrichten von Meta-Descriptions für die sieben Landingpages im Bereich Managed Services, Indexierung und Anmelden via Google Search Console, Prüfen der Indexierung (17.-24.01., TKI)</t>
  </si>
  <si>
    <t>Bearbeitung der Eventboxen (Ereignisse) auf Landingpages, Abweichung mobile Darstellung vs. Desktop programmieren, kl. Anpassungen (25.03., BKO)</t>
  </si>
  <si>
    <t>4. Social Media Management</t>
  </si>
  <si>
    <t>5. Google Ads &amp; Social Ads</t>
  </si>
  <si>
    <t>Google Ads-Monitoring (1.Quartal): Monatliches Monitoring der Kampagnen, kl. Anpassungen, fortlaufendes Ausschließen und Ergänzen von Keywords, Auswertung am Quartalsende (01.01 - 31.03., JST, TKI)</t>
  </si>
  <si>
    <t>Social Ads-Monitoring (1. Quartal): Monatliches Monitoring der Werbe-kampagnen bei Facebook und Instagram, Anpassen der Werbeanzeigen, Verfeinern der Zielgruppe, kl. Arbeiten am Werbekonto, Abstimmung und Dokumentation (01.01 - 31.03., JST, TKI)</t>
  </si>
  <si>
    <t>6. Beratung &amp; Sonstiges</t>
  </si>
  <si>
    <t>Kurze Vorbereitung und Abstimmung per Zoom zu den ersten Postings, den offenen Maßnahmen und zur Klärung von Fragen (17.01., TKI)</t>
  </si>
  <si>
    <t>Vorbereitung, Auswertung der bisherigen Maßnahmen, Ergebnisse und Kennzahlen, Videocall zur Abstimmung der Ergebnisse (ca. 30 Min.), Planung des 2. Quartals und der weiteren Vorgehensweise, Klären von offenen Fragen, anschließend Vorbereitung der geplanten Maßnahmen, interne Abstimmung (24.-25.03.,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</si>
  <si>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</si>
  <si>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</si>
  <si>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</si>
  <si>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</si>
  <si>
    <t>Regelmäßige (wöchentliche) Veröffentlichung der Social-Media-Postings, Ausspielen als Storys, Bewerben der Postings im Meta-Werbekonto, fortlaufendes Monitoring der Resonanz auf Veröffentlichungen, Abstimmung und Dokumentation (ca. 1 Std. pro Posting, 01.01 - 31.03., JST,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</si>
</sst>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applyFont="1" applyBorder="1" applyAlignment="1">
      <alignment vertical="top" wrapText="1"/>
    </xf>
    <xf numFmtId="0" fontId="5" fillId="3" borderId="2" xfId="0" applyFont="1" applyFill="1" applyBorder="1" applyAlignment="1">
      <alignment horizontal="center" vertical="center"/>
    </xf>
    <xf numFmtId="0" fontId="5" fillId="0" borderId="3" xfId="0" applyFont="1" applyBorder="1" applyAlignment="1">
      <alignment vertical="center"/>
    </xf>
    <xf numFmtId="0" fontId="6" fillId="0" borderId="3" xfId="0" applyFont="1" applyBorder="1" applyAlignment="1">
      <alignment wrapText="1"/>
    </xf>
    <xf numFmtId="0" fontId="5" fillId="2" borderId="4" xfId="0" applyFont="1" applyFill="1" applyBorder="1" applyAlignment="1">
      <alignment vertical="center"/>
    </xf>
    <xf numFmtId="0" fontId="6" fillId="2" borderId="4" xfId="0" applyFont="1" applyFill="1" applyBorder="1" applyAlignment="1">
      <alignment horizontal="center" vertical="center"/>
    </xf>
    <xf numFmtId="0" fontId="8" fillId="0" borderId="0" xfId="0" applyFont="1"/>
    <xf numFmtId="0" fontId="5" fillId="3" borderId="3" xfId="0" applyFont="1" applyFill="1" applyBorder="1" applyAlignment="1">
      <alignment horizontal="center" vertical="center"/>
    </xf>
    <xf numFmtId="0" fontId="5" fillId="2" borderId="5" xfId="0" applyFont="1" applyFill="1" applyBorder="1" applyAlignment="1">
      <alignment vertical="center"/>
    </xf>
    <xf numFmtId="0" fontId="5" fillId="2" borderId="5" xfId="0" applyFont="1" applyFill="1" applyBorder="1" applyAlignment="1">
      <alignment horizontal="center" vertical="center"/>
    </xf>
    <xf numFmtId="0" fontId="5" fillId="0" borderId="1" xfId="0" applyFont="1" applyBorder="1" applyAlignment="1">
      <alignment vertical="top" wrapText="1"/>
    </xf>
    <xf numFmtId="0" fontId="5" fillId="3" borderId="1" xfId="0" applyFont="1" applyFill="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6" fillId="0" borderId="1" xfId="0" applyFont="1" applyBorder="1" applyAlignment="1">
      <alignmen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s://www.it-schutzengel.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62AF-D484-DF43-9926-F0C8340F0876}">
  <dimension ref="A1:B991"/>
  <sheetViews>
    <sheetView tabSelected="1" zoomScale="150" zoomScaleNormal="150" workbookViewId="0">
      <pane ySplit="4" topLeftCell="A11" activePane="bottomLeft" state="frozen"/>
      <selection pane="bottomLeft" activeCell="A14" sqref="A14"/>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18"/>
    </row>
    <row r="10" spans="1:2" s="11" customFormat="1" ht="42" x14ac:dyDescent="0.2">
      <c r="A10" s="20" t="s">
        <v>8</v>
      </c>
      <c r="B10" s="21">
        <v>0.75</v>
      </c>
    </row>
    <row r="11" spans="1:2" s="11" customFormat="1" ht="42" x14ac:dyDescent="0.2">
      <c r="A11" s="20" t="s">
        <v>9</v>
      </c>
      <c r="B11" s="21">
        <v>4.5</v>
      </c>
    </row>
    <row r="12" spans="1:2" s="11" customFormat="1" ht="42" x14ac:dyDescent="0.2">
      <c r="A12" s="20" t="s">
        <v>10</v>
      </c>
      <c r="B12" s="27">
        <v>3</v>
      </c>
    </row>
    <row r="13" spans="1:2" s="11" customFormat="1" ht="42" x14ac:dyDescent="0.2">
      <c r="A13" s="30" t="s">
        <v>11</v>
      </c>
      <c r="B13" s="31">
        <v>1</v>
      </c>
    </row>
    <row r="14" spans="1:2" s="11" customFormat="1" ht="15.75" customHeight="1" x14ac:dyDescent="0.2">
      <c r="A14" s="32" t="s">
        <v>4</v>
      </c>
      <c r="B14" s="33">
        <f>SUM(B9:B13)</f>
        <v>9.25</v>
      </c>
    </row>
    <row r="15" spans="1:2" s="11" customFormat="1" ht="15.75" customHeight="1" x14ac:dyDescent="0.2">
      <c r="A15" s="34"/>
      <c r="B15" s="14"/>
    </row>
    <row r="16" spans="1:2" s="10" customFormat="1" ht="15.75" customHeight="1" x14ac:dyDescent="0.15">
      <c r="A16" s="8" t="s">
        <v>12</v>
      </c>
      <c r="B16" s="14"/>
    </row>
    <row r="17" spans="1:2" s="11" customFormat="1" ht="42" x14ac:dyDescent="0.2">
      <c r="A17" s="13" t="s">
        <v>13</v>
      </c>
      <c r="B17" s="14">
        <v>1</v>
      </c>
    </row>
    <row r="18" spans="1:2" s="11" customFormat="1" ht="42" x14ac:dyDescent="0.2">
      <c r="A18" s="13" t="s">
        <v>14</v>
      </c>
      <c r="B18" s="14">
        <v>1</v>
      </c>
    </row>
    <row r="19" spans="1:2" s="11" customFormat="1" ht="15.75" customHeight="1" x14ac:dyDescent="0.2">
      <c r="A19" s="32" t="s">
        <v>4</v>
      </c>
      <c r="B19" s="33">
        <f>SUM(B17:B18)</f>
        <v>2</v>
      </c>
    </row>
    <row r="20" spans="1:2" s="11" customFormat="1" ht="15.75" customHeight="1" x14ac:dyDescent="0.2">
      <c r="A20" s="34"/>
      <c r="B20" s="14"/>
    </row>
    <row r="21" spans="1:2" s="11" customFormat="1" ht="15.75" customHeight="1" x14ac:dyDescent="0.2">
      <c r="A21" s="8" t="s">
        <v>15</v>
      </c>
      <c r="B21" s="14"/>
    </row>
    <row r="22" spans="1:2" s="11" customFormat="1" ht="70" x14ac:dyDescent="0.2">
      <c r="A22" s="30" t="s">
        <v>26</v>
      </c>
      <c r="B22" s="14">
        <v>13</v>
      </c>
    </row>
    <row r="23" spans="1:2" s="11" customFormat="1" ht="15.75" customHeight="1" x14ac:dyDescent="0.2">
      <c r="A23" s="32" t="s">
        <v>4</v>
      </c>
      <c r="B23" s="33">
        <f>SUM(B22:B22)</f>
        <v>13</v>
      </c>
    </row>
    <row r="24" spans="1:2" s="11" customFormat="1" ht="15.75" customHeight="1" x14ac:dyDescent="0.2">
      <c r="A24" s="35"/>
      <c r="B24" s="14"/>
    </row>
    <row r="25" spans="1:2" s="11" customFormat="1" ht="15.75" customHeight="1" x14ac:dyDescent="0.2">
      <c r="A25" s="8" t="s">
        <v>16</v>
      </c>
      <c r="B25" s="14"/>
    </row>
    <row r="26" spans="1:2" s="11" customFormat="1" ht="56" x14ac:dyDescent="0.2">
      <c r="A26" s="30" t="s">
        <v>17</v>
      </c>
      <c r="B26" s="14">
        <v>2</v>
      </c>
    </row>
    <row r="27" spans="1:2" s="11" customFormat="1" ht="70" x14ac:dyDescent="0.2">
      <c r="A27" s="30" t="s">
        <v>18</v>
      </c>
      <c r="B27" s="14">
        <v>4</v>
      </c>
    </row>
    <row r="28" spans="1:2" s="11" customFormat="1" ht="15.75" customHeight="1" x14ac:dyDescent="0.2">
      <c r="A28" s="28" t="s">
        <v>4</v>
      </c>
      <c r="B28" s="29">
        <f>SUM(B26:B27)</f>
        <v>6</v>
      </c>
    </row>
    <row r="29" spans="1:2" s="11" customFormat="1" ht="15.75" customHeight="1" x14ac:dyDescent="0.2">
      <c r="A29" s="23"/>
      <c r="B29" s="18"/>
    </row>
    <row r="30" spans="1:2" s="11" customFormat="1" ht="15.75" customHeight="1" x14ac:dyDescent="0.2">
      <c r="A30" s="19" t="s">
        <v>19</v>
      </c>
      <c r="B30" s="18"/>
    </row>
    <row r="31" spans="1:2" s="11" customFormat="1" ht="42" x14ac:dyDescent="0.2">
      <c r="A31" s="20" t="s">
        <v>20</v>
      </c>
      <c r="B31" s="18">
        <v>0.5</v>
      </c>
    </row>
    <row r="32" spans="1:2" s="11" customFormat="1" ht="70" x14ac:dyDescent="0.2">
      <c r="A32" s="20" t="s">
        <v>21</v>
      </c>
      <c r="B32" s="18">
        <v>1.25</v>
      </c>
    </row>
    <row r="33" spans="1:2" s="11" customFormat="1" ht="28" x14ac:dyDescent="0.2">
      <c r="A33" s="20" t="s">
        <v>22</v>
      </c>
      <c r="B33" s="18">
        <v>2</v>
      </c>
    </row>
    <row r="34" spans="1:2" s="11" customFormat="1" ht="15.75" customHeight="1" x14ac:dyDescent="0.2">
      <c r="A34" s="15" t="s">
        <v>4</v>
      </c>
      <c r="B34" s="16">
        <f>SUM(B31:B33)</f>
        <v>3.75</v>
      </c>
    </row>
    <row r="35" spans="1:2" s="11" customFormat="1" ht="15.75" customHeight="1" x14ac:dyDescent="0.2">
      <c r="A35" s="22"/>
      <c r="B35" s="18"/>
    </row>
    <row r="36" spans="1:2" s="11" customFormat="1" ht="16.5" customHeight="1" thickBot="1" x14ac:dyDescent="0.25">
      <c r="A36" s="24" t="s">
        <v>23</v>
      </c>
      <c r="B36" s="25">
        <f>SUM(B7+B14+B19+B23+B28+B34)</f>
        <v>34</v>
      </c>
    </row>
    <row r="37" spans="1:2" s="11" customFormat="1" ht="16.5" customHeight="1" thickBot="1" x14ac:dyDescent="0.25">
      <c r="A37" s="24" t="s">
        <v>24</v>
      </c>
      <c r="B37" s="25">
        <v>4</v>
      </c>
    </row>
    <row r="38" spans="1:2" ht="15.75" customHeight="1" x14ac:dyDescent="0.2">
      <c r="A38" s="10"/>
      <c r="B38" s="10"/>
    </row>
    <row r="39" spans="1:2" ht="15.75" customHeight="1" x14ac:dyDescent="0.2">
      <c r="A39" s="26" t="s">
        <v>25</v>
      </c>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sheetData>
  <hyperlinks>
    <hyperlink ref="A2" r:id="rId1" xr:uid="{561674A5-18A7-DF47-B14D-8A840ED2C1FC}"/>
    <hyperlink ref="A39" r:id="rId2" display="https://www.thoxan.com/kontakt/" xr:uid="{B5C30A6F-4E1C-5749-92C1-71E50145CA49}"/>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2024-03-25T16:29:53Z</dcterms:created>
  <dcterms:modified xsi:type="dcterms:W3CDTF">2024-03-25T16:32:50Z</dcterms:modified>
</cp:coreProperties>
</file>