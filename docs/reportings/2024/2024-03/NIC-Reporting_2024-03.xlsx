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4-03/"/>
    </mc:Choice>
  </mc:AlternateContent>
  <xr:revisionPtr revIDLastSave="0" documentId="8_{0A896BBF-84B5-DD49-86E9-B75FFEAC9501}" xr6:coauthVersionLast="47" xr6:coauthVersionMax="47" xr10:uidLastSave="{00000000-0000-0000-0000-000000000000}"/>
  <bookViews>
    <workbookView xWindow="9760" yWindow="500" windowWidth="37340" windowHeight="25240" xr2:uid="{A1003C03-769B-7547-9C23-2AB635C224CC}"/>
  </bookViews>
  <sheets>
    <sheet name="N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45" i="1"/>
  <c r="B40" i="1"/>
  <c r="B36" i="1"/>
  <c r="B30" i="1"/>
  <c r="B22" i="1"/>
  <c r="B14" i="1"/>
  <c r="B54" i="1" s="1"/>
</calcChain>
</file>

<file path=xl/sharedStrings.xml><?xml version="1.0" encoding="utf-8"?>
<sst xmlns="http://schemas.openxmlformats.org/spreadsheetml/2006/main" count="51" uniqueCount="44">
  <si>
    <t>NIC Systemhaus GmbH</t>
  </si>
  <si>
    <t>1. Quartal 2024</t>
  </si>
  <si>
    <t>www.nic-team.com</t>
  </si>
  <si>
    <t>Monatliche Optimierung</t>
  </si>
  <si>
    <t>Aufwand ca. in Std.</t>
  </si>
  <si>
    <t>1. Linkaufbau, Linkabbau, Online-PR</t>
  </si>
  <si>
    <t>Textarbeiten tarif4you.de: Briefing und Recherche, Texterstellung für Gastbeitrag auf URL, Lektorat, Abstimmung und Vorbereitung zur Veröffentlichung (08.01., EXT, TKI)</t>
  </si>
  <si>
    <t>Textarbeiten studi-kompass.com: Briefing und Recherche, Texterstellung für Gastbeitrag auf URL, Lektorat, Abstimmung und Vorbereitung zur Veröffentlichung (09.02., EXT, TKI)</t>
  </si>
  <si>
    <t>Textarbeiten werteundwandel.de: Briefing und Recherche, Texterstellung für Gastbeitrag auf werteundwandel.de, Lektorat, Abstimmung und Vorbereitung zur Veröffentlichung (16.02., EXT, TKI)</t>
  </si>
  <si>
    <t>https://www.tarif4you.de/news/n22817.html</t>
  </si>
  <si>
    <t>https://studi-kompass.com/blog/studiengang-mit-zukunft</t>
  </si>
  <si>
    <t>https://werteundwandel.de/inhalte/wie-ein-werteorientiertes-systemhaus-fuer-stabile-it-im-unternehmen-sorgt/</t>
  </si>
  <si>
    <t>Link-Monitoring: Neue Verlinkungen aus Link-Tools der letzten 30 Tage überprüft, einzeln bewertet (monatlich 0,25 Std., TKI)</t>
  </si>
  <si>
    <t>2. Redaktionelle Arbeiten</t>
  </si>
  <si>
    <r>
      <rPr>
        <b/>
        <sz val="10"/>
        <color theme="1"/>
        <rFont val="Arial"/>
        <family val="2"/>
      </rPr>
      <t xml:space="preserve">Storys Januar: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(15.-29.01., GBO, TKI)</t>
    </r>
  </si>
  <si>
    <r>
      <rPr>
        <b/>
        <sz val="10"/>
        <color theme="1"/>
        <rFont val="Arial"/>
        <family val="2"/>
      </rPr>
      <t xml:space="preserve">Storys Februar: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(01.-29.02., GBO, NMA, TKI)</t>
    </r>
  </si>
  <si>
    <r>
      <rPr>
        <b/>
        <sz val="10"/>
        <color theme="1"/>
        <rFont val="Arial"/>
        <family val="2"/>
      </rPr>
      <t xml:space="preserve">Storys März: </t>
    </r>
    <r>
      <rPr>
        <sz val="10"/>
        <color theme="1"/>
        <rFont val="Arial"/>
        <family val="2"/>
      </rPr>
      <t>Abstimmung und Recherche, inhaltliche Konzeption (keine Texterstellung) // pausiert (20.02., GBO, TKI)</t>
    </r>
  </si>
  <si>
    <t>Fokus-Landingpage: Erstellen eines Konzepts zum Thema Managed Services inkl. Prüfung von Briefing-Dokumenten (z. B. Ereignisse, Wunschkunde, Videomaterial), Texterstellung, Arbeiten in Tools (Sistrix, Xovi) (26.-29.02., GBO, TKI)</t>
  </si>
  <si>
    <t>Fertigstellung der Landingpage Managed Service: Vervollständigen des FAQ, Senden an Kunde, finaler Check der eingepflegten Seite, Dokumentation (04.-18.03., GBO, TKI)</t>
  </si>
  <si>
    <t>3. Website-Pflege</t>
  </si>
  <si>
    <r>
      <t xml:space="preserve">Redaktionelle Pflege </t>
    </r>
    <r>
      <rPr>
        <b/>
        <sz val="10"/>
        <color theme="1"/>
        <rFont val="Arial"/>
        <family val="2"/>
      </rPr>
      <t>Storys Januar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(15.-31.01., GBO, NMA)</t>
    </r>
  </si>
  <si>
    <t>Abstimmung, Bearbeitung eines Videos für die Website (Ausschnitt, Vertonung mit Hintergrundmusik, Anpassung Helligkeit, Kontrast und Wärme), Komprimierung und Hochladen bei Youtube, Einbinden auf der Startseite, kl. Anpassungen und Dokumentation (29.01., TKI)</t>
  </si>
  <si>
    <r>
      <t xml:space="preserve">Redaktionelle Pflege </t>
    </r>
    <r>
      <rPr>
        <b/>
        <sz val="10"/>
        <color theme="1"/>
        <rFont val="Arial"/>
        <family val="2"/>
      </rPr>
      <t>Storys Februar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(15.-29.02., GBO, NMA)</t>
    </r>
  </si>
  <si>
    <t>Anpassen der Kalender-Integration auf der Website (Kontaktseite, Störer), Wechsel auf Calendly, kl. Anpassungen, Dokumentation (29.02., TKI)</t>
  </si>
  <si>
    <t>Einpflegen der Landingpage "Managed-Services": Interne Abstimmung und Einpflegen des neuen Textes auf der Website, Bildbearbeitung, Dokumentation (07.03.-19.03., RBO, TKI)</t>
  </si>
  <si>
    <t>4. Technische Arbeiten, Programmierung</t>
  </si>
  <si>
    <t>Austausch des Tracking-Codes für Salesviewer-Tool in WordPress (30.01., BKO)</t>
  </si>
  <si>
    <t>Salesviewer-Datenschutz angepasst, Google Ads verknüpft, Abstimmung und Dokumentation (19.-20.02., JST, BKO)</t>
  </si>
  <si>
    <t>Ausgabe für ProvenExpert optimieren für neue Cookie Version. Optimierung der Funnel Landingpage für weitere Elemente (11.03., BKO)</t>
  </si>
  <si>
    <t>5. Google Ads, Monitoring</t>
  </si>
  <si>
    <t>Google Ads-Monitoring 1. Quartal: Monatliches Monitoring der Kampagnen, kl. Anpassungen, fortlaufendes Ausschließen und Ergänzen von Keywords, ausführliche Auswertung am Monatsende (01.01.-31.03., TKI, JST)</t>
  </si>
  <si>
    <t>6. Auswertung und Maßnahmenplanung, Workshops</t>
  </si>
  <si>
    <t>Jahresauswertung 2023: Recherche und Durchsicht der Expertise aus dem Vorjahr, Analyse der aktuellen Kennzahlen, der Website-Entwicklung und der bisherigen Ergebnisse mit diversen Online-Tools, Ausblick, Planung und Erstellung der nächsten Schritte, Dokumentation und Aufbereitung der Ergebnisse in einer ca. 100-seitigen Präsentation, Vorbereitung des Workshops (15.02.-10.03., RBO, TKI)</t>
  </si>
  <si>
    <t>7. Beratung &amp; Sonstiges</t>
  </si>
  <si>
    <t>Kurze Vorbereitung und Durchführung eines Workshops per Zoom zum Thema Vertriebsaufbau bei NIC, Planung der nächsten Schritte in Sachen CRM-Tool und Website-Relaunch, Klären von div. Fragen, 14-14:50 Uhr, Abstimmung und Dokumentation im Anschluss (29.01., TKI)</t>
  </si>
  <si>
    <t>Brainstorming-Videocall, Fokus für Geschäftsmodell (21.02., TKI)</t>
  </si>
  <si>
    <t>o. Berechnung</t>
  </si>
  <si>
    <t>Kurze Vorbereitung und Durchführung eines Workshops per Zoom zum Thema Marketing- und Vertriebsfokus, Klären von div. Fragen, 14-14.45 Uhr, Abstimmung und Dokumentation (21.02.,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</si>
  <si>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</si>
  <si>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</si>
  <si>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</si>
  <si>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</si>
  <si>
    <t>Finale Vorbereitung und Durchführung eines Workshops per Zoom (9-11 Uhr), Präsentation der Jahresauswertung mit Ergebnissen, Kennzahlen und geplanten Maßnahmen, Abstimmung und Klären von Fragen, konkrete Maßnahmen- und Zeitplanung für die nächsten Schritte, Austausch wegen Miro-Visualisierung und Salesfunnel, anschließend kurze Dokumentation, Planung und interne Abstimmung weiterer Maßnahmen (26.03., TKI)</t>
  </si>
  <si>
    <t>Linkaufbau-Organisation: Abstimmung mit den Seitenbetreibern zur Veröffentlichung der vorbereiteten Gastartikel, ggf. letzte Textanpassungen, Prüfung der Link-Integration, Abrechnung der Linkaufbau-Auslagen, Abstimmung und Dokumentation (08.01.-19.03.,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</si>
</sst>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vertical="top" wrapText="1"/>
    </xf>
    <xf numFmtId="0" fontId="0" fillId="0" borderId="1" xfId="0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0" borderId="0" xfId="0" applyFont="1"/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rif4you.de/news/n22817.html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Relationship Id="rId5" Type="http://schemas.openxmlformats.org/officeDocument/2006/relationships/hyperlink" Target="https://werteundwandel.de/inhalte/wie-ein-werteorientiertes-systemhaus-fuer-stabile-it-im-unternehmen-sorgt/" TargetMode="External"/><Relationship Id="rId4" Type="http://schemas.openxmlformats.org/officeDocument/2006/relationships/hyperlink" Target="https://studi-kompass.com/blog/studiengang-mit-zukun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D16-3BC8-7B4F-BFB8-4C39A6892629}">
  <dimension ref="A1:B1010"/>
  <sheetViews>
    <sheetView tabSelected="1" zoomScale="160" zoomScaleNormal="160" workbookViewId="0">
      <pane ySplit="4" topLeftCell="A5" activePane="bottomLeft" state="frozen"/>
      <selection pane="bottomLeft" activeCell="D9" sqref="D9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ht="16" x14ac:dyDescent="0.2">
      <c r="A4" s="7"/>
      <c r="B4" s="8" t="s">
        <v>4</v>
      </c>
    </row>
    <row r="5" spans="1:2" ht="15.75" customHeight="1" x14ac:dyDescent="0.2">
      <c r="A5" s="7" t="s">
        <v>5</v>
      </c>
      <c r="B5" s="9"/>
    </row>
    <row r="6" spans="1:2" ht="42" x14ac:dyDescent="0.2">
      <c r="A6" s="11" t="s">
        <v>6</v>
      </c>
      <c r="B6" s="12">
        <v>3</v>
      </c>
    </row>
    <row r="7" spans="1:2" ht="42" x14ac:dyDescent="0.2">
      <c r="A7" s="11" t="s">
        <v>7</v>
      </c>
      <c r="B7" s="12">
        <v>3</v>
      </c>
    </row>
    <row r="8" spans="1:2" ht="42" x14ac:dyDescent="0.2">
      <c r="A8" s="11" t="s">
        <v>8</v>
      </c>
      <c r="B8" s="12">
        <v>3</v>
      </c>
    </row>
    <row r="9" spans="1:2" s="6" customFormat="1" ht="70" x14ac:dyDescent="0.15">
      <c r="A9" s="11" t="s">
        <v>43</v>
      </c>
      <c r="B9" s="12">
        <v>1.75</v>
      </c>
    </row>
    <row r="10" spans="1:2" s="6" customFormat="1" ht="14" x14ac:dyDescent="0.15">
      <c r="A10" s="13" t="s">
        <v>9</v>
      </c>
      <c r="B10" s="12"/>
    </row>
    <row r="11" spans="1:2" s="6" customFormat="1" ht="14" x14ac:dyDescent="0.15">
      <c r="A11" s="13" t="s">
        <v>10</v>
      </c>
      <c r="B11" s="12"/>
    </row>
    <row r="12" spans="1:2" s="6" customFormat="1" ht="28" x14ac:dyDescent="0.15">
      <c r="A12" s="13" t="s">
        <v>11</v>
      </c>
      <c r="B12" s="12"/>
    </row>
    <row r="13" spans="1:2" ht="28" x14ac:dyDescent="0.2">
      <c r="A13" s="11" t="s">
        <v>12</v>
      </c>
      <c r="B13" s="12">
        <v>0.75</v>
      </c>
    </row>
    <row r="14" spans="1:2" ht="15.75" customHeight="1" x14ac:dyDescent="0.2">
      <c r="A14" s="15" t="s">
        <v>4</v>
      </c>
      <c r="B14" s="16">
        <f>SUM(B5:B13)</f>
        <v>11.5</v>
      </c>
    </row>
    <row r="15" spans="1:2" ht="15.75" customHeight="1" x14ac:dyDescent="0.2">
      <c r="A15" s="10"/>
      <c r="B15" s="12"/>
    </row>
    <row r="16" spans="1:2" ht="16" x14ac:dyDescent="0.2">
      <c r="A16" s="7" t="s">
        <v>13</v>
      </c>
      <c r="B16" s="12"/>
    </row>
    <row r="17" spans="1:2" ht="42" x14ac:dyDescent="0.2">
      <c r="A17" s="11" t="s">
        <v>14</v>
      </c>
      <c r="B17" s="12">
        <v>4.5</v>
      </c>
    </row>
    <row r="18" spans="1:2" ht="42" x14ac:dyDescent="0.2">
      <c r="A18" s="11" t="s">
        <v>15</v>
      </c>
      <c r="B18" s="12">
        <v>5</v>
      </c>
    </row>
    <row r="19" spans="1:2" ht="28" x14ac:dyDescent="0.2">
      <c r="A19" s="11" t="s">
        <v>16</v>
      </c>
      <c r="B19" s="12">
        <v>0.5</v>
      </c>
    </row>
    <row r="20" spans="1:2" ht="56" x14ac:dyDescent="0.2">
      <c r="A20" s="11" t="s">
        <v>17</v>
      </c>
      <c r="B20" s="12">
        <v>4</v>
      </c>
    </row>
    <row r="21" spans="1:2" ht="42" x14ac:dyDescent="0.2">
      <c r="A21" s="11" t="s">
        <v>18</v>
      </c>
      <c r="B21" s="12">
        <v>1.5</v>
      </c>
    </row>
    <row r="22" spans="1:2" ht="15.75" customHeight="1" x14ac:dyDescent="0.2">
      <c r="A22" s="15" t="s">
        <v>4</v>
      </c>
      <c r="B22" s="16">
        <f>SUM(B17:B21)</f>
        <v>15.5</v>
      </c>
    </row>
    <row r="23" spans="1:2" ht="15.75" customHeight="1" x14ac:dyDescent="0.2">
      <c r="A23" s="17"/>
      <c r="B23" s="12"/>
    </row>
    <row r="24" spans="1:2" ht="16" x14ac:dyDescent="0.2">
      <c r="A24" s="7" t="s">
        <v>19</v>
      </c>
      <c r="B24" s="14"/>
    </row>
    <row r="25" spans="1:2" ht="56" x14ac:dyDescent="0.2">
      <c r="A25" s="11" t="s">
        <v>20</v>
      </c>
      <c r="B25" s="12">
        <v>2</v>
      </c>
    </row>
    <row r="26" spans="1:2" ht="56" x14ac:dyDescent="0.2">
      <c r="A26" s="11" t="s">
        <v>21</v>
      </c>
      <c r="B26" s="12">
        <v>1</v>
      </c>
    </row>
    <row r="27" spans="1:2" ht="56" x14ac:dyDescent="0.2">
      <c r="A27" s="11" t="s">
        <v>22</v>
      </c>
      <c r="B27" s="12">
        <v>1.75</v>
      </c>
    </row>
    <row r="28" spans="1:2" ht="42" x14ac:dyDescent="0.2">
      <c r="A28" s="11" t="s">
        <v>23</v>
      </c>
      <c r="B28" s="12">
        <v>0.25</v>
      </c>
    </row>
    <row r="29" spans="1:2" ht="42" x14ac:dyDescent="0.2">
      <c r="A29" s="11" t="s">
        <v>24</v>
      </c>
      <c r="B29" s="18">
        <v>4.5</v>
      </c>
    </row>
    <row r="30" spans="1:2" ht="15.75" customHeight="1" x14ac:dyDescent="0.2">
      <c r="A30" s="15" t="s">
        <v>4</v>
      </c>
      <c r="B30" s="16">
        <f>SUM(B25:B29)</f>
        <v>9.5</v>
      </c>
    </row>
    <row r="31" spans="1:2" ht="15.75" customHeight="1" x14ac:dyDescent="0.2">
      <c r="A31" s="17"/>
      <c r="B31" s="12"/>
    </row>
    <row r="32" spans="1:2" ht="16" x14ac:dyDescent="0.2">
      <c r="A32" s="7" t="s">
        <v>25</v>
      </c>
      <c r="B32" s="14"/>
    </row>
    <row r="33" spans="1:2" ht="28" x14ac:dyDescent="0.2">
      <c r="A33" s="11" t="s">
        <v>26</v>
      </c>
      <c r="B33" s="12">
        <v>0.25</v>
      </c>
    </row>
    <row r="34" spans="1:2" ht="28" x14ac:dyDescent="0.2">
      <c r="A34" s="11" t="s">
        <v>27</v>
      </c>
      <c r="B34" s="12">
        <v>0.75</v>
      </c>
    </row>
    <row r="35" spans="1:2" ht="42" x14ac:dyDescent="0.2">
      <c r="A35" s="11" t="s">
        <v>28</v>
      </c>
      <c r="B35" s="12">
        <v>1.25</v>
      </c>
    </row>
    <row r="36" spans="1:2" ht="15.75" customHeight="1" x14ac:dyDescent="0.2">
      <c r="A36" s="15" t="s">
        <v>4</v>
      </c>
      <c r="B36" s="16">
        <f>SUM(B33:B35)</f>
        <v>2.25</v>
      </c>
    </row>
    <row r="37" spans="1:2" ht="15.75" customHeight="1" x14ac:dyDescent="0.2">
      <c r="A37" s="17"/>
      <c r="B37" s="12"/>
    </row>
    <row r="38" spans="1:2" ht="16" x14ac:dyDescent="0.2">
      <c r="A38" s="7" t="s">
        <v>29</v>
      </c>
      <c r="B38" s="14"/>
    </row>
    <row r="39" spans="1:2" ht="56" x14ac:dyDescent="0.2">
      <c r="A39" s="11" t="s">
        <v>30</v>
      </c>
      <c r="B39" s="12">
        <v>1.5</v>
      </c>
    </row>
    <row r="40" spans="1:2" ht="15.75" customHeight="1" x14ac:dyDescent="0.2">
      <c r="A40" s="15" t="s">
        <v>4</v>
      </c>
      <c r="B40" s="16">
        <f>SUM(B39:B39)</f>
        <v>1.5</v>
      </c>
    </row>
    <row r="41" spans="1:2" ht="15.75" customHeight="1" x14ac:dyDescent="0.2">
      <c r="A41" s="17"/>
      <c r="B41" s="12"/>
    </row>
    <row r="42" spans="1:2" s="20" customFormat="1" ht="15.75" customHeight="1" x14ac:dyDescent="0.2">
      <c r="A42" s="19" t="s">
        <v>31</v>
      </c>
      <c r="B42" s="12"/>
    </row>
    <row r="43" spans="1:2" s="20" customFormat="1" ht="84" x14ac:dyDescent="0.2">
      <c r="A43" s="11" t="s">
        <v>32</v>
      </c>
      <c r="B43" s="12">
        <v>3.5</v>
      </c>
    </row>
    <row r="44" spans="1:2" s="20" customFormat="1" ht="98" x14ac:dyDescent="0.2">
      <c r="A44" s="11" t="s">
        <v>42</v>
      </c>
      <c r="B44" s="12">
        <v>2.5</v>
      </c>
    </row>
    <row r="45" spans="1:2" s="20" customFormat="1" ht="15.75" customHeight="1" x14ac:dyDescent="0.2">
      <c r="A45" s="15" t="s">
        <v>4</v>
      </c>
      <c r="B45" s="16">
        <f>SUM(B43:B44)</f>
        <v>6</v>
      </c>
    </row>
    <row r="46" spans="1:2" s="20" customFormat="1" ht="15.75" customHeight="1" x14ac:dyDescent="0.2">
      <c r="A46" s="17"/>
      <c r="B46" s="12"/>
    </row>
    <row r="47" spans="1:2" ht="16" x14ac:dyDescent="0.2">
      <c r="A47" s="19" t="s">
        <v>33</v>
      </c>
      <c r="B47" s="14"/>
    </row>
    <row r="48" spans="1:2" ht="56" x14ac:dyDescent="0.2">
      <c r="A48" s="11" t="s">
        <v>34</v>
      </c>
      <c r="B48" s="12">
        <v>1</v>
      </c>
    </row>
    <row r="49" spans="1:2" ht="16" x14ac:dyDescent="0.2">
      <c r="A49" s="11" t="s">
        <v>35</v>
      </c>
      <c r="B49" s="12" t="s">
        <v>36</v>
      </c>
    </row>
    <row r="50" spans="1:2" ht="42" x14ac:dyDescent="0.2">
      <c r="A50" s="11" t="s">
        <v>37</v>
      </c>
      <c r="B50" s="12">
        <v>1</v>
      </c>
    </row>
    <row r="51" spans="1:2" ht="28" x14ac:dyDescent="0.2">
      <c r="A51" s="11" t="s">
        <v>38</v>
      </c>
      <c r="B51" s="12">
        <v>3</v>
      </c>
    </row>
    <row r="52" spans="1:2" ht="15.75" customHeight="1" x14ac:dyDescent="0.2">
      <c r="A52" s="15" t="s">
        <v>4</v>
      </c>
      <c r="B52" s="16">
        <f>SUM(B48:B51)</f>
        <v>5</v>
      </c>
    </row>
    <row r="53" spans="1:2" ht="16.5" customHeight="1" x14ac:dyDescent="0.2">
      <c r="A53" s="17"/>
      <c r="B53" s="12"/>
    </row>
    <row r="54" spans="1:2" ht="16.5" customHeight="1" thickBot="1" x14ac:dyDescent="0.25">
      <c r="A54" s="21" t="s">
        <v>39</v>
      </c>
      <c r="B54" s="22">
        <f>SUM(B14+B22+B30+B36+B40+B52+B45)</f>
        <v>51.25</v>
      </c>
    </row>
    <row r="55" spans="1:2" ht="15.75" customHeight="1" thickBot="1" x14ac:dyDescent="0.25">
      <c r="A55" s="23" t="s">
        <v>40</v>
      </c>
      <c r="B55" s="24">
        <v>6</v>
      </c>
    </row>
    <row r="56" spans="1:2" ht="15.75" customHeight="1" x14ac:dyDescent="0.2">
      <c r="A56" s="6"/>
      <c r="B56" s="6"/>
    </row>
    <row r="57" spans="1:2" ht="15.75" customHeight="1" x14ac:dyDescent="0.2">
      <c r="A57" s="25" t="s">
        <v>41</v>
      </c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6"/>
    </row>
    <row r="105" spans="1:2" ht="15.75" customHeight="1" x14ac:dyDescent="0.2">
      <c r="A105" s="6"/>
      <c r="B105" s="6"/>
    </row>
    <row r="106" spans="1:2" ht="15.75" customHeight="1" x14ac:dyDescent="0.2">
      <c r="A106" s="6"/>
      <c r="B106" s="6"/>
    </row>
    <row r="107" spans="1:2" ht="15.75" customHeight="1" x14ac:dyDescent="0.2">
      <c r="A107" s="6"/>
      <c r="B107" s="6"/>
    </row>
    <row r="108" spans="1:2" ht="15.75" customHeight="1" x14ac:dyDescent="0.2">
      <c r="A108" s="6"/>
      <c r="B108" s="6"/>
    </row>
    <row r="109" spans="1:2" ht="15.75" customHeight="1" x14ac:dyDescent="0.2">
      <c r="A109" s="6"/>
      <c r="B109" s="6"/>
    </row>
    <row r="110" spans="1:2" ht="15.75" customHeight="1" x14ac:dyDescent="0.2">
      <c r="A110" s="6"/>
      <c r="B110" s="6"/>
    </row>
    <row r="111" spans="1:2" ht="15.75" customHeight="1" x14ac:dyDescent="0.2">
      <c r="A111" s="6"/>
      <c r="B111" s="6"/>
    </row>
    <row r="112" spans="1:2" ht="15.75" customHeight="1" x14ac:dyDescent="0.2">
      <c r="A112" s="6"/>
      <c r="B112" s="6"/>
    </row>
    <row r="113" spans="1:2" ht="15.75" customHeight="1" x14ac:dyDescent="0.2">
      <c r="A113" s="6"/>
      <c r="B113" s="6"/>
    </row>
    <row r="114" spans="1:2" ht="15.75" customHeight="1" x14ac:dyDescent="0.2">
      <c r="A114" s="6"/>
      <c r="B114" s="6"/>
    </row>
    <row r="115" spans="1:2" ht="15.75" customHeight="1" x14ac:dyDescent="0.2">
      <c r="A115" s="6"/>
      <c r="B115" s="6"/>
    </row>
    <row r="116" spans="1:2" ht="15.75" customHeight="1" x14ac:dyDescent="0.2">
      <c r="A116" s="6"/>
      <c r="B116" s="6"/>
    </row>
    <row r="117" spans="1:2" ht="15.75" customHeight="1" x14ac:dyDescent="0.2">
      <c r="A117" s="6"/>
      <c r="B117" s="6"/>
    </row>
    <row r="118" spans="1:2" ht="15.75" customHeight="1" x14ac:dyDescent="0.2">
      <c r="A118" s="6"/>
      <c r="B118" s="6"/>
    </row>
    <row r="119" spans="1:2" ht="15.75" customHeight="1" x14ac:dyDescent="0.2">
      <c r="A119" s="6"/>
      <c r="B119" s="6"/>
    </row>
    <row r="120" spans="1:2" ht="15.75" customHeight="1" x14ac:dyDescent="0.2">
      <c r="A120" s="6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  <row r="1004" spans="1:2" ht="15.75" customHeight="1" x14ac:dyDescent="0.2">
      <c r="A1004" s="3"/>
      <c r="B1004" s="3"/>
    </row>
    <row r="1005" spans="1:2" ht="15.75" customHeight="1" x14ac:dyDescent="0.2">
      <c r="A1005" s="3"/>
      <c r="B1005" s="3"/>
    </row>
    <row r="1006" spans="1:2" ht="15.75" customHeight="1" x14ac:dyDescent="0.2">
      <c r="A1006" s="3"/>
      <c r="B1006" s="3"/>
    </row>
    <row r="1007" spans="1:2" ht="15.75" customHeight="1" x14ac:dyDescent="0.2">
      <c r="A1007" s="3"/>
      <c r="B1007" s="3"/>
    </row>
    <row r="1008" spans="1:2" ht="15.75" customHeight="1" x14ac:dyDescent="0.2">
      <c r="A1008" s="3"/>
      <c r="B1008" s="3"/>
    </row>
    <row r="1009" spans="1:2" ht="15.75" customHeight="1" x14ac:dyDescent="0.2">
      <c r="A1009" s="3"/>
      <c r="B1009" s="3"/>
    </row>
    <row r="1010" spans="1:2" ht="15" customHeight="1" x14ac:dyDescent="0.2">
      <c r="A1010" s="3"/>
    </row>
  </sheetData>
  <hyperlinks>
    <hyperlink ref="A2" r:id="rId1" xr:uid="{3BF43ACE-899F-114E-A5C8-6205B4223968}"/>
    <hyperlink ref="A57" r:id="rId2" xr:uid="{2F33FA13-3A58-604E-86DF-462CD434EE7C}"/>
    <hyperlink ref="A10" r:id="rId3" xr:uid="{1E5A5906-4B08-C643-9A6C-671A7F211554}"/>
    <hyperlink ref="A11" r:id="rId4" xr:uid="{2F5AB420-6CEC-3B4A-BCE7-523537A94321}"/>
    <hyperlink ref="A12" r:id="rId5" xr:uid="{16CEC5A6-9FD9-4E4E-B84E-D189C719B03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2024-03-26T15:59:36Z</dcterms:created>
  <dcterms:modified xsi:type="dcterms:W3CDTF">2024-03-26T16:02:06Z</dcterms:modified>
</cp:coreProperties>
</file>