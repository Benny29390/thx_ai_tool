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G-RAID Studio/Zoho WorkDrive (thoxan)/THOXAN GMBH/REPORTINGS/2024-03/"/>
    </mc:Choice>
  </mc:AlternateContent>
  <xr:revisionPtr revIDLastSave="0" documentId="13_ncr:1_{7CE30D6A-D804-8C40-9D14-AF6377FC70EC}" xr6:coauthVersionLast="47" xr6:coauthVersionMax="47" xr10:uidLastSave="{00000000-0000-0000-0000-000000000000}"/>
  <bookViews>
    <workbookView xWindow="53820" yWindow="2460" windowWidth="37280" windowHeight="26320" xr2:uid="{8DF6D16B-00F9-1D44-9C08-F8815A48F27F}"/>
  </bookViews>
  <sheets>
    <sheet name="WI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1" l="1"/>
  <c r="B39" i="1"/>
  <c r="B31" i="1"/>
  <c r="B25" i="1"/>
  <c r="B21" i="1"/>
  <c r="B12" i="1"/>
  <c r="B48" i="1" l="1"/>
</calcChain>
</file>

<file path=xl/sharedStrings.xml><?xml version="1.0" encoding="utf-8"?>
<sst xmlns="http://schemas.openxmlformats.org/spreadsheetml/2006/main" count="45" uniqueCount="39">
  <si>
    <t>WITTEKIND</t>
  </si>
  <si>
    <t>1. Quartal 2024</t>
  </si>
  <si>
    <t>www.wittekind-moebel.de</t>
  </si>
  <si>
    <t>Monatliche Optimierung</t>
  </si>
  <si>
    <t>Aufwand ca. in Std.</t>
  </si>
  <si>
    <t>1. Linkaufbau &amp; externe Veröffentlichungen</t>
  </si>
  <si>
    <t xml:space="preserve">Textarbeiten (Gastartikel): Briefing und Recherche, Texterstellung für Gastbeitrag auf "feng-shui.de" Lektorat, Abstimmung und Vorbereitung zur Veröffentlichung (11.01., EXT, TKI) </t>
  </si>
  <si>
    <t xml:space="preserve">Textarbeiten (Gastartikel): Briefing und Recherche, Texterstellung für Gastbeitrag auf "hausbau-portal.net" Lektorat, Abstimmung und Vorbereitung zur Veröffentlichung (15.02., EXT, TKI) </t>
  </si>
  <si>
    <t>Linkaufbau-Organisation und Abstimmung mit den Seitenbetreibern zur Veröffentlichung der vorbereiteten Gastartikel, Artikel zuschicken, Prüfung der Link-Integration, Abrechnung der Linkaufbau-Auslagen, Abstimmung und Dokumentation (15.01.-15.03., TKI)</t>
  </si>
  <si>
    <t>https://feng-shui.de/feng-shui-sitzen/</t>
  </si>
  <si>
    <t>https://www.hausbau-portal.net/rund-ums-haus/hausbau-ratgeber/ratgeber-hausbau/mondaene-aussenanlagen-6005.html</t>
  </si>
  <si>
    <t>Link-Monitoring: Neue Verlinkungen aus Link-Tools der letzten 30 Tage überprüft, einzeln bewertet (monatlich 0,25 Std., TKI)</t>
  </si>
  <si>
    <t>2. Redaktionelle Arbeiten und Website-Pflege</t>
  </si>
  <si>
    <t>Einpflegen der neuen Preise zum Jahresanfang für alle Produkte und für alle Abdeckhauben, kl. Anpassungen, Austausch der Polsterfarben-PDF mit Bildbearbeitung und Verlinkung, Austausch der Jahreskatalog-Grafiken an div. Stellen (Störer, CTA, Katalogseite), Hinweis auf Termin nach Lieferung, Abstimmung und Dokumentation (01.01., TKI)</t>
  </si>
  <si>
    <t>Weitere kl. Anpassungen, neue Abdeckhauben einpflegen, Textänderungen auf Kundenwunsch, Abstimmung und Dokumentation (08.01., TKI)</t>
  </si>
  <si>
    <t>Anlegen einer Unterseite für sofort lieferbare Möbel, Einrichtung eines separaten Custom Post Types zur Darstellung von Sets, Verlinkung im Menü, kl. Anpassungen, Störer einrichten, Abstimmung und Dokumentation (18.-19.01., TKI)</t>
  </si>
  <si>
    <t>Austausch mit Nina und Anpassungen an Weglot-Sprachsteuerung, Abstimmung und Dokumentation (02.02., DKI)</t>
  </si>
  <si>
    <t>Aktualisieren der Landpartie Schloss Bückeburg Unterseite, Vorbereiten eines Backstage-Postings für Social Media, Ticket-Management (12.03., TKI)</t>
  </si>
  <si>
    <t>Hinweis Osterpause auf der Website einbinden, kl. Anpassungen, Abstimmung und Dokumentation (22.03., TKI)</t>
  </si>
  <si>
    <t>4. Technik / Programmierung / Webentwicklung</t>
  </si>
  <si>
    <t>Header-Optimierung: Logo als SVG optimiert für "Smooth-Effekt" beim Scrollen, Anpassung der Top-Bar, kl. Änderungen, Abstimmung (03.-08., BKO)</t>
  </si>
  <si>
    <t>Crawling Berghütten zur Adressermittlung, Aufbereitung als Excel-Tabelle zum Anschreiben der Hüttenbetreiber per E-Mail, Abstimmung und Dokumentation (22.-26.01., BKO, TKI)</t>
  </si>
  <si>
    <t>Installation und Einrichtung neue Version von Borlabs Cookies (11.03., BKO)</t>
  </si>
  <si>
    <t>5. Google Ads, Social Ads, etc.</t>
  </si>
  <si>
    <t>Google Ads Monitoring (1. Quartal): Fortlaufendes Monitoring der eingerichteten Kampagnen und Anzeigengruppen, Anlegen weiterer Anzeigengruppen mit div. Keywords lt. Cluster-Auswahl, Texten von Anzeigen, Ergänzung und Ausschluss von passenden / unpassenden Keywords, kl. Änderungen, bedarfsgerechte Auswertung (01.01.-31.03., JST, TKI)</t>
  </si>
  <si>
    <r>
      <t xml:space="preserve">Aufbau Social-Media-Postings fürs komplette Jahr 2024 für </t>
    </r>
    <r>
      <rPr>
        <b/>
        <sz val="10"/>
        <color theme="1"/>
        <rFont val="Arial"/>
        <family val="2"/>
      </rPr>
      <t xml:space="preserve">Referenzen </t>
    </r>
    <r>
      <rPr>
        <sz val="10"/>
        <color theme="1"/>
        <rFont val="Arial"/>
        <family val="2"/>
      </rPr>
      <t>aufbereiten (05.-09.02., MGO)</t>
    </r>
  </si>
  <si>
    <r>
      <t xml:space="preserve">Aufbau Social-Media-Postings für </t>
    </r>
    <r>
      <rPr>
        <b/>
        <sz val="10"/>
        <color theme="1"/>
        <rFont val="Arial"/>
        <family val="2"/>
      </rPr>
      <t>Produkte</t>
    </r>
    <r>
      <rPr>
        <sz val="10"/>
        <color theme="1"/>
        <rFont val="Arial"/>
        <family val="2"/>
      </rPr>
      <t xml:space="preserve"> im 1. Quartal 2024 (01.-29.02., TKI)</t>
    </r>
  </si>
  <si>
    <r>
      <t xml:space="preserve">Aufbau Social-Media-Postins für </t>
    </r>
    <r>
      <rPr>
        <b/>
        <sz val="10"/>
        <color theme="1"/>
        <rFont val="Arial"/>
        <family val="2"/>
      </rPr>
      <t xml:space="preserve">Backstage </t>
    </r>
    <r>
      <rPr>
        <sz val="10"/>
        <color theme="1"/>
        <rFont val="Arial"/>
        <family val="2"/>
      </rPr>
      <t>im 1. Quartal 2024 (01.02.-25.03., TKI)</t>
    </r>
  </si>
  <si>
    <t>Social Ads-Monitoring (1. Quartal): Monatliches Monitoring der Werbe-kampagnen bei Facebook und Instagram, Anpassen der Werbeanzeigen, Verfeinern der Zielgruppe, kl. Arbeiten am Werbekonto, Abstimmung und Dokumentation (01.01 - 31.03., JST, TKI)</t>
  </si>
  <si>
    <t>6. Beratung &amp; Sonstiges</t>
  </si>
  <si>
    <t>Mailing "Katalog 2024": Mailing vorbereitet, inkl. Abstimmung &amp; Optimierung. Versand inkl. Follow-Up-Mail, sowie Export der Abmeldungen und Vorbereitung der Empfängerliste für Topix-CRM (19.-25.01., RBO, TKI)</t>
  </si>
  <si>
    <t>Mailing "Produkt-Neuheiten": Mailing vorbereitet, inkl. Abstimmung &amp; Optimierung. Versand inkl. Follow-Up-Mail, sowie Export der Abmeldungen und Vorbereitung der Empfängerliste für Topix-CRM (08.-19.03., RBO, TKI)</t>
  </si>
  <si>
    <t>Projektmanagement: Organisation, Planung, Überwachung und Steuerung der Aufgaben und Ressourcen (pro Tagessatz ca. 0,5 Std., TKI)</t>
  </si>
  <si>
    <t>Aufwand ca. insgesamt in Std.</t>
  </si>
  <si>
    <t>Aufwand in Tagessätzen</t>
  </si>
  <si>
    <t>Noch Rückfragen? Kontakt zur Thoxan Communications GmbH unter https://www.thoxan.com/kontakt/</t>
  </si>
  <si>
    <t>…</t>
  </si>
  <si>
    <t>3. Taskforce "Ereignisorientierte Vermarktung" (Ratgeber-Bereich)</t>
  </si>
  <si>
    <t>Anpassen der Visitenkarten von Nina Lange. Interne Abstimmung und Austausch von Schriftart und Bildmaterial inkl. kleiner Layoutanpassungen, Dokumentation, Nachdruck (08.-11.02., RBO, TKI)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</si>
</sst>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u/>
      <sz val="12"/>
      <color theme="10"/>
      <name val="Calibri"/>
      <family val="2"/>
    </font>
    <font>
      <sz val="10"/>
      <color theme="3"/>
      <name val="Arial"/>
      <family val="2"/>
    </font>
    <font>
      <sz val="10"/>
      <color rgb="FFBFBFBF"/>
      <name val="Arial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2" xfId="0" applyFont="1" applyBorder="1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3" fillId="3" borderId="3" xfId="1" applyFont="1" applyFill="1" applyBorder="1" applyAlignment="1">
      <alignment vertical="top" wrapText="1"/>
    </xf>
    <xf numFmtId="0" fontId="4" fillId="2" borderId="3" xfId="0" applyFont="1" applyFill="1" applyBorder="1" applyAlignment="1">
      <alignment vertical="center"/>
    </xf>
    <xf numFmtId="0" fontId="4" fillId="0" borderId="4" xfId="0" applyFont="1" applyBorder="1"/>
    <xf numFmtId="0" fontId="4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6" fillId="0" borderId="2" xfId="0" applyFont="1" applyBorder="1" applyAlignment="1">
      <alignment vertical="top" wrapText="1"/>
    </xf>
    <xf numFmtId="0" fontId="4" fillId="2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10" fillId="0" borderId="0" xfId="0" applyFont="1"/>
    <xf numFmtId="0" fontId="7" fillId="0" borderId="0" xfId="1"/>
    <xf numFmtId="0" fontId="4" fillId="0" borderId="2" xfId="0" applyFont="1" applyBorder="1" applyAlignment="1" applyProtection="1">
      <alignment vertical="top" wrapText="1"/>
      <protection locked="0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ausbau-portal.net/rund-ums-haus/hausbau-ratgeber/ratgeber-hausbau/mondaene-aussenanlagen-6005.html" TargetMode="External"/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wittekind-moebel.de/" TargetMode="External"/><Relationship Id="rId4" Type="http://schemas.openxmlformats.org/officeDocument/2006/relationships/hyperlink" Target="https://feng-shui.de/feng-shui-sitz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ECDCE-AC17-F84D-BE1B-0B6E8DA1E914}">
  <dimension ref="A1:B994"/>
  <sheetViews>
    <sheetView tabSelected="1" zoomScale="150" zoomScaleNormal="150" workbookViewId="0">
      <pane ySplit="4" topLeftCell="A34" activePane="bottomLeft" state="frozen"/>
      <selection pane="bottomLeft" activeCell="A44" sqref="A44"/>
    </sheetView>
  </sheetViews>
  <sheetFormatPr baseColWidth="10" defaultColWidth="11.1640625" defaultRowHeight="15" customHeight="1" x14ac:dyDescent="0.2"/>
  <cols>
    <col min="1" max="1" width="57.5" customWidth="1"/>
    <col min="2" max="2" width="24.66406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6"/>
      <c r="B3" s="7"/>
    </row>
    <row r="4" spans="1:2" s="10" customFormat="1" ht="28" customHeight="1" x14ac:dyDescent="0.2">
      <c r="A4" s="8"/>
      <c r="B4" s="8" t="s">
        <v>4</v>
      </c>
    </row>
    <row r="5" spans="1:2" s="10" customFormat="1" ht="15.75" customHeight="1" x14ac:dyDescent="0.2">
      <c r="A5" s="11" t="s">
        <v>5</v>
      </c>
      <c r="B5" s="12"/>
    </row>
    <row r="6" spans="1:2" s="10" customFormat="1" ht="42" x14ac:dyDescent="0.2">
      <c r="A6" s="14" t="s">
        <v>6</v>
      </c>
      <c r="B6" s="12">
        <v>3</v>
      </c>
    </row>
    <row r="7" spans="1:2" s="10" customFormat="1" ht="42" x14ac:dyDescent="0.2">
      <c r="A7" s="14" t="s">
        <v>7</v>
      </c>
      <c r="B7" s="12">
        <v>3</v>
      </c>
    </row>
    <row r="8" spans="1:2" s="10" customFormat="1" ht="56" x14ac:dyDescent="0.2">
      <c r="A8" s="15" t="s">
        <v>8</v>
      </c>
      <c r="B8" s="13">
        <v>1.25</v>
      </c>
    </row>
    <row r="9" spans="1:2" s="9" customFormat="1" ht="14" x14ac:dyDescent="0.15">
      <c r="A9" s="16" t="s">
        <v>9</v>
      </c>
      <c r="B9" s="13"/>
    </row>
    <row r="10" spans="1:2" s="9" customFormat="1" ht="28" x14ac:dyDescent="0.15">
      <c r="A10" s="16" t="s">
        <v>10</v>
      </c>
      <c r="B10" s="13"/>
    </row>
    <row r="11" spans="1:2" s="10" customFormat="1" ht="28" x14ac:dyDescent="0.2">
      <c r="A11" s="15" t="s">
        <v>11</v>
      </c>
      <c r="B11" s="13">
        <v>0.75</v>
      </c>
    </row>
    <row r="12" spans="1:2" s="10" customFormat="1" ht="15.75" customHeight="1" x14ac:dyDescent="0.2">
      <c r="A12" s="17" t="s">
        <v>4</v>
      </c>
      <c r="B12" s="8">
        <f>SUM(B6:B11)</f>
        <v>8</v>
      </c>
    </row>
    <row r="13" spans="1:2" s="10" customFormat="1" ht="15.75" customHeight="1" x14ac:dyDescent="0.2">
      <c r="A13" s="18"/>
      <c r="B13" s="19"/>
    </row>
    <row r="14" spans="1:2" s="10" customFormat="1" ht="15.75" customHeight="1" x14ac:dyDescent="0.2">
      <c r="A14" s="11" t="s">
        <v>12</v>
      </c>
      <c r="B14" s="12"/>
    </row>
    <row r="15" spans="1:2" s="10" customFormat="1" ht="70" x14ac:dyDescent="0.2">
      <c r="A15" s="14" t="s">
        <v>13</v>
      </c>
      <c r="B15" s="12">
        <v>1.5</v>
      </c>
    </row>
    <row r="16" spans="1:2" s="10" customFormat="1" ht="42" x14ac:dyDescent="0.2">
      <c r="A16" s="14" t="s">
        <v>14</v>
      </c>
      <c r="B16" s="12">
        <v>0.5</v>
      </c>
    </row>
    <row r="17" spans="1:2" s="10" customFormat="1" ht="56" x14ac:dyDescent="0.2">
      <c r="A17" s="14" t="s">
        <v>15</v>
      </c>
      <c r="B17" s="12">
        <v>2</v>
      </c>
    </row>
    <row r="18" spans="1:2" s="10" customFormat="1" ht="28" x14ac:dyDescent="0.2">
      <c r="A18" s="14" t="s">
        <v>16</v>
      </c>
      <c r="B18" s="12">
        <v>2</v>
      </c>
    </row>
    <row r="19" spans="1:2" s="10" customFormat="1" ht="42" x14ac:dyDescent="0.2">
      <c r="A19" s="30" t="s">
        <v>17</v>
      </c>
      <c r="B19" s="12">
        <v>1</v>
      </c>
    </row>
    <row r="20" spans="1:2" s="10" customFormat="1" ht="28" x14ac:dyDescent="0.2">
      <c r="A20" s="30" t="s">
        <v>18</v>
      </c>
      <c r="B20" s="12">
        <v>0.5</v>
      </c>
    </row>
    <row r="21" spans="1:2" s="10" customFormat="1" ht="15.75" customHeight="1" x14ac:dyDescent="0.2">
      <c r="A21" s="21" t="s">
        <v>4</v>
      </c>
      <c r="B21" s="8">
        <f>SUM(B15:B20)</f>
        <v>7.5</v>
      </c>
    </row>
    <row r="22" spans="1:2" s="10" customFormat="1" ht="15.75" customHeight="1" x14ac:dyDescent="0.2">
      <c r="A22" s="14"/>
      <c r="B22" s="12"/>
    </row>
    <row r="23" spans="1:2" s="10" customFormat="1" ht="15.75" customHeight="1" x14ac:dyDescent="0.2">
      <c r="A23" s="22" t="s">
        <v>37</v>
      </c>
      <c r="B23" s="12"/>
    </row>
    <row r="24" spans="1:2" s="10" customFormat="1" ht="14" x14ac:dyDescent="0.2">
      <c r="A24" s="14" t="s">
        <v>36</v>
      </c>
      <c r="B24" s="20"/>
    </row>
    <row r="25" spans="1:2" s="10" customFormat="1" ht="15.75" customHeight="1" x14ac:dyDescent="0.2">
      <c r="A25" s="21" t="s">
        <v>4</v>
      </c>
      <c r="B25" s="8">
        <f>SUM(B24:B24)</f>
        <v>0</v>
      </c>
    </row>
    <row r="26" spans="1:2" s="10" customFormat="1" ht="15.75" customHeight="1" x14ac:dyDescent="0.2">
      <c r="A26" s="14"/>
      <c r="B26" s="12"/>
    </row>
    <row r="27" spans="1:2" s="10" customFormat="1" ht="15.75" customHeight="1" x14ac:dyDescent="0.2">
      <c r="A27" s="11" t="s">
        <v>19</v>
      </c>
      <c r="B27" s="12"/>
    </row>
    <row r="28" spans="1:2" s="10" customFormat="1" ht="42" x14ac:dyDescent="0.2">
      <c r="A28" s="14" t="s">
        <v>20</v>
      </c>
      <c r="B28" s="12">
        <v>1</v>
      </c>
    </row>
    <row r="29" spans="1:2" s="10" customFormat="1" ht="42" x14ac:dyDescent="0.2">
      <c r="A29" s="14" t="s">
        <v>21</v>
      </c>
      <c r="B29" s="12">
        <v>1.5</v>
      </c>
    </row>
    <row r="30" spans="1:2" s="10" customFormat="1" ht="28" x14ac:dyDescent="0.2">
      <c r="A30" s="14" t="s">
        <v>22</v>
      </c>
      <c r="B30" s="12">
        <v>1</v>
      </c>
    </row>
    <row r="31" spans="1:2" s="10" customFormat="1" ht="15.75" customHeight="1" x14ac:dyDescent="0.2">
      <c r="A31" s="21" t="s">
        <v>4</v>
      </c>
      <c r="B31" s="23">
        <f>SUM(B28:B30)</f>
        <v>3.5</v>
      </c>
    </row>
    <row r="32" spans="1:2" s="10" customFormat="1" ht="15.75" customHeight="1" x14ac:dyDescent="0.2">
      <c r="A32" s="11"/>
      <c r="B32" s="12"/>
    </row>
    <row r="33" spans="1:2" s="10" customFormat="1" ht="15.75" customHeight="1" x14ac:dyDescent="0.2">
      <c r="A33" s="11" t="s">
        <v>23</v>
      </c>
      <c r="B33" s="12"/>
    </row>
    <row r="34" spans="1:2" s="10" customFormat="1" ht="84" x14ac:dyDescent="0.2">
      <c r="A34" s="14" t="s">
        <v>24</v>
      </c>
      <c r="B34" s="13">
        <v>6.5</v>
      </c>
    </row>
    <row r="35" spans="1:2" s="10" customFormat="1" ht="28" x14ac:dyDescent="0.2">
      <c r="A35" s="14" t="s">
        <v>25</v>
      </c>
      <c r="B35" s="12">
        <v>6</v>
      </c>
    </row>
    <row r="36" spans="1:2" s="10" customFormat="1" ht="28" x14ac:dyDescent="0.2">
      <c r="A36" s="14" t="s">
        <v>26</v>
      </c>
      <c r="B36" s="12">
        <v>3</v>
      </c>
    </row>
    <row r="37" spans="1:2" s="10" customFormat="1" ht="28" x14ac:dyDescent="0.2">
      <c r="A37" s="14" t="s">
        <v>27</v>
      </c>
      <c r="B37" s="12">
        <v>4</v>
      </c>
    </row>
    <row r="38" spans="1:2" s="10" customFormat="1" ht="70" x14ac:dyDescent="0.2">
      <c r="A38" s="14" t="s">
        <v>28</v>
      </c>
      <c r="B38" s="12">
        <v>6</v>
      </c>
    </row>
    <row r="39" spans="1:2" s="10" customFormat="1" ht="15.75" customHeight="1" x14ac:dyDescent="0.2">
      <c r="A39" s="21" t="s">
        <v>4</v>
      </c>
      <c r="B39" s="23">
        <f>SUM(B34:B38)</f>
        <v>25.5</v>
      </c>
    </row>
    <row r="40" spans="1:2" s="10" customFormat="1" ht="15.75" customHeight="1" x14ac:dyDescent="0.2">
      <c r="A40" s="11"/>
      <c r="B40" s="12"/>
    </row>
    <row r="41" spans="1:2" s="10" customFormat="1" ht="15.75" customHeight="1" x14ac:dyDescent="0.2">
      <c r="A41" s="11" t="s">
        <v>29</v>
      </c>
      <c r="B41" s="12"/>
    </row>
    <row r="42" spans="1:2" s="10" customFormat="1" ht="56" x14ac:dyDescent="0.2">
      <c r="A42" s="14" t="s">
        <v>30</v>
      </c>
      <c r="B42" s="12">
        <v>3</v>
      </c>
    </row>
    <row r="43" spans="1:2" s="10" customFormat="1" ht="56" x14ac:dyDescent="0.2">
      <c r="A43" s="14" t="s">
        <v>38</v>
      </c>
      <c r="B43" s="12">
        <v>1.25</v>
      </c>
    </row>
    <row r="44" spans="1:2" s="10" customFormat="1" ht="56" x14ac:dyDescent="0.2">
      <c r="A44" s="14" t="s">
        <v>31</v>
      </c>
      <c r="B44" s="12">
        <v>2.75</v>
      </c>
    </row>
    <row r="45" spans="1:2" s="10" customFormat="1" ht="42" x14ac:dyDescent="0.2">
      <c r="A45" s="14" t="s">
        <v>32</v>
      </c>
      <c r="B45" s="12">
        <v>3</v>
      </c>
    </row>
    <row r="46" spans="1:2" s="10" customFormat="1" ht="15.75" customHeight="1" x14ac:dyDescent="0.2">
      <c r="A46" s="21" t="s">
        <v>4</v>
      </c>
      <c r="B46" s="23">
        <f>SUM(B42:B45)</f>
        <v>10</v>
      </c>
    </row>
    <row r="47" spans="1:2" s="10" customFormat="1" ht="15.75" customHeight="1" x14ac:dyDescent="0.2">
      <c r="A47" s="14"/>
      <c r="B47" s="24"/>
    </row>
    <row r="48" spans="1:2" s="10" customFormat="1" ht="16.5" customHeight="1" thickBot="1" x14ac:dyDescent="0.25">
      <c r="A48" s="25" t="s">
        <v>33</v>
      </c>
      <c r="B48" s="26">
        <f>SUM(B12+B21+B25+B31+B39+B46)</f>
        <v>54.5</v>
      </c>
    </row>
    <row r="49" spans="1:2" s="10" customFormat="1" ht="16.5" customHeight="1" thickBot="1" x14ac:dyDescent="0.25">
      <c r="A49" s="25" t="s">
        <v>34</v>
      </c>
      <c r="B49" s="27">
        <v>6.5</v>
      </c>
    </row>
    <row r="50" spans="1:2" ht="15.75" customHeight="1" x14ac:dyDescent="0.2">
      <c r="A50" s="9"/>
      <c r="B50" s="9"/>
    </row>
    <row r="51" spans="1:2" ht="15.75" customHeight="1" x14ac:dyDescent="0.2">
      <c r="A51" s="28" t="s">
        <v>35</v>
      </c>
      <c r="B51" s="9"/>
    </row>
    <row r="53" spans="1:2" ht="15.75" customHeight="1" x14ac:dyDescent="0.2">
      <c r="A53" s="9"/>
      <c r="B53" s="9"/>
    </row>
    <row r="54" spans="1:2" ht="15.75" customHeight="1" x14ac:dyDescent="0.2">
      <c r="A54" s="9"/>
      <c r="B54" s="9"/>
    </row>
    <row r="55" spans="1:2" ht="15.75" customHeight="1" x14ac:dyDescent="0.2">
      <c r="A55" s="9"/>
      <c r="B55" s="9"/>
    </row>
    <row r="56" spans="1:2" ht="15.75" customHeight="1" x14ac:dyDescent="0.2">
      <c r="A56" s="9"/>
      <c r="B56" s="29"/>
    </row>
    <row r="57" spans="1:2" ht="15.75" customHeight="1" x14ac:dyDescent="0.2">
      <c r="A57" s="9"/>
      <c r="B57" s="9"/>
    </row>
    <row r="58" spans="1:2" ht="15.75" customHeight="1" x14ac:dyDescent="0.2">
      <c r="A58" s="9"/>
      <c r="B58" s="9"/>
    </row>
    <row r="59" spans="1:2" ht="15.75" customHeight="1" x14ac:dyDescent="0.2">
      <c r="A59" s="9"/>
      <c r="B59" s="9"/>
    </row>
    <row r="60" spans="1:2" ht="15.75" customHeight="1" x14ac:dyDescent="0.2">
      <c r="A60" s="9"/>
      <c r="B60" s="9"/>
    </row>
    <row r="61" spans="1:2" ht="15.75" customHeight="1" x14ac:dyDescent="0.2">
      <c r="A61" s="9"/>
      <c r="B61" s="9"/>
    </row>
    <row r="62" spans="1:2" ht="15.75" customHeight="1" x14ac:dyDescent="0.2">
      <c r="A62" s="9"/>
      <c r="B62" s="9"/>
    </row>
    <row r="63" spans="1:2" ht="15.75" customHeight="1" x14ac:dyDescent="0.2">
      <c r="A63" s="9"/>
      <c r="B63" s="9"/>
    </row>
    <row r="64" spans="1:2" ht="15.75" customHeight="1" x14ac:dyDescent="0.2">
      <c r="A64" s="9"/>
      <c r="B64" s="9"/>
    </row>
    <row r="65" spans="1:2" ht="15.75" customHeight="1" x14ac:dyDescent="0.2">
      <c r="A65" s="9"/>
      <c r="B65" s="9"/>
    </row>
    <row r="66" spans="1:2" ht="15.75" customHeight="1" x14ac:dyDescent="0.2">
      <c r="A66" s="9"/>
      <c r="B66" s="9"/>
    </row>
    <row r="67" spans="1:2" ht="15.75" customHeight="1" x14ac:dyDescent="0.2">
      <c r="A67" s="9"/>
      <c r="B67" s="9"/>
    </row>
    <row r="68" spans="1:2" ht="15.75" customHeight="1" x14ac:dyDescent="0.2">
      <c r="A68" s="9"/>
      <c r="B68" s="9"/>
    </row>
    <row r="69" spans="1:2" ht="15.75" customHeight="1" x14ac:dyDescent="0.2">
      <c r="A69" s="9"/>
      <c r="B69" s="9"/>
    </row>
    <row r="70" spans="1:2" ht="15.75" customHeight="1" x14ac:dyDescent="0.2">
      <c r="A70" s="9"/>
      <c r="B70" s="9"/>
    </row>
    <row r="71" spans="1:2" ht="15.75" customHeight="1" x14ac:dyDescent="0.2">
      <c r="A71" s="9"/>
      <c r="B71" s="9"/>
    </row>
    <row r="72" spans="1:2" ht="15.75" customHeight="1" x14ac:dyDescent="0.2">
      <c r="A72" s="9"/>
      <c r="B72" s="9"/>
    </row>
    <row r="73" spans="1:2" ht="15.75" customHeight="1" x14ac:dyDescent="0.2">
      <c r="A73" s="9"/>
      <c r="B73" s="9"/>
    </row>
    <row r="74" spans="1:2" ht="15.75" customHeight="1" x14ac:dyDescent="0.2">
      <c r="A74" s="9"/>
      <c r="B74" s="9"/>
    </row>
    <row r="75" spans="1:2" ht="15.75" customHeight="1" x14ac:dyDescent="0.2">
      <c r="A75" s="9"/>
      <c r="B75" s="9"/>
    </row>
    <row r="76" spans="1:2" ht="15.75" customHeight="1" x14ac:dyDescent="0.2">
      <c r="A76" s="9"/>
      <c r="B76" s="9"/>
    </row>
    <row r="77" spans="1:2" ht="15.75" customHeight="1" x14ac:dyDescent="0.2">
      <c r="A77" s="9"/>
      <c r="B77" s="9"/>
    </row>
    <row r="78" spans="1:2" ht="15.75" customHeight="1" x14ac:dyDescent="0.2">
      <c r="A78" s="9"/>
      <c r="B78" s="9"/>
    </row>
    <row r="79" spans="1:2" ht="15.75" customHeight="1" x14ac:dyDescent="0.2">
      <c r="A79" s="9"/>
      <c r="B79" s="9"/>
    </row>
    <row r="80" spans="1:2" ht="15.75" customHeight="1" x14ac:dyDescent="0.2">
      <c r="A80" s="9"/>
      <c r="B80" s="9"/>
    </row>
    <row r="81" spans="1:2" ht="15.75" customHeight="1" x14ac:dyDescent="0.2">
      <c r="A81" s="9"/>
      <c r="B81" s="9"/>
    </row>
    <row r="82" spans="1:2" ht="15.75" customHeight="1" x14ac:dyDescent="0.2">
      <c r="A82" s="9"/>
      <c r="B82" s="9"/>
    </row>
    <row r="83" spans="1:2" ht="15.75" customHeight="1" x14ac:dyDescent="0.2">
      <c r="A83" s="9"/>
      <c r="B83" s="9"/>
    </row>
    <row r="84" spans="1:2" ht="15.75" customHeight="1" x14ac:dyDescent="0.2">
      <c r="A84" s="9"/>
      <c r="B84" s="9"/>
    </row>
    <row r="85" spans="1:2" ht="15.75" customHeight="1" x14ac:dyDescent="0.2">
      <c r="A85" s="9"/>
      <c r="B85" s="9"/>
    </row>
    <row r="86" spans="1:2" ht="15.75" customHeight="1" x14ac:dyDescent="0.2">
      <c r="A86" s="9"/>
      <c r="B86" s="9"/>
    </row>
    <row r="87" spans="1:2" ht="15.75" customHeight="1" x14ac:dyDescent="0.2">
      <c r="A87" s="9"/>
      <c r="B87" s="9"/>
    </row>
    <row r="88" spans="1:2" ht="15.75" customHeight="1" x14ac:dyDescent="0.2">
      <c r="A88" s="9"/>
      <c r="B88" s="9"/>
    </row>
    <row r="89" spans="1:2" ht="15.75" customHeight="1" x14ac:dyDescent="0.2">
      <c r="A89" s="9"/>
      <c r="B89" s="9"/>
    </row>
    <row r="90" spans="1:2" ht="15.75" customHeight="1" x14ac:dyDescent="0.2">
      <c r="A90" s="9"/>
      <c r="B90" s="9"/>
    </row>
    <row r="91" spans="1:2" ht="15.75" customHeight="1" x14ac:dyDescent="0.2">
      <c r="A91" s="9"/>
      <c r="B91" s="9"/>
    </row>
    <row r="92" spans="1:2" ht="15.75" customHeight="1" x14ac:dyDescent="0.2">
      <c r="A92" s="9"/>
      <c r="B92" s="9"/>
    </row>
    <row r="93" spans="1:2" ht="15.75" customHeight="1" x14ac:dyDescent="0.2">
      <c r="A93" s="9"/>
      <c r="B93" s="9"/>
    </row>
    <row r="94" spans="1:2" ht="15.75" customHeight="1" x14ac:dyDescent="0.2">
      <c r="A94" s="9"/>
      <c r="B94" s="9"/>
    </row>
    <row r="95" spans="1:2" ht="15.75" customHeight="1" x14ac:dyDescent="0.2">
      <c r="A95" s="9"/>
      <c r="B95" s="9"/>
    </row>
    <row r="96" spans="1:2" ht="15.75" customHeight="1" x14ac:dyDescent="0.2">
      <c r="A96" s="9"/>
      <c r="B96" s="9"/>
    </row>
    <row r="97" spans="1:2" ht="15.75" customHeight="1" x14ac:dyDescent="0.2">
      <c r="A97" s="9"/>
      <c r="B97" s="9"/>
    </row>
    <row r="98" spans="1:2" ht="15.75" customHeight="1" x14ac:dyDescent="0.2">
      <c r="A98" s="9"/>
      <c r="B98" s="9"/>
    </row>
    <row r="99" spans="1:2" ht="15.75" customHeight="1" x14ac:dyDescent="0.2">
      <c r="A99" s="9"/>
      <c r="B99" s="9"/>
    </row>
    <row r="100" spans="1:2" ht="15.75" customHeight="1" x14ac:dyDescent="0.2">
      <c r="A100" s="9"/>
      <c r="B100" s="9"/>
    </row>
    <row r="101" spans="1:2" ht="15.75" customHeight="1" x14ac:dyDescent="0.2">
      <c r="A101" s="9"/>
      <c r="B101" s="9"/>
    </row>
    <row r="102" spans="1:2" ht="15.75" customHeight="1" x14ac:dyDescent="0.2">
      <c r="A102" s="9"/>
      <c r="B102" s="9"/>
    </row>
    <row r="103" spans="1:2" ht="15.75" customHeight="1" x14ac:dyDescent="0.2">
      <c r="A103" s="9"/>
      <c r="B103" s="9"/>
    </row>
    <row r="104" spans="1:2" ht="15.75" customHeight="1" x14ac:dyDescent="0.2">
      <c r="A104" s="9"/>
      <c r="B104" s="9"/>
    </row>
    <row r="105" spans="1:2" ht="15.75" customHeight="1" x14ac:dyDescent="0.2">
      <c r="A105" s="9"/>
      <c r="B105" s="9"/>
    </row>
    <row r="106" spans="1:2" ht="15.75" customHeight="1" x14ac:dyDescent="0.2">
      <c r="A106" s="9"/>
      <c r="B106" s="9"/>
    </row>
    <row r="107" spans="1:2" ht="15.75" customHeight="1" x14ac:dyDescent="0.2">
      <c r="A107" s="9"/>
      <c r="B107" s="9"/>
    </row>
    <row r="108" spans="1:2" ht="15.75" customHeight="1" x14ac:dyDescent="0.2">
      <c r="A108" s="9"/>
      <c r="B108" s="9"/>
    </row>
    <row r="109" spans="1:2" ht="15.75" customHeight="1" x14ac:dyDescent="0.2">
      <c r="A109" s="9"/>
      <c r="B109" s="9"/>
    </row>
    <row r="110" spans="1:2" ht="15.75" customHeight="1" x14ac:dyDescent="0.2">
      <c r="A110" s="9"/>
      <c r="B110" s="9"/>
    </row>
    <row r="111" spans="1:2" ht="15.75" customHeight="1" x14ac:dyDescent="0.2">
      <c r="A111" s="9"/>
      <c r="B111" s="9"/>
    </row>
    <row r="112" spans="1:2" ht="15.75" customHeight="1" x14ac:dyDescent="0.2">
      <c r="A112" s="9"/>
      <c r="B112" s="9"/>
    </row>
    <row r="113" spans="1:2" ht="15.75" customHeight="1" x14ac:dyDescent="0.2">
      <c r="A113" s="9"/>
      <c r="B113" s="9"/>
    </row>
    <row r="114" spans="1:2" ht="15.75" customHeight="1" x14ac:dyDescent="0.2">
      <c r="A114" s="9"/>
      <c r="B114" s="9"/>
    </row>
    <row r="115" spans="1:2" ht="15.75" customHeight="1" x14ac:dyDescent="0.2">
      <c r="A115" s="9"/>
      <c r="B115" s="9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  <row r="993" spans="1:2" ht="15.75" customHeight="1" x14ac:dyDescent="0.2">
      <c r="A993" s="3"/>
      <c r="B993" s="3"/>
    </row>
    <row r="994" spans="1:2" ht="15.75" customHeight="1" x14ac:dyDescent="0.2">
      <c r="A994" s="3"/>
      <c r="B994" s="3"/>
    </row>
  </sheetData>
  <hyperlinks>
    <hyperlink ref="A2" r:id="rId1" xr:uid="{3FE41776-1FB2-5B4D-8C0C-CFE06DB969DA}"/>
    <hyperlink ref="A51" r:id="rId2" display="https://www.thoxan.com/kontakt/" xr:uid="{880C4156-B0B5-914D-91E2-AD0B283A3853}"/>
    <hyperlink ref="A10" r:id="rId3" xr:uid="{CCA99294-68A5-9B44-9996-49074C8200F6}"/>
    <hyperlink ref="A9" r:id="rId4" xr:uid="{47118A79-6659-7540-803B-102AE50CC617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2024-03-27T13:28:55Z</dcterms:created>
  <dcterms:modified xsi:type="dcterms:W3CDTF">2024-03-27T13:37:17Z</dcterms:modified>
</cp:coreProperties>
</file>