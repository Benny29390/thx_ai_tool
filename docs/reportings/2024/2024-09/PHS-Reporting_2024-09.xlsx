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09/"/>
    </mc:Choice>
  </mc:AlternateContent>
  <xr:revisionPtr revIDLastSave="0" documentId="13_ncr:1_{107B68A7-C738-9849-A6BB-932138D52DB1}" xr6:coauthVersionLast="47" xr6:coauthVersionMax="47" xr10:uidLastSave="{00000000-0000-0000-0000-000000000000}"/>
  <bookViews>
    <workbookView xWindow="7040" yWindow="500" windowWidth="41400" windowHeight="27040" xr2:uid="{D903518E-01F3-7146-8451-17FE76C44AA8}"/>
  </bookViews>
  <sheets>
    <sheet name="P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B40" i="1"/>
  <c r="B35" i="1"/>
  <c r="B29" i="1"/>
  <c r="B16" i="1"/>
  <c r="B48" i="1" l="1"/>
</calcChain>
</file>

<file path=xl/sharedStrings.xml><?xml version="1.0" encoding="utf-8"?>
<sst xmlns="http://schemas.openxmlformats.org/spreadsheetml/2006/main" count="49" uniqueCount="43">
  <si>
    <t>Pflegedienst Hessen Süd Janssen GmbH</t>
  </si>
  <si>
    <t>3. Quartal 2024</t>
  </si>
  <si>
    <t>www.pflegedienst-hessen-sued.de</t>
  </si>
  <si>
    <t>Monatliche Optimierung</t>
  </si>
  <si>
    <t>Aufwand ca. in Std.</t>
  </si>
  <si>
    <t>1. Linkaufbau, Linkabbau, Online-PR</t>
  </si>
  <si>
    <t>Textarbeiten Gastartikel: Briefing und Recherche, Texterstellung für Gastbeitrag auf "personalzentrum.de"  Lektorat, Abstimmung und Vorbereitung zur Veröffentlichung (03.07., EXT, TKI)</t>
  </si>
  <si>
    <t>Textarbeiten Gastartikel: Briefing und Recherche, Texterstellung für Gastbeitrag auf "gesundheit.com"  Lektorat, Abstimmung und Vorbereitung zur Veröffentlichung (19.08., EXT, TKI)</t>
  </si>
  <si>
    <t>Textarbeiten Gastartikel: Briefing und Recherche, Texterstellung für Gastbeitrag auf "bildungsbibel.de"  Lektorat, Abstimmung und Vorbereitung zur Veröffentlichung (03.09., EXT, TKI)</t>
  </si>
  <si>
    <t>Textarbeiten Gastartikel: Briefing und Recherche, Texterstellung für Gastbeitrag auf "miomedi.de"  Lektorat, Abstimmung und Vorbereitung zur Veröffentlichung (27.09., EXT, TKI)</t>
  </si>
  <si>
    <t>https://personalzentrum.de/tipps/einstiegsmoeglichkeiten-in-gesundheits-und-pflegeberufe.html</t>
  </si>
  <si>
    <t>https://www.gesundheit.com/gesundheit/1/die-haeusliche-krankenpflege-nach-unfall-oder-krankheit-zu-hause-gut-versorgt</t>
  </si>
  <si>
    <t>bildungsbibel.de</t>
  </si>
  <si>
    <t>(Wartet auf Veröffentlichung)</t>
  </si>
  <si>
    <t>miomedi.de</t>
  </si>
  <si>
    <t>Link-Monitoring: Neue Verlinkungen aus Link-Tools der letzten 30 Tage kurz gesichtet, überprüft und bewertet (monatliches Monitoring, TKI)</t>
  </si>
  <si>
    <t>2. Redaktionelle Arbeiten &amp; Website-Pflege</t>
  </si>
  <si>
    <t>Textoptimierung Blogartikel "Mehr Geld für die Pflege": Abstimmung, Recherche und Textoptimierung für bestehende Unterseite, Überarbeitung des Bestandstexts und Texterweiterung, Keyword-Optimierung, Ergänzungen und kl. Anpassungen, Lektorat und finale Bearbeitung, Versand an Kunden und Dokumentation (08.-19.07., NMA, GBO)</t>
  </si>
  <si>
    <t>Textoptimierung Blogartikel "Ein Beruf, der begeistert": Abstimmung, Recherche und Textoptimierung für bestehende Unterseite, Überarbeitung des Bestandstexts und Texterweiterung, Keyword-Optimierung, Ergänzungen und kl. Anpassungen, Lektorat und finale Bearbeitung, Versand an Kunden und Dokumentation (08.-19.07., NMA, GBO)</t>
  </si>
  <si>
    <t>Textoptimierung Blogartikel "Gedächtnistraining Senioren": Abstimmung, Recherche und Textoptimierung für bestehende Unterseite, Überarbeitung des Bestandstexts und Texterweiterung, Keyword-Optimierung, Ergänzungen und kl. Anpassungen, Lektorat und finale Bearbeitung, Versand an Kunden und Dokumentation (08.-19.07., NMA, GBO)</t>
  </si>
  <si>
    <t>Management der weiteren Textarbeiten inkl. Ticketerstellung in Asana, Prüfung von Briefing-Bedarf, Arbeiten in Sistrix zur Prüfung von Suchvolumen, kurze themenrelevante Recherchen, Briefing für Blogbeiträge, Kommunikation intern/extern, Dokumentation
(17.07., GBO)</t>
  </si>
  <si>
    <t>Kompakte Textoptimierung Unterseite Intensivpflege: Abstimmung, Briefing und Textoptimierung für bestehende Inhalte, Überarbeitung des Bestandstexts, Anpassungen, Lektorat und finale Bearbeitung, Versand an Kunden und Dokumentation (30.07., GBO, TKI)</t>
  </si>
  <si>
    <t>Einpflegen der optimierten Seite "Intensivpflege": Interne Abstimmung und Einpflegen des neuen Textes auf der Website, Dokumentation (13., 16.08., RBO, GBO)</t>
  </si>
  <si>
    <t>Einpflegen der geänderten Blogbeiträge  "Geld ambulante Pflege" und "Hospizdienste": Interne Abstimmung und Einpflegen des neuen Textes auf der Website, Dokumentation (31.07., RBO)</t>
  </si>
  <si>
    <t>Einpflegen der geänderten Blogbeiträge  "Gedächtnistraining für Senioren" und "Ein Beruf der begeistert": Interne Abstimmung und Einpflegen des neuen Textes auf der Website, Dokumentation (12.08., RBO)</t>
  </si>
  <si>
    <t>Änderungen der Benefit-Angaben gemäß Kundenwunsch, Prüfung der Website auf weiteren Änderungs-Bedarf, mehrere Anpassungen im System durchgeführt, Kommunikation, Dokumentation (12.08., GBO)</t>
  </si>
  <si>
    <t>Textliche Anpassungen auf div. Unterseiten (06.09., DKI)</t>
  </si>
  <si>
    <t>3. Technische Arbeiten, Programmierung</t>
  </si>
  <si>
    <t>Conversion-Tracking Überprüfung &amp; Anpassung nach Relaunch (15.08., JST)</t>
  </si>
  <si>
    <t xml:space="preserve">Durchsicht von 404-Fehlern im Redirection-Plugin, Sortieren und Löschen von unerheblichen 404-Fehlermeldungen und Weiterleitungsmustern, Anpassen der internen Verlinkung, Setzen von 301-Weiterleitungen für wichtige Unterseiten und Seitenelemente, Übergabe von möglichen 404-Fehlermustern an die Programmierung, kl. Anpassungen an der Website, Dokumentation und Abstimmung (19.08.-09.09., BKO, TKI) </t>
  </si>
  <si>
    <t>Abstimmung wegen webmail-Login im Google-Index, Telefonat Herr Ziegler, Anleitung per E-Mail, Entfernung der Unterseite in der Search Console, Prüfung und Dokumentation (06.-13.09., TKI)</t>
  </si>
  <si>
    <t>4. Google Ads, Social Ads, Monitoring</t>
  </si>
  <si>
    <t>Datenschutz-Erklärung geändert mit neuen Kontaktdaten, Prüfung der Social-Media-Accounts, Verlinkung der Datenschutz-Unterseite, Anpassung der bestehenden Verlinkung, Abstimmung und Kommunikation (29.07., TKI)</t>
  </si>
  <si>
    <t>Zusätzliche Arbeiten im Rahmen des Website-Relaunches und Online-Gangs, lt. Reporting vom 25.08.2024</t>
  </si>
  <si>
    <t>Organisation, Planung, Überwachung und Steuerung der Aufgaben und Ressourcen (monatlich, TKI)</t>
  </si>
  <si>
    <t>Aufwand ca. insgesamt in Std.</t>
  </si>
  <si>
    <t>Aufwand in Tagessätzen</t>
  </si>
  <si>
    <t>6,5 TS</t>
  </si>
  <si>
    <t>Noch Rückfragen? Kontakt zur Thoxan Communications GmbH unter https://www.thoxan.com/kontakt/</t>
  </si>
  <si>
    <t>Linkaufbau-Organisation und Abstimmung mit den Seitenbetreibern zur Veröffentlichung der vorbereiteten Gastartikel, Prüfung der Link-Integration, Abrechnung der Linkaufbau-Auslagen, Abstimmung und Dokumentation (03.07.-30.09., TKI)</t>
  </si>
  <si>
    <t>Google Ads-Monitoring (3. Quartal): Monatliches Monitoring der Kampagnen, kl. Anpassungen, fortlaufendes Ausschließen und Ergänzen von Keywords, Auswertung am Monats- bzw. Quartalsende (01.07.-30.09., JST, TKI)</t>
  </si>
  <si>
    <t>Social Ads-Monitoring (3. Quartal): Monatliches Monitoring der Werbe-kampagnen bei Facebook und Instagram, Anpassen der Werbeanzeigen, Verfeinern der Zielgruppe, kl. Arbeiten am Werbekonto, Abstimmung und Dokumentation (01.07.-30.09., JST, TKI)</t>
  </si>
  <si>
    <t>5. Abstimmung, Beratung, Projektmanagement &amp; Sonstiges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</si>
</sst>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u/>
      <sz val="12"/>
      <color theme="10"/>
      <name val="Calibri"/>
      <family val="2"/>
    </font>
    <font>
      <sz val="10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4EE257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6" fillId="0" borderId="1" xfId="0" applyFont="1" applyBorder="1"/>
    <xf numFmtId="0" fontId="4" fillId="0" borderId="1" xfId="0" applyFont="1" applyBorder="1"/>
    <xf numFmtId="0" fontId="7" fillId="0" borderId="2" xfId="0" applyFont="1" applyBorder="1"/>
    <xf numFmtId="0" fontId="7" fillId="2" borderId="2" xfId="0" applyFont="1" applyFill="1" applyBorder="1" applyAlignment="1">
      <alignment horizontal="center" vertical="center"/>
    </xf>
    <xf numFmtId="0" fontId="4" fillId="0" borderId="0" xfId="0" applyFont="1"/>
    <xf numFmtId="0" fontId="7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center"/>
    </xf>
    <xf numFmtId="0" fontId="6" fillId="0" borderId="3" xfId="1" applyFont="1" applyFill="1" applyBorder="1" applyAlignment="1">
      <alignment vertical="top" wrapText="1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4" xfId="0" applyFont="1" applyBorder="1"/>
    <xf numFmtId="0" fontId="7" fillId="0" borderId="3" xfId="0" applyFont="1" applyBorder="1"/>
    <xf numFmtId="0" fontId="5" fillId="0" borderId="3" xfId="0" applyFont="1" applyBorder="1" applyAlignment="1" applyProtection="1">
      <alignment vertical="top" wrapText="1"/>
      <protection locked="0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7" fillId="0" borderId="4" xfId="0" applyFont="1" applyBorder="1"/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9" fillId="0" borderId="0" xfId="0" applyFont="1"/>
    <xf numFmtId="0" fontId="4" fillId="0" borderId="6" xfId="0" quotePrefix="1" applyFont="1" applyBorder="1" applyAlignment="1">
      <alignment vertical="top" wrapText="1"/>
    </xf>
    <xf numFmtId="0" fontId="4" fillId="0" borderId="3" xfId="0" applyFont="1" applyBorder="1" applyAlignment="1">
      <alignment vertical="center"/>
    </xf>
    <xf numFmtId="0" fontId="4" fillId="0" borderId="3" xfId="0" quotePrefix="1" applyFont="1" applyBorder="1" applyAlignment="1">
      <alignment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alzentrum.de/tipps/einstiegsmoeglichkeiten-in-gesundheits-und-pflegeberufe.html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pflegedienst-hessen-sued.de/" TargetMode="External"/><Relationship Id="rId4" Type="http://schemas.openxmlformats.org/officeDocument/2006/relationships/hyperlink" Target="https://www.gesundheit.com/gesundheit/1/die-haeusliche-krankenpflege-nach-unfall-oder-krankheit-zu-hause-gut-versor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888C-066F-A14B-BE06-5C91578A3630}">
  <dimension ref="A1:B993"/>
  <sheetViews>
    <sheetView tabSelected="1" zoomScale="150" zoomScaleNormal="150" workbookViewId="0">
      <pane ySplit="4" topLeftCell="A33" activePane="bottomLeft" state="frozen"/>
      <selection pane="bottomLeft" activeCell="A43" sqref="A43"/>
    </sheetView>
  </sheetViews>
  <sheetFormatPr baseColWidth="10" defaultColWidth="11.1640625" defaultRowHeight="15" customHeight="1" x14ac:dyDescent="0.2"/>
  <cols>
    <col min="1" max="1" width="57.5" style="3" customWidth="1"/>
    <col min="2" max="2" width="23" style="3" customWidth="1"/>
    <col min="3" max="16384" width="11.1640625" style="3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7"/>
    </row>
    <row r="4" spans="1:2" s="10" customFormat="1" ht="15.75" customHeight="1" x14ac:dyDescent="0.15">
      <c r="A4" s="8"/>
      <c r="B4" s="9" t="s">
        <v>4</v>
      </c>
    </row>
    <row r="5" spans="1:2" s="10" customFormat="1" ht="15.75" customHeight="1" x14ac:dyDescent="0.15">
      <c r="A5" s="8" t="s">
        <v>5</v>
      </c>
      <c r="B5" s="11"/>
    </row>
    <row r="6" spans="1:2" s="10" customFormat="1" ht="42" x14ac:dyDescent="0.15">
      <c r="A6" s="13" t="s">
        <v>6</v>
      </c>
      <c r="B6" s="14">
        <v>3</v>
      </c>
    </row>
    <row r="7" spans="1:2" s="10" customFormat="1" ht="42" x14ac:dyDescent="0.15">
      <c r="A7" s="13" t="s">
        <v>7</v>
      </c>
      <c r="B7" s="14">
        <v>3.5</v>
      </c>
    </row>
    <row r="8" spans="1:2" s="10" customFormat="1" ht="42" x14ac:dyDescent="0.15">
      <c r="A8" s="13" t="s">
        <v>8</v>
      </c>
      <c r="B8" s="14">
        <v>3</v>
      </c>
    </row>
    <row r="9" spans="1:2" s="10" customFormat="1" ht="42" x14ac:dyDescent="0.15">
      <c r="A9" s="13" t="s">
        <v>9</v>
      </c>
      <c r="B9" s="14">
        <v>3</v>
      </c>
    </row>
    <row r="10" spans="1:2" s="10" customFormat="1" ht="56" x14ac:dyDescent="0.15">
      <c r="A10" s="15" t="s">
        <v>39</v>
      </c>
      <c r="B10" s="16">
        <v>1.75</v>
      </c>
    </row>
    <row r="11" spans="1:2" s="10" customFormat="1" ht="28" x14ac:dyDescent="0.15">
      <c r="A11" s="17" t="s">
        <v>10</v>
      </c>
      <c r="B11" s="12"/>
    </row>
    <row r="12" spans="1:2" s="10" customFormat="1" ht="28" x14ac:dyDescent="0.15">
      <c r="A12" s="17" t="s">
        <v>11</v>
      </c>
      <c r="B12" s="12"/>
    </row>
    <row r="13" spans="1:2" s="10" customFormat="1" ht="14" x14ac:dyDescent="0.15">
      <c r="A13" s="17" t="s">
        <v>12</v>
      </c>
      <c r="B13" s="12" t="s">
        <v>13</v>
      </c>
    </row>
    <row r="14" spans="1:2" s="10" customFormat="1" ht="14" x14ac:dyDescent="0.15">
      <c r="A14" s="17" t="s">
        <v>14</v>
      </c>
      <c r="B14" s="12" t="s">
        <v>13</v>
      </c>
    </row>
    <row r="15" spans="1:2" s="10" customFormat="1" ht="27.75" customHeight="1" x14ac:dyDescent="0.15">
      <c r="A15" s="19" t="s">
        <v>15</v>
      </c>
      <c r="B15" s="12">
        <v>0.75</v>
      </c>
    </row>
    <row r="16" spans="1:2" s="10" customFormat="1" ht="15.75" customHeight="1" x14ac:dyDescent="0.15">
      <c r="A16" s="20" t="s">
        <v>4</v>
      </c>
      <c r="B16" s="21">
        <f>SUM(B6:B15)</f>
        <v>15</v>
      </c>
    </row>
    <row r="17" spans="1:2" s="10" customFormat="1" ht="15.75" customHeight="1" x14ac:dyDescent="0.15">
      <c r="A17" s="22"/>
      <c r="B17" s="16"/>
    </row>
    <row r="18" spans="1:2" s="10" customFormat="1" ht="15.75" customHeight="1" x14ac:dyDescent="0.15">
      <c r="A18" s="23" t="s">
        <v>16</v>
      </c>
      <c r="B18" s="12"/>
    </row>
    <row r="19" spans="1:2" s="10" customFormat="1" ht="84" x14ac:dyDescent="0.15">
      <c r="A19" s="19" t="s">
        <v>17</v>
      </c>
      <c r="B19" s="12">
        <v>1.75</v>
      </c>
    </row>
    <row r="20" spans="1:2" s="10" customFormat="1" ht="84" x14ac:dyDescent="0.15">
      <c r="A20" s="19" t="s">
        <v>18</v>
      </c>
      <c r="B20" s="12">
        <v>1.5</v>
      </c>
    </row>
    <row r="21" spans="1:2" s="10" customFormat="1" ht="84" x14ac:dyDescent="0.15">
      <c r="A21" s="19" t="s">
        <v>19</v>
      </c>
      <c r="B21" s="12">
        <v>2</v>
      </c>
    </row>
    <row r="22" spans="1:2" s="10" customFormat="1" ht="70" x14ac:dyDescent="0.15">
      <c r="A22" s="24" t="s">
        <v>20</v>
      </c>
      <c r="B22" s="12">
        <v>0.75</v>
      </c>
    </row>
    <row r="23" spans="1:2" s="10" customFormat="1" ht="56" x14ac:dyDescent="0.15">
      <c r="A23" s="19" t="s">
        <v>21</v>
      </c>
      <c r="B23" s="12">
        <v>1.5</v>
      </c>
    </row>
    <row r="24" spans="1:2" s="10" customFormat="1" ht="42" x14ac:dyDescent="0.15">
      <c r="A24" s="19" t="s">
        <v>22</v>
      </c>
      <c r="B24" s="12">
        <v>1</v>
      </c>
    </row>
    <row r="25" spans="1:2" s="10" customFormat="1" ht="42" x14ac:dyDescent="0.15">
      <c r="A25" s="19" t="s">
        <v>23</v>
      </c>
      <c r="B25" s="12">
        <v>1</v>
      </c>
    </row>
    <row r="26" spans="1:2" s="10" customFormat="1" ht="56" x14ac:dyDescent="0.15">
      <c r="A26" s="19" t="s">
        <v>24</v>
      </c>
      <c r="B26" s="12">
        <v>1</v>
      </c>
    </row>
    <row r="27" spans="1:2" s="10" customFormat="1" ht="42" x14ac:dyDescent="0.15">
      <c r="A27" s="19" t="s">
        <v>25</v>
      </c>
      <c r="B27" s="12">
        <v>0.5</v>
      </c>
    </row>
    <row r="28" spans="1:2" s="10" customFormat="1" ht="14" x14ac:dyDescent="0.15">
      <c r="A28" s="24" t="s">
        <v>26</v>
      </c>
      <c r="B28" s="12">
        <v>0.25</v>
      </c>
    </row>
    <row r="29" spans="1:2" s="10" customFormat="1" ht="15.75" customHeight="1" x14ac:dyDescent="0.15">
      <c r="A29" s="34" t="s">
        <v>4</v>
      </c>
      <c r="B29" s="26">
        <f>SUM(B19:B28)</f>
        <v>11.25</v>
      </c>
    </row>
    <row r="30" spans="1:2" s="10" customFormat="1" ht="15.75" customHeight="1" x14ac:dyDescent="0.15">
      <c r="A30" s="39"/>
      <c r="B30" s="12"/>
    </row>
    <row r="31" spans="1:2" s="10" customFormat="1" ht="15.75" customHeight="1" x14ac:dyDescent="0.15">
      <c r="A31" s="23" t="s">
        <v>27</v>
      </c>
      <c r="B31" s="12"/>
    </row>
    <row r="32" spans="1:2" s="10" customFormat="1" ht="28" x14ac:dyDescent="0.15">
      <c r="A32" s="40" t="s">
        <v>28</v>
      </c>
      <c r="B32" s="12">
        <v>1.75</v>
      </c>
    </row>
    <row r="33" spans="1:2" s="10" customFormat="1" ht="98" x14ac:dyDescent="0.15">
      <c r="A33" s="40" t="s">
        <v>29</v>
      </c>
      <c r="B33" s="12">
        <v>3.5</v>
      </c>
    </row>
    <row r="34" spans="1:2" s="10" customFormat="1" ht="42" x14ac:dyDescent="0.15">
      <c r="A34" s="38" t="s">
        <v>30</v>
      </c>
      <c r="B34" s="18">
        <v>0.75</v>
      </c>
    </row>
    <row r="35" spans="1:2" s="10" customFormat="1" ht="15.75" customHeight="1" x14ac:dyDescent="0.15">
      <c r="A35" s="25" t="s">
        <v>4</v>
      </c>
      <c r="B35" s="29">
        <f>SUM(B31:B34)</f>
        <v>6</v>
      </c>
    </row>
    <row r="36" spans="1:2" s="10" customFormat="1" ht="15.75" customHeight="1" x14ac:dyDescent="0.15">
      <c r="A36" s="30"/>
      <c r="B36" s="14"/>
    </row>
    <row r="37" spans="1:2" s="10" customFormat="1" ht="15.75" customHeight="1" x14ac:dyDescent="0.15">
      <c r="A37" s="28" t="s">
        <v>31</v>
      </c>
      <c r="B37" s="14"/>
    </row>
    <row r="38" spans="1:2" s="10" customFormat="1" ht="56" x14ac:dyDescent="0.15">
      <c r="A38" s="15" t="s">
        <v>40</v>
      </c>
      <c r="B38" s="16">
        <v>3</v>
      </c>
    </row>
    <row r="39" spans="1:2" s="10" customFormat="1" ht="60" customHeight="1" x14ac:dyDescent="0.15">
      <c r="A39" s="15" t="s">
        <v>41</v>
      </c>
      <c r="B39" s="14">
        <v>2</v>
      </c>
    </row>
    <row r="40" spans="1:2" s="10" customFormat="1" ht="15.75" customHeight="1" x14ac:dyDescent="0.15">
      <c r="A40" s="31" t="s">
        <v>4</v>
      </c>
      <c r="B40" s="32">
        <f>SUM(B38:B39)</f>
        <v>5</v>
      </c>
    </row>
    <row r="41" spans="1:2" s="10" customFormat="1" ht="15.75" customHeight="1" x14ac:dyDescent="0.15">
      <c r="A41" s="33"/>
      <c r="B41" s="14"/>
    </row>
    <row r="42" spans="1:2" s="10" customFormat="1" ht="15.75" customHeight="1" x14ac:dyDescent="0.15">
      <c r="A42" s="23" t="s">
        <v>42</v>
      </c>
      <c r="B42" s="12"/>
    </row>
    <row r="43" spans="1:2" s="10" customFormat="1" ht="56" x14ac:dyDescent="0.15">
      <c r="A43" s="19" t="s">
        <v>32</v>
      </c>
      <c r="B43" s="12">
        <v>0.5</v>
      </c>
    </row>
    <row r="44" spans="1:2" s="10" customFormat="1" ht="28" x14ac:dyDescent="0.15">
      <c r="A44" s="19" t="s">
        <v>33</v>
      </c>
      <c r="B44" s="12">
        <v>13</v>
      </c>
    </row>
    <row r="45" spans="1:2" s="10" customFormat="1" ht="27.75" customHeight="1" x14ac:dyDescent="0.15">
      <c r="A45" s="19" t="s">
        <v>34</v>
      </c>
      <c r="B45" s="12">
        <v>3</v>
      </c>
    </row>
    <row r="46" spans="1:2" s="10" customFormat="1" ht="15.75" customHeight="1" x14ac:dyDescent="0.15">
      <c r="A46" s="34" t="s">
        <v>4</v>
      </c>
      <c r="B46" s="29">
        <f>SUM(B43:B45)</f>
        <v>16.5</v>
      </c>
    </row>
    <row r="47" spans="1:2" s="10" customFormat="1" ht="15.75" customHeight="1" x14ac:dyDescent="0.15">
      <c r="A47" s="27"/>
      <c r="B47" s="18"/>
    </row>
    <row r="48" spans="1:2" s="10" customFormat="1" ht="16.5" customHeight="1" thickBot="1" x14ac:dyDescent="0.2">
      <c r="A48" s="35" t="s">
        <v>35</v>
      </c>
      <c r="B48" s="36">
        <f>SUM(B46+B40+B35+B29+B16)</f>
        <v>53.75</v>
      </c>
    </row>
    <row r="49" spans="1:2" s="10" customFormat="1" ht="16.5" customHeight="1" thickBot="1" x14ac:dyDescent="0.2">
      <c r="A49" s="35" t="s">
        <v>36</v>
      </c>
      <c r="B49" s="36" t="s">
        <v>37</v>
      </c>
    </row>
    <row r="50" spans="1:2" ht="15.75" customHeight="1" x14ac:dyDescent="0.2">
      <c r="A50" s="10"/>
      <c r="B50" s="10"/>
    </row>
    <row r="51" spans="1:2" ht="15.75" customHeight="1" x14ac:dyDescent="0.2">
      <c r="A51" s="37" t="s">
        <v>38</v>
      </c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10"/>
      <c r="B108" s="10"/>
    </row>
    <row r="109" spans="1:2" ht="15.75" customHeight="1" x14ac:dyDescent="0.2">
      <c r="A109" s="10"/>
      <c r="B109" s="10"/>
    </row>
    <row r="110" spans="1:2" ht="15.75" customHeight="1" x14ac:dyDescent="0.2">
      <c r="A110" s="10"/>
      <c r="B110" s="10"/>
    </row>
    <row r="111" spans="1:2" ht="15.75" customHeight="1" x14ac:dyDescent="0.2">
      <c r="A111" s="10"/>
      <c r="B111" s="10"/>
    </row>
    <row r="112" spans="1:2" ht="15.75" customHeight="1" x14ac:dyDescent="0.2">
      <c r="A112" s="10"/>
      <c r="B112" s="10"/>
    </row>
    <row r="113" spans="1:2" ht="15.75" customHeight="1" x14ac:dyDescent="0.2">
      <c r="A113" s="10"/>
      <c r="B113" s="10"/>
    </row>
    <row r="114" spans="1:2" ht="15.75" customHeight="1" x14ac:dyDescent="0.2">
      <c r="A114" s="10"/>
      <c r="B114" s="10"/>
    </row>
    <row r="115" spans="1:2" ht="15.75" customHeight="1" x14ac:dyDescent="0.2"/>
    <row r="116" spans="1:2" ht="15.75" customHeight="1" x14ac:dyDescent="0.2"/>
    <row r="117" spans="1:2" ht="15.75" customHeight="1" x14ac:dyDescent="0.2"/>
    <row r="118" spans="1:2" ht="15.75" customHeight="1" x14ac:dyDescent="0.2"/>
    <row r="119" spans="1:2" ht="15.75" customHeight="1" x14ac:dyDescent="0.2"/>
    <row r="120" spans="1:2" ht="15.75" customHeight="1" x14ac:dyDescent="0.2"/>
    <row r="121" spans="1:2" ht="15.75" customHeight="1" x14ac:dyDescent="0.2"/>
    <row r="122" spans="1:2" ht="15.75" customHeight="1" x14ac:dyDescent="0.2"/>
    <row r="123" spans="1:2" ht="15.75" customHeight="1" x14ac:dyDescent="0.2"/>
    <row r="124" spans="1:2" ht="15.75" customHeight="1" x14ac:dyDescent="0.2"/>
    <row r="125" spans="1:2" ht="15.75" customHeight="1" x14ac:dyDescent="0.2"/>
    <row r="126" spans="1:2" ht="15.75" customHeight="1" x14ac:dyDescent="0.2"/>
    <row r="127" spans="1:2" ht="15.75" customHeight="1" x14ac:dyDescent="0.2"/>
    <row r="128" spans="1:2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</sheetData>
  <hyperlinks>
    <hyperlink ref="A2" r:id="rId1" xr:uid="{A3499BEE-3C60-684E-9026-2975CD6FD55C}"/>
    <hyperlink ref="A51" r:id="rId2" display="https://www.thoxan.com/kontakt/" xr:uid="{41A96AC1-1081-D546-A9B1-523D476CC4B3}"/>
    <hyperlink ref="A11" r:id="rId3" xr:uid="{5B7E3E6F-915B-9546-9702-8461D50CC249}"/>
    <hyperlink ref="A12" r:id="rId4" xr:uid="{9F72EBE5-0B2B-D148-9988-455549BC8635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2024-09-30T15:24:49Z</dcterms:created>
  <dcterms:modified xsi:type="dcterms:W3CDTF">2024-09-30T15:46:31Z</dcterms:modified>
</cp:coreProperties>
</file>