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8_{15A5164C-D170-7E4B-8572-C3CD371EC7EA}" xr6:coauthVersionLast="47" xr6:coauthVersionMax="47" xr10:uidLastSave="{00000000-0000-0000-0000-000000000000}"/>
  <bookViews>
    <workbookView xWindow="6760" yWindow="880" windowWidth="38900" windowHeight="25300" xr2:uid="{42401473-AB11-3F42-9C6D-1C2E194C8C8B}"/>
  </bookViews>
  <sheets>
    <sheet name="S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29" i="1"/>
  <c r="B21" i="1"/>
  <c r="B17" i="1"/>
  <c r="B11" i="1"/>
  <c r="B7" i="1"/>
  <c r="B37" i="1" l="1"/>
</calcChain>
</file>

<file path=xl/sharedStrings.xml><?xml version="1.0" encoding="utf-8"?>
<sst xmlns="http://schemas.openxmlformats.org/spreadsheetml/2006/main" count="34" uniqueCount="27">
  <si>
    <t>spe group  GmbH / IT-Schutzengel</t>
  </si>
  <si>
    <t>3. Quartal 2024</t>
  </si>
  <si>
    <t>https://www.it-schutzengel.de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</si>
  <si>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</si>
  <si>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</si>
  <si>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</si>
  <si>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</si>
  <si>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</si>
  <si>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Entwicklung eines neuen Conversion-Elements "Kostenfreie Erstanalyse", um die Wahrscheinlichkeit einer Kontaktaufnahme zu erhöhen, Texterstellung lt. Briefing-Video, Aufbau der Kontaktsequenz auf der Website, Austausch mit dem bisherigen Kontaktformular, Anlegen einer Kontaktseite für allgemeine Anfragen, Videoschnitt und Vertonung für Kurzclip, CTA- und Formularblock optimieren, visuelle und funktionale Anpassung für Inline-Video, Conversion-Tracking einrichten, Abstimmung und Dokumentation (03.-20.06., GBO, BKO, TKI) // Umgesetzt bereits im Juni, Abrechnung in Q3 wie besprochen</t>
  </si>
  <si>
    <t>3. Technische Arbeiten, Onpage-Optimierung, ggf. Programmierung</t>
  </si>
  <si>
    <t>Finale Anpassungen zur Indexierung der Landingpages und der Referenzberichte, Einträge Google Search Console, kl. Anpassungen URL-Struktur, interne Abstimmung (18.06.-01.07., TKI, BKO)</t>
  </si>
  <si>
    <t>Programmierarbeiten im Rahmen der Optimierung für das neue WordPress 6.6 (anteilig): Gutenberg Editor angepasst und optimiert: Verbesserung der Bedienbarkeit und Benutzerfreundlichkeit, damit der Editor weiterhin gut und schnell bedienbar ist. Grundlegende Back- und Frontend-Optimierung: Entfernen von unnötigen Skripten, Stylings und Funktionen, die mit WordPress 6.6 mitgeliefert wurden für ein perfomanteres Front- und Backend. Zusätzliche Integration aktualisierter Icons. (15.07.-31.08., BKO)</t>
  </si>
  <si>
    <t xml:space="preserve">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(02.-06.09., TKI) </t>
  </si>
  <si>
    <t>4. Social Media Management</t>
  </si>
  <si>
    <t>5. Google Ads &amp; Social Ads</t>
  </si>
  <si>
    <t>Google Ads Kampagnenerstellung + Tracking Erweiterung (26.06., JST)</t>
  </si>
  <si>
    <t>Abstimmung wegen Facebook-Rechnungen, kurze Recherche, Export und Austausch (23.07., TKI)</t>
  </si>
  <si>
    <t>Video im Hochformat formatieren zur Bewerbung von IT-Analyse auf Social Media, interne Abstimmung (19.-27.08., BKO, JST, TKI)</t>
  </si>
  <si>
    <t>Google Ads-Monitoring (3.Quartal): Monatliches Monitoring der Kampagnen, kl. Anpassungen, fortlaufendes Ausschließen und Ergänzen von Keywords, Auswertung am Quartalsende (01.07.-30.09., JST, TKI)</t>
  </si>
  <si>
    <t>Social Ads-Monitoring (3. Quartal): Monatliches Monitoring der Werbe-kampagnen bei Facebook und Instagram, Anpassen der Werbeanzeigen, Verfeinern der Zielgruppe, kl. Arbeiten am Werbekonto, Abstimmung und Dokumentation (01.07. - 30.09., JST, TKI)</t>
  </si>
  <si>
    <t>6. Beratung &amp; Sonstiges</t>
  </si>
  <si>
    <t>Absprachen wegen technischer Wartung der WordPress-Website, Zusammenstellen der drei Varianten, Dokumentation, mehrfache Abstimmung (13.06.-06.09., BKO, TKI) = ca. 2 Std. o. Berechnung</t>
  </si>
  <si>
    <t>Vorbereitung, Auswertung der bisherigen Maßnahmen, Ergebnisse und Kennzahlen, persönliches Treffen zur Planung des der weiteren Vorgehensweise, Klären von offenen Fragen, anschließend Vorbereitung der geplanten Maßnahmen, interne Abstimmung (14.-15.08.,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</si>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</sst>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499984740745262"/>
      <name val="Arial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4" xfId="0" applyFont="1" applyBorder="1"/>
    <xf numFmtId="0" fontId="5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0" xfId="0" applyFont="1"/>
    <xf numFmtId="0" fontId="5" fillId="0" borderId="3" xfId="0" quotePrefix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s://www.it-schutzengel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A1DE-3966-3D4E-AC1F-581F6275DBC0}">
  <dimension ref="A1:B992"/>
  <sheetViews>
    <sheetView tabSelected="1" zoomScale="160" zoomScaleNormal="160" workbookViewId="0">
      <pane ySplit="4" topLeftCell="A5" activePane="bottomLeft" state="frozen"/>
      <selection pane="bottomLeft" activeCell="B28" sqref="B28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26" x14ac:dyDescent="0.2">
      <c r="A10" s="20" t="s">
        <v>8</v>
      </c>
      <c r="B10" s="18">
        <v>7.5</v>
      </c>
    </row>
    <row r="11" spans="1:2" s="11" customFormat="1" ht="15.75" customHeight="1" x14ac:dyDescent="0.2">
      <c r="A11" s="15" t="s">
        <v>4</v>
      </c>
      <c r="B11" s="16">
        <f>SUM(B9:B10)</f>
        <v>7.5</v>
      </c>
    </row>
    <row r="12" spans="1:2" s="11" customFormat="1" ht="15.75" customHeight="1" x14ac:dyDescent="0.2">
      <c r="A12" s="24"/>
      <c r="B12" s="22"/>
    </row>
    <row r="13" spans="1:2" s="10" customFormat="1" ht="15.75" customHeight="1" x14ac:dyDescent="0.15">
      <c r="A13" s="8" t="s">
        <v>9</v>
      </c>
      <c r="B13" s="14"/>
    </row>
    <row r="14" spans="1:2" s="11" customFormat="1" ht="42" x14ac:dyDescent="0.2">
      <c r="A14" s="13" t="s">
        <v>10</v>
      </c>
      <c r="B14" s="14">
        <v>1</v>
      </c>
    </row>
    <row r="15" spans="1:2" s="11" customFormat="1" ht="112" x14ac:dyDescent="0.2">
      <c r="A15" s="13" t="s">
        <v>11</v>
      </c>
      <c r="B15" s="14">
        <v>1.5</v>
      </c>
    </row>
    <row r="16" spans="1:2" s="11" customFormat="1" ht="98" x14ac:dyDescent="0.2">
      <c r="A16" s="13" t="s">
        <v>12</v>
      </c>
      <c r="B16" s="14">
        <v>1</v>
      </c>
    </row>
    <row r="17" spans="1:2" s="11" customFormat="1" ht="15.75" customHeight="1" x14ac:dyDescent="0.2">
      <c r="A17" s="25" t="s">
        <v>4</v>
      </c>
      <c r="B17" s="23">
        <f>SUM(B14:B16)</f>
        <v>3.5</v>
      </c>
    </row>
    <row r="18" spans="1:2" s="11" customFormat="1" ht="15.75" customHeight="1" x14ac:dyDescent="0.2">
      <c r="A18" s="26"/>
      <c r="B18" s="14"/>
    </row>
    <row r="19" spans="1:2" s="11" customFormat="1" ht="15.75" customHeight="1" x14ac:dyDescent="0.2">
      <c r="A19" s="27" t="s">
        <v>13</v>
      </c>
      <c r="B19" s="28"/>
    </row>
    <row r="20" spans="1:2" s="11" customFormat="1" ht="14" x14ac:dyDescent="0.2">
      <c r="A20" s="33" t="s">
        <v>6</v>
      </c>
      <c r="B20" s="21"/>
    </row>
    <row r="21" spans="1:2" s="11" customFormat="1" ht="15.75" customHeight="1" x14ac:dyDescent="0.2">
      <c r="A21" s="15" t="s">
        <v>4</v>
      </c>
      <c r="B21" s="16">
        <f>SUM(B20:B20)</f>
        <v>0</v>
      </c>
    </row>
    <row r="22" spans="1:2" s="11" customFormat="1" ht="15.75" customHeight="1" x14ac:dyDescent="0.2">
      <c r="A22" s="29"/>
      <c r="B22" s="18"/>
    </row>
    <row r="23" spans="1:2" s="11" customFormat="1" ht="15.75" customHeight="1" x14ac:dyDescent="0.2">
      <c r="A23" s="19" t="s">
        <v>14</v>
      </c>
      <c r="B23" s="18"/>
    </row>
    <row r="24" spans="1:2" s="11" customFormat="1" ht="14" x14ac:dyDescent="0.2">
      <c r="A24" s="20" t="s">
        <v>15</v>
      </c>
      <c r="B24" s="22">
        <v>3</v>
      </c>
    </row>
    <row r="25" spans="1:2" s="11" customFormat="1" ht="28" x14ac:dyDescent="0.2">
      <c r="A25" s="20" t="s">
        <v>16</v>
      </c>
      <c r="B25" s="22">
        <v>0.25</v>
      </c>
    </row>
    <row r="26" spans="1:2" s="11" customFormat="1" ht="28" x14ac:dyDescent="0.2">
      <c r="A26" s="20" t="s">
        <v>17</v>
      </c>
      <c r="B26" s="22">
        <v>1</v>
      </c>
    </row>
    <row r="27" spans="1:2" s="11" customFormat="1" ht="42" customHeight="1" x14ac:dyDescent="0.2">
      <c r="A27" s="20" t="s">
        <v>18</v>
      </c>
      <c r="B27" s="22">
        <v>3</v>
      </c>
    </row>
    <row r="28" spans="1:2" s="11" customFormat="1" ht="55" customHeight="1" x14ac:dyDescent="0.2">
      <c r="A28" s="20" t="s">
        <v>19</v>
      </c>
      <c r="B28" s="22">
        <v>3.5</v>
      </c>
    </row>
    <row r="29" spans="1:2" s="11" customFormat="1" ht="15.75" customHeight="1" x14ac:dyDescent="0.2">
      <c r="A29" s="15" t="s">
        <v>4</v>
      </c>
      <c r="B29" s="16">
        <f>SUM(B24:B28)</f>
        <v>10.75</v>
      </c>
    </row>
    <row r="30" spans="1:2" s="11" customFormat="1" ht="15.75" customHeight="1" x14ac:dyDescent="0.2">
      <c r="A30" s="29"/>
      <c r="B30" s="18"/>
    </row>
    <row r="31" spans="1:2" s="11" customFormat="1" ht="15.75" customHeight="1" x14ac:dyDescent="0.2">
      <c r="A31" s="19" t="s">
        <v>20</v>
      </c>
      <c r="B31" s="18"/>
    </row>
    <row r="32" spans="1:2" s="11" customFormat="1" ht="42" x14ac:dyDescent="0.2">
      <c r="A32" s="20" t="s">
        <v>21</v>
      </c>
      <c r="B32" s="18">
        <v>0</v>
      </c>
    </row>
    <row r="33" spans="1:2" s="11" customFormat="1" ht="70" x14ac:dyDescent="0.2">
      <c r="A33" s="20" t="s">
        <v>22</v>
      </c>
      <c r="B33" s="18">
        <v>1.5</v>
      </c>
    </row>
    <row r="34" spans="1:2" s="11" customFormat="1" ht="28" x14ac:dyDescent="0.2">
      <c r="A34" s="20" t="s">
        <v>23</v>
      </c>
      <c r="B34" s="18">
        <v>1.5</v>
      </c>
    </row>
    <row r="35" spans="1:2" s="11" customFormat="1" ht="15.75" customHeight="1" x14ac:dyDescent="0.2">
      <c r="A35" s="15" t="s">
        <v>4</v>
      </c>
      <c r="B35" s="16">
        <f>SUM(B32:B34)</f>
        <v>3</v>
      </c>
    </row>
    <row r="36" spans="1:2" s="11" customFormat="1" ht="15.75" customHeight="1" x14ac:dyDescent="0.2">
      <c r="A36" s="24"/>
      <c r="B36" s="18"/>
    </row>
    <row r="37" spans="1:2" s="11" customFormat="1" ht="16.5" customHeight="1" thickBot="1" x14ac:dyDescent="0.25">
      <c r="A37" s="30" t="s">
        <v>24</v>
      </c>
      <c r="B37" s="31">
        <f>SUM(B7+B11+B17+B21+B29+B35)</f>
        <v>24.75</v>
      </c>
    </row>
    <row r="38" spans="1:2" s="11" customFormat="1" ht="16.5" customHeight="1" thickBot="1" x14ac:dyDescent="0.25">
      <c r="A38" s="30" t="s">
        <v>25</v>
      </c>
      <c r="B38" s="31">
        <v>3</v>
      </c>
    </row>
    <row r="39" spans="1:2" ht="15.75" customHeight="1" x14ac:dyDescent="0.2">
      <c r="A39" s="10"/>
      <c r="B39" s="10"/>
    </row>
    <row r="40" spans="1:2" ht="15.75" customHeight="1" x14ac:dyDescent="0.2">
      <c r="A40" s="32" t="s">
        <v>26</v>
      </c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</sheetData>
  <hyperlinks>
    <hyperlink ref="A2" r:id="rId1" xr:uid="{DCDAD8CF-E3A6-BD47-8610-F7A2FBC1FA23}"/>
    <hyperlink ref="A40" r:id="rId2" display="https://www.thoxan.com/kontakt/" xr:uid="{E229DCEA-6B2E-5D40-873B-A6B11DF5A90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2024-09-17T07:36:10Z</dcterms:created>
  <dcterms:modified xsi:type="dcterms:W3CDTF">2024-09-17T07:38:11Z</dcterms:modified>
</cp:coreProperties>
</file>