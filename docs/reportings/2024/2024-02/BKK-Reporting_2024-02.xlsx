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Volumes/G-RAID Studio/Zoho WorkDrive (thoxan)/THOXAN GMBH/REPORTINGS/2024-02/"/>
    </mc:Choice>
  </mc:AlternateContent>
  <xr:revisionPtr revIDLastSave="0" documentId="13_ncr:1_{F35FE950-F77C-8948-B7A1-05125B470A56}" xr6:coauthVersionLast="47" xr6:coauthVersionMax="47" xr10:uidLastSave="{00000000-0000-0000-0000-000000000000}"/>
  <bookViews>
    <workbookView xWindow="12580" yWindow="1260" windowWidth="37320" windowHeight="24720" xr2:uid="{61D13F08-A3E3-2E48-8AA8-0BFB332792B3}"/>
  </bookViews>
  <sheets>
    <sheet name="BKK"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 l="1"/>
  <c r="B41" i="1"/>
  <c r="B35" i="1"/>
  <c r="B31" i="1"/>
  <c r="B19" i="1"/>
  <c r="B46" i="1"/>
  <c r="B53" i="1"/>
</calcChain>
</file>

<file path=xl/sharedStrings.xml><?xml version="1.0" encoding="utf-8"?>
<sst xmlns="http://schemas.openxmlformats.org/spreadsheetml/2006/main" count="50" uniqueCount="44">
  <si>
    <t>BKK GILDEMEISTER SEIDENSTICKER</t>
  </si>
  <si>
    <t>Jan. / Feb. 2024</t>
  </si>
  <si>
    <t>www.bkkgs.de</t>
  </si>
  <si>
    <t>Monatliche Optimierung</t>
  </si>
  <si>
    <t>Aufwand ca. in Std.</t>
  </si>
  <si>
    <t>1. Linkaufbau,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</si>
  <si>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(15.01.-10.02.,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</si>
  <si>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(01.-20.02., TKI)</t>
  </si>
  <si>
    <t>Textarbeiten (Gastartikel): Briefing und Recherche, Texterstellung für Gastbeitrag auf versicherungsriese.de, Lektorat, Abstimmung und Vorbereitung zur Veröffentlichung (08.01., EXT, TKI)</t>
  </si>
  <si>
    <t>Textarbeiten (Gastartikel): Briefing und Recherche, Texterstellung für Gastbeitrag auf lubloggt.de, Lektorat, Abstimmung und Vorbereitung zur Veröffentlichung (17.01, EXT, TKI)</t>
  </si>
  <si>
    <t>Textarbeiten (Gastartikel): Briefing und Recherche, Texterstellung für Gastbeitrag auf mooci.org, Lektorat, Abstimmung und Vorbereitung zur Veröffentlichung (05.02, EXT, TKI)</t>
  </si>
  <si>
    <t>Textarbeiten (Gastartikel): Briefing und Recherche, Texterstellung für Gastbeitrag auf heilkunde-aktuell.de, Lektorat, Abstimmung und Vorbereitung zur Veröffentlichung (13.02., EXT, TKI)</t>
  </si>
  <si>
    <t>Linkaufbau-Organisation und Abstimmung mit den Seitenbetreibern zur Veröffentlichung der vorbereiteten Gastartikel, Prüfung der Link-Integration, Abrechnung der Linkaufbau-Auslagen, Abstimmung und Dokumentation (12.01 - 21.02., TKI)</t>
  </si>
  <si>
    <t>https://www.versicherungsriese.de/krankenversicherung/betriebskrankenkasse/#was-sind-betriebskrankenkassen-bkk</t>
  </si>
  <si>
    <t>https://lubloggt.de/geschlechtsspezifische-voraussetzungen-und-risikofaktoren-in-der-gesundheitsversorgung-von-frauen-und-maennern/</t>
  </si>
  <si>
    <t>https://www.mooci.org/allgemeinmedizin/epigenetik/</t>
  </si>
  <si>
    <t>https://www.heilkunde-aktuell.de/der-geburtsvorbereitungskurs-das-passende-angebot-fuer-die-eigenen-beduerfnisse-finden/</t>
  </si>
  <si>
    <t>Linkprofil-Analyse, Update: Export der Linkdaten aus diversen Online-Tools (SISTRIX Toolbox, XOVI, ahrefs.com, Search Console, etc.), Vereinheitlichen der Daten und ergänzender Import in der bisherigen Linkprofil-Analyse aus Februar 2022, erste Durchsicht und Vorsortierung, Dubletten entfernen, detaillierte Durchsicht des Linkprofils (v.a. Links mit „ungünstigen Bedingungen“), manuelle Prüfung und Bewertung einzelner Links mit zum Teil notwendiger Recherche von Kennzahlen, Empfehlung zum Linkabbau (löschen, ändern, lassen, gelöscht), abschließende Dokumentation mit Handlungsempfehlungen, Absprachen (24.01.-11.02., TKI)</t>
  </si>
  <si>
    <t>Link-Monitoring: Neue Verlinkungen aus Link-Tools der letzten 30 Tage überprüft, einzeln bewertet (monatlich ca. 0,25 Std., TKI)</t>
  </si>
  <si>
    <t>2. Website- und Redaktionelle Arbeiten</t>
  </si>
  <si>
    <t>Textkorrektur "Auslandskrankenversicherung": Abstimmung und Durchsicht der Änderungswünsche, Inhaltliche Bearbeitung des Textes inkl. Umsetzung möglicher Ergänzungen (ggf. Umstrukturierung oder Texterweiterung), Durchsicht der Texte und finale Bearbeitung, Vorbereitung und Übergabe zum Einpflegen auf der Website (10.01., GBO, TKI)</t>
  </si>
  <si>
    <t>Textarbeiten "37 BGM": Abstimmung, Briefing und inhaltliche Konzeption, Recherche und Zusammentragen der Informationen, Texterstellung, Keyword-Optimierung nach WDF*IDF, Ergänzungen und kl. Anpassungen, Lektorat und finale Bearbeitung, Versand an Kunden und Dokumentation (15.-16.01., GBO, TKI)</t>
  </si>
  <si>
    <t>Erstellen eines Textabschnitts für Landingpage "Auslandskrankenschein" zum Thema "Auslandskrankenschein beantragen", weitere Anpassungen gemäß Kundenwunsch (22.01., 08.02., GBO)</t>
  </si>
  <si>
    <t>Erstellen einer Themenplanung inklusive Themen-Analyse, Arbeiten in Sistrix, Prüfung einer Keyword-Analyse und Kundenwünschen, Kommunikation intern, Dokumentation (25.01., GBO, TKI)</t>
  </si>
  <si>
    <t>Textarbeiten "36 Gesund werden": Abstimmung, Briefing und inhaltliche Konzeption, Recherche und Zusammentragen der Informationen, Texterstellung, Keyword-Optimierung nach WDF*IDF, Ergänzungen und kl. Anpassungen, Lektorat und finale Bearbeitung, Versand an Kunden und Dokumentation (06.02., GBO, TKI)</t>
  </si>
  <si>
    <t>Management der Textarbeiten inkl. Ticketerstellung in Asana, Prüfung von Briefing-Bedarf, Arbeiten in Sistrix zur Prüfung von Suchvolumen, kurze themenrelevante Recherchen, Kommunikation intern/extern, Dokumentation
(06.02., GBO)</t>
  </si>
  <si>
    <t>Textkorrektur "BGM": Abstimmung und Durchsicht der Änderungswünsche, Inhaltliche Bearbeitung des Textes inkl. Umsetzung möglicher Ergänzungen (ggf. Umstrukturierung oder Texterweiterung), Durchsicht der Texte und finale Bearbeitung, Vorbereitung und Übergabe zum Einpflegen auf der Website (13.-16., 22.02., GBO, TKI)</t>
  </si>
  <si>
    <t>Textarbeiten "38 Gesund in Kita und Schule": Abstimmung, Briefing und inhaltliche Konzeption, Recherche und Zusammentragen der Informationen, Texterstellung, Keyword-Optimierung nach WDF*IDF, Ergänzungen und kl. Anpassungen, Lektorat und finale Bearbeitung, Versand an Kunden und Dokumentation (14.02., GBO, TKI)</t>
  </si>
  <si>
    <t>Digitale Angebote / eHealth: Recherche zur Konzepterstellung inkl. Keyword-Analyse und Arbeiten in Sistrix, Erstellen von Screenshots, Kommunikation intern/extern, Dokumentation (12., 21.-22.02., GBO, TKI)</t>
  </si>
  <si>
    <t>3. Technische Arbeiten, Onpage-Optimierung, ggf. Programmierung</t>
  </si>
  <si>
    <t>Weitere Abstimmung und Überprüfung der Maßnahmen und der technischen Anpassungen von move:elevator, siehe Ticket-Dokumentation – Ladezeit-Optimierung, W3C-Validierung, etc. (02.01.-29.02., TKI)</t>
  </si>
  <si>
    <t>4. Google Ads, Monitoring</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</si>
  <si>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(01.01.-29.02., DHE, JST, TKI)</t>
  </si>
  <si>
    <t>Weitere Anpassungen fürs Matomo-Tracking lt. Absprachen und Dokumentation in Asana (12., 18.01., 07., 27.02., JST, DHE, TKI)</t>
  </si>
  <si>
    <t>Mehrfache Prüfung des Conversion-Trackings der Mitgliedsanträge in Google Analytics 4, Abstimmung und Dokumentation (06., 09., 27.02., JST)</t>
  </si>
  <si>
    <t>5. Auswertung und Maßnahmenplanung, Workshops</t>
  </si>
  <si>
    <t>Workshop: Inhaltliche Vorbereitung und Durchführung eines Workshops zum Thema Marketing-Automation, Planung der Agenda, Recherche und Durchsicht früherer Präsentationen bzw. Auswertungen, Aufbereiten als Präsentation, Klären von div. Fragen, Abstimmung und weitere Planung, von 14:00 bis 15:00 Uhr, anschließende Dokumentation und interne Abstimmung (16.01., TKI)</t>
  </si>
  <si>
    <t xml:space="preserve">Recherche und Durchsicht der Expertise aus dem Vorjahr, Analyse der aktuellen Kennzahlen, der Website-Entwicklung und der bisherigen Ergebnisse mit diversen Online-Tools, Ausblick, Planung und Erstellung der nächsten Schritte, Dokumentation und Aufbereitung der Ergebnisse in einer ca. 100-seitigen Präsentation, Vorbereitung des Workshops (18.02., TKI) </t>
  </si>
  <si>
    <t>6. Beratung &amp; Sonstiges</t>
  </si>
  <si>
    <t>Recherche wegen Cookie-Banner, neue Anforderungen für Google Consent Mode V2, Klärung mit Technik, was mögliche Alternativen sind, Abstimmung und Dokumentation (08.-09.02., BKO,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</si>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</sst>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theme="3"/>
      <name val="Arial"/>
      <family val="2"/>
    </font>
    <font>
      <sz val="10.5"/>
      <color theme="1"/>
      <name val="Arial"/>
      <family val="2"/>
    </font>
    <font>
      <sz val="10.5"/>
      <color theme="1"/>
      <name val="Calibri"/>
      <family val="2"/>
    </font>
    <font>
      <u/>
      <sz val="10"/>
      <color rgb="FF0070C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5" fillId="0" borderId="1" xfId="1" applyFont="1" applyBorder="1" applyAlignment="1">
      <alignment vertical="top" wrapText="1"/>
    </xf>
    <xf numFmtId="0" fontId="5" fillId="3" borderId="1" xfId="0" applyFont="1" applyFill="1" applyBorder="1" applyAlignment="1">
      <alignment horizontal="center" vertical="center" wrapText="1"/>
    </xf>
    <xf numFmtId="0" fontId="5" fillId="0" borderId="4" xfId="0" applyFont="1" applyBorder="1" applyAlignment="1">
      <alignment vertical="top" wrapText="1"/>
    </xf>
    <xf numFmtId="0" fontId="5" fillId="2" borderId="4" xfId="0" applyFont="1" applyFill="1" applyBorder="1" applyAlignment="1">
      <alignment vertical="center"/>
    </xf>
    <xf numFmtId="0" fontId="5" fillId="0" borderId="4" xfId="0" applyFont="1" applyBorder="1" applyAlignment="1">
      <alignment vertical="center"/>
    </xf>
    <xf numFmtId="0" fontId="3" fillId="0" borderId="4" xfId="0" applyFont="1" applyBorder="1"/>
    <xf numFmtId="0" fontId="5" fillId="0" borderId="0" xfId="0" applyFont="1" applyAlignment="1">
      <alignment vertical="top" wrapText="1"/>
    </xf>
    <xf numFmtId="0" fontId="5" fillId="0" borderId="6" xfId="0" applyFont="1" applyBorder="1" applyAlignment="1">
      <alignment horizontal="center" vertical="center"/>
    </xf>
    <xf numFmtId="0" fontId="5" fillId="0" borderId="2" xfId="0" applyFont="1" applyBorder="1" applyAlignment="1">
      <alignment vertical="center"/>
    </xf>
    <xf numFmtId="0" fontId="8" fillId="0" borderId="0" xfId="0" applyFont="1"/>
    <xf numFmtId="0" fontId="5" fillId="0" borderId="3" xfId="0" applyFont="1" applyBorder="1" applyAlignment="1">
      <alignment vertical="top" wrapText="1"/>
    </xf>
    <xf numFmtId="0" fontId="5" fillId="0" borderId="0" xfId="0" applyFont="1" applyAlignment="1">
      <alignment vertical="center"/>
    </xf>
    <xf numFmtId="0" fontId="5" fillId="3" borderId="1" xfId="0" applyFont="1" applyFill="1" applyBorder="1" applyAlignment="1">
      <alignment vertical="top" wrapText="1"/>
    </xf>
    <xf numFmtId="0" fontId="5" fillId="3" borderId="1" xfId="0" applyFont="1" applyFill="1" applyBorder="1" applyAlignment="1">
      <alignment vertical="center"/>
    </xf>
    <xf numFmtId="0" fontId="3" fillId="3" borderId="1" xfId="0" applyFont="1" applyFill="1" applyBorder="1" applyAlignment="1">
      <alignment horizontal="center" vertical="center"/>
    </xf>
    <xf numFmtId="0" fontId="5" fillId="2" borderId="2" xfId="0" applyFont="1" applyFill="1" applyBorder="1" applyAlignment="1">
      <alignment vertical="center"/>
    </xf>
    <xf numFmtId="0" fontId="3" fillId="2" borderId="5" xfId="0" applyFont="1" applyFill="1" applyBorder="1" applyAlignment="1">
      <alignment horizontal="center" vertical="center"/>
    </xf>
    <xf numFmtId="0" fontId="5" fillId="2" borderId="7" xfId="0" applyFont="1" applyFill="1" applyBorder="1" applyAlignment="1">
      <alignment vertical="center"/>
    </xf>
    <xf numFmtId="0" fontId="3" fillId="2" borderId="8" xfId="0" applyFont="1" applyFill="1" applyBorder="1" applyAlignment="1">
      <alignment horizontal="center" vertical="center"/>
    </xf>
    <xf numFmtId="0" fontId="7" fillId="0" borderId="0" xfId="1" applyFont="1"/>
    <xf numFmtId="0" fontId="9" fillId="0" borderId="0" xfId="0" applyFont="1"/>
    <xf numFmtId="0" fontId="10" fillId="0" borderId="0" xfId="0" applyFont="1"/>
    <xf numFmtId="0" fontId="11" fillId="0" borderId="1" xfId="1" applyFont="1" applyBorder="1" applyAlignment="1">
      <alignmen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ersicherungsriese.de/krankenversicherung/betriebskrankenkasse/"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heilkunde-aktuell.de/der-geburtsvorbereitungskurs-das-passende-angebot-fuer-die-eigenen-beduerfnisse-finden/" TargetMode="External"/><Relationship Id="rId5" Type="http://schemas.openxmlformats.org/officeDocument/2006/relationships/hyperlink" Target="https://www.mooci.org/allgemeinmedizin/epigenetik/" TargetMode="External"/><Relationship Id="rId4" Type="http://schemas.openxmlformats.org/officeDocument/2006/relationships/hyperlink" Target="https://lubloggt.de/geschlechtsspezifische-voraussetzungen-und-risikofaktoren-in-der-gesundheitsversorgung-von-frauen-und-maenn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C562-13A4-0E4E-9C3C-74D35A9C5798}">
  <dimension ref="A1:B1012"/>
  <sheetViews>
    <sheetView tabSelected="1" zoomScale="150" zoomScaleNormal="150" workbookViewId="0">
      <pane ySplit="4" topLeftCell="A5" activePane="bottomLeft" state="frozen"/>
      <selection pane="bottomLeft" activeCell="D9" sqref="D9"/>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70" x14ac:dyDescent="0.2">
      <c r="A6" s="12" t="s">
        <v>6</v>
      </c>
      <c r="B6" s="13">
        <v>2.5</v>
      </c>
    </row>
    <row r="7" spans="1:2" ht="70" x14ac:dyDescent="0.2">
      <c r="A7" s="12" t="s">
        <v>7</v>
      </c>
      <c r="B7" s="13">
        <v>6</v>
      </c>
    </row>
    <row r="8" spans="1:2" ht="42" x14ac:dyDescent="0.2">
      <c r="A8" s="12" t="s">
        <v>8</v>
      </c>
      <c r="B8" s="13">
        <v>1.5</v>
      </c>
    </row>
    <row r="9" spans="1:2" ht="42" x14ac:dyDescent="0.2">
      <c r="A9" s="12" t="s">
        <v>9</v>
      </c>
      <c r="B9" s="13">
        <v>3.5</v>
      </c>
    </row>
    <row r="10" spans="1:2" ht="42" x14ac:dyDescent="0.2">
      <c r="A10" s="12" t="s">
        <v>10</v>
      </c>
      <c r="B10" s="13">
        <v>3.5</v>
      </c>
    </row>
    <row r="11" spans="1:2" ht="42" x14ac:dyDescent="0.2">
      <c r="A11" s="12" t="s">
        <v>11</v>
      </c>
      <c r="B11" s="13">
        <v>3</v>
      </c>
    </row>
    <row r="12" spans="1:2" s="6" customFormat="1" ht="56" x14ac:dyDescent="0.15">
      <c r="A12" s="12" t="s">
        <v>12</v>
      </c>
      <c r="B12" s="13">
        <v>2.5</v>
      </c>
    </row>
    <row r="13" spans="1:2" s="6" customFormat="1" ht="28" x14ac:dyDescent="0.15">
      <c r="A13" s="36" t="s">
        <v>13</v>
      </c>
      <c r="B13" s="13"/>
    </row>
    <row r="14" spans="1:2" s="6" customFormat="1" ht="28" x14ac:dyDescent="0.15">
      <c r="A14" s="36" t="s">
        <v>14</v>
      </c>
      <c r="B14" s="13"/>
    </row>
    <row r="15" spans="1:2" s="6" customFormat="1" ht="14" x14ac:dyDescent="0.15">
      <c r="A15" s="36" t="s">
        <v>15</v>
      </c>
      <c r="B15" s="13"/>
    </row>
    <row r="16" spans="1:2" s="6" customFormat="1" ht="28" x14ac:dyDescent="0.15">
      <c r="A16" s="36" t="s">
        <v>16</v>
      </c>
      <c r="B16" s="13"/>
    </row>
    <row r="17" spans="1:2" s="6" customFormat="1" ht="126" customHeight="1" x14ac:dyDescent="0.15">
      <c r="A17" s="14" t="s">
        <v>17</v>
      </c>
      <c r="B17" s="13">
        <v>16.5</v>
      </c>
    </row>
    <row r="18" spans="1:2" s="6" customFormat="1" ht="27.75" customHeight="1" x14ac:dyDescent="0.15">
      <c r="A18" s="12" t="s">
        <v>18</v>
      </c>
      <c r="B18" s="13">
        <v>0.5</v>
      </c>
    </row>
    <row r="19" spans="1:2" s="6" customFormat="1" ht="15.75" customHeight="1" x14ac:dyDescent="0.15">
      <c r="A19" s="8" t="s">
        <v>4</v>
      </c>
      <c r="B19" s="9">
        <f>SUM(B6:B18)</f>
        <v>39.5</v>
      </c>
    </row>
    <row r="20" spans="1:2" s="6" customFormat="1" ht="15.75" customHeight="1" x14ac:dyDescent="0.15">
      <c r="A20" s="7"/>
      <c r="B20" s="13"/>
    </row>
    <row r="21" spans="1:2" s="6" customFormat="1" ht="15.75" customHeight="1" x14ac:dyDescent="0.15">
      <c r="A21" s="10" t="s">
        <v>19</v>
      </c>
      <c r="B21" s="13"/>
    </row>
    <row r="22" spans="1:2" s="6" customFormat="1" ht="84" x14ac:dyDescent="0.15">
      <c r="A22" s="16" t="s">
        <v>20</v>
      </c>
      <c r="B22" s="13">
        <v>0.75</v>
      </c>
    </row>
    <row r="23" spans="1:2" s="6" customFormat="1" ht="70" x14ac:dyDescent="0.15">
      <c r="A23" s="12" t="s">
        <v>21</v>
      </c>
      <c r="B23" s="13">
        <v>8</v>
      </c>
    </row>
    <row r="24" spans="1:2" s="6" customFormat="1" ht="56" x14ac:dyDescent="0.15">
      <c r="A24" s="12" t="s">
        <v>22</v>
      </c>
      <c r="B24" s="13">
        <v>0.75</v>
      </c>
    </row>
    <row r="25" spans="1:2" s="6" customFormat="1" ht="42" x14ac:dyDescent="0.15">
      <c r="A25" s="12" t="s">
        <v>23</v>
      </c>
      <c r="B25" s="13">
        <v>2.5</v>
      </c>
    </row>
    <row r="26" spans="1:2" s="6" customFormat="1" ht="70" x14ac:dyDescent="0.15">
      <c r="A26" s="12" t="s">
        <v>24</v>
      </c>
      <c r="B26" s="13">
        <v>6.5</v>
      </c>
    </row>
    <row r="27" spans="1:2" s="6" customFormat="1" ht="70" x14ac:dyDescent="0.15">
      <c r="A27" s="12" t="s">
        <v>25</v>
      </c>
      <c r="B27" s="13">
        <v>1</v>
      </c>
    </row>
    <row r="28" spans="1:2" s="6" customFormat="1" ht="84" x14ac:dyDescent="0.15">
      <c r="A28" s="16" t="s">
        <v>26</v>
      </c>
      <c r="B28" s="13">
        <v>2.25</v>
      </c>
    </row>
    <row r="29" spans="1:2" s="6" customFormat="1" ht="70" x14ac:dyDescent="0.15">
      <c r="A29" s="12" t="s">
        <v>27</v>
      </c>
      <c r="B29" s="13">
        <v>7</v>
      </c>
    </row>
    <row r="30" spans="1:2" s="6" customFormat="1" ht="56" x14ac:dyDescent="0.15">
      <c r="A30" s="16" t="s">
        <v>28</v>
      </c>
      <c r="B30" s="13">
        <v>1</v>
      </c>
    </row>
    <row r="31" spans="1:2" s="6" customFormat="1" ht="15.75" customHeight="1" x14ac:dyDescent="0.15">
      <c r="A31" s="17" t="s">
        <v>4</v>
      </c>
      <c r="B31" s="9">
        <f>SUM(B22:B30)</f>
        <v>29.75</v>
      </c>
    </row>
    <row r="32" spans="1:2" s="6" customFormat="1" ht="15.75" customHeight="1" x14ac:dyDescent="0.15">
      <c r="A32" s="18"/>
      <c r="B32" s="13"/>
    </row>
    <row r="33" spans="1:2" s="6" customFormat="1" ht="15.75" customHeight="1" x14ac:dyDescent="0.15">
      <c r="A33" s="19" t="s">
        <v>29</v>
      </c>
      <c r="B33" s="13"/>
    </row>
    <row r="34" spans="1:2" s="6" customFormat="1" ht="56" x14ac:dyDescent="0.15">
      <c r="A34" s="20" t="s">
        <v>30</v>
      </c>
      <c r="B34" s="13">
        <v>1.25</v>
      </c>
    </row>
    <row r="35" spans="1:2" s="6" customFormat="1" ht="15.75" customHeight="1" x14ac:dyDescent="0.15">
      <c r="A35" s="17" t="s">
        <v>4</v>
      </c>
      <c r="B35" s="9">
        <f>SUM(B34:B34)</f>
        <v>1.25</v>
      </c>
    </row>
    <row r="36" spans="1:2" s="6" customFormat="1" ht="15.75" customHeight="1" x14ac:dyDescent="0.15">
      <c r="A36" s="18"/>
      <c r="B36" s="13"/>
    </row>
    <row r="37" spans="1:2" s="6" customFormat="1" ht="15.75" customHeight="1" x14ac:dyDescent="0.15">
      <c r="A37" s="10" t="s">
        <v>31</v>
      </c>
      <c r="B37" s="13"/>
    </row>
    <row r="38" spans="1:2" s="6" customFormat="1" ht="70" x14ac:dyDescent="0.15">
      <c r="A38" s="12" t="s">
        <v>32</v>
      </c>
      <c r="B38" s="13">
        <v>6</v>
      </c>
    </row>
    <row r="39" spans="1:2" s="6" customFormat="1" ht="28" x14ac:dyDescent="0.15">
      <c r="A39" s="12" t="s">
        <v>33</v>
      </c>
      <c r="B39" s="13">
        <v>4</v>
      </c>
    </row>
    <row r="40" spans="1:2" s="6" customFormat="1" ht="42" x14ac:dyDescent="0.15">
      <c r="A40" s="12" t="s">
        <v>34</v>
      </c>
      <c r="B40" s="13">
        <v>1.25</v>
      </c>
    </row>
    <row r="41" spans="1:2" s="6" customFormat="1" ht="15.75" customHeight="1" x14ac:dyDescent="0.15">
      <c r="A41" s="8" t="s">
        <v>4</v>
      </c>
      <c r="B41" s="9">
        <f>SUM(B38:B40)</f>
        <v>11.25</v>
      </c>
    </row>
    <row r="42" spans="1:2" s="6" customFormat="1" ht="15.75" customHeight="1" x14ac:dyDescent="0.15">
      <c r="A42" s="22"/>
      <c r="B42" s="21"/>
    </row>
    <row r="43" spans="1:2" s="6" customFormat="1" ht="15.75" customHeight="1" x14ac:dyDescent="0.15">
      <c r="A43" s="19" t="s">
        <v>35</v>
      </c>
      <c r="B43" s="13"/>
    </row>
    <row r="44" spans="1:2" s="23" customFormat="1" ht="84" x14ac:dyDescent="0.15">
      <c r="A44" s="26" t="s">
        <v>36</v>
      </c>
      <c r="B44" s="15">
        <v>1.25</v>
      </c>
    </row>
    <row r="45" spans="1:2" s="23" customFormat="1" ht="84" x14ac:dyDescent="0.15">
      <c r="A45" s="24" t="s">
        <v>37</v>
      </c>
      <c r="B45" s="15">
        <v>6.5</v>
      </c>
    </row>
    <row r="46" spans="1:2" s="6" customFormat="1" ht="15.75" customHeight="1" x14ac:dyDescent="0.15">
      <c r="A46" s="8" t="s">
        <v>4</v>
      </c>
      <c r="B46" s="9">
        <f>SUM(B43:B45)</f>
        <v>7.75</v>
      </c>
    </row>
    <row r="47" spans="1:2" s="6" customFormat="1" ht="15.75" customHeight="1" x14ac:dyDescent="0.15">
      <c r="A47" s="25"/>
      <c r="B47" s="21"/>
    </row>
    <row r="48" spans="1:2" s="6" customFormat="1" ht="15.75" customHeight="1" x14ac:dyDescent="0.15">
      <c r="A48" s="10" t="s">
        <v>38</v>
      </c>
      <c r="B48" s="13"/>
    </row>
    <row r="49" spans="1:2" s="6" customFormat="1" ht="42" x14ac:dyDescent="0.15">
      <c r="A49" s="26" t="s">
        <v>39</v>
      </c>
      <c r="B49" s="13">
        <v>1</v>
      </c>
    </row>
    <row r="50" spans="1:2" s="6" customFormat="1" ht="28" x14ac:dyDescent="0.15">
      <c r="A50" s="26" t="s">
        <v>40</v>
      </c>
      <c r="B50" s="13">
        <v>5.5</v>
      </c>
    </row>
    <row r="51" spans="1:2" s="6" customFormat="1" ht="15.75" customHeight="1" x14ac:dyDescent="0.15">
      <c r="A51" s="8" t="s">
        <v>4</v>
      </c>
      <c r="B51" s="9">
        <f>SUM(B49:B50)</f>
        <v>6.5</v>
      </c>
    </row>
    <row r="52" spans="1:2" s="6" customFormat="1" ht="16.5" customHeight="1" x14ac:dyDescent="0.15">
      <c r="A52" s="27"/>
      <c r="B52" s="28"/>
    </row>
    <row r="53" spans="1:2" s="6" customFormat="1" ht="16.5" customHeight="1" thickBot="1" x14ac:dyDescent="0.2">
      <c r="A53" s="29" t="s">
        <v>41</v>
      </c>
      <c r="B53" s="30">
        <f>SUM(B51+B41+B35+B31+B19+B46)</f>
        <v>96</v>
      </c>
    </row>
    <row r="54" spans="1:2" s="6" customFormat="1" ht="16.5" customHeight="1" thickBot="1" x14ac:dyDescent="0.2">
      <c r="A54" s="31" t="s">
        <v>42</v>
      </c>
      <c r="B54" s="32">
        <v>11.5</v>
      </c>
    </row>
    <row r="55" spans="1:2" ht="15.75" customHeight="1" x14ac:dyDescent="0.2">
      <c r="A55" s="6"/>
      <c r="B55" s="6"/>
    </row>
    <row r="56" spans="1:2" s="35" customFormat="1" ht="15.75" customHeight="1" x14ac:dyDescent="0.2">
      <c r="A56" s="33" t="s">
        <v>43</v>
      </c>
      <c r="B56" s="34"/>
    </row>
    <row r="57" spans="1:2" ht="15.75" customHeight="1" x14ac:dyDescent="0.2">
      <c r="A57" s="6"/>
      <c r="B57" s="6"/>
    </row>
    <row r="58" spans="1:2" ht="15.75" customHeight="1" x14ac:dyDescent="0.2">
      <c r="A58" s="6"/>
      <c r="B58" s="6"/>
    </row>
    <row r="59" spans="1:2" ht="15.75" customHeight="1" x14ac:dyDescent="0.2">
      <c r="B59" s="6"/>
    </row>
    <row r="60" spans="1:2" ht="15.75" customHeight="1" x14ac:dyDescent="0.2">
      <c r="A60" s="6"/>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sheetData>
  <hyperlinks>
    <hyperlink ref="A2" r:id="rId1" xr:uid="{D4E3B2F4-D5E9-244D-957A-2F913E8A0FFE}"/>
    <hyperlink ref="A56" r:id="rId2" display="https://www.thoxan.com/kontakt/" xr:uid="{D8E2250B-202A-D54B-8FC1-8E8218F15328}"/>
    <hyperlink ref="A13" r:id="rId3" location="was-sind-betriebskrankenkassen-bkk" xr:uid="{AB9BDAE4-5012-1E47-A5B3-35BAB9715D95}"/>
    <hyperlink ref="A14" r:id="rId4" xr:uid="{31EFE324-19D0-9C4B-BAFA-2532D142E9EF}"/>
    <hyperlink ref="A15" r:id="rId5" xr:uid="{BBF18900-C08D-224B-9FCE-3245579FB4FB}"/>
    <hyperlink ref="A16" r:id="rId6" xr:uid="{E558D0CD-4292-424C-B33B-E070D7E013C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2024-03-02T18:33:09Z</dcterms:created>
  <dcterms:modified xsi:type="dcterms:W3CDTF">2024-03-02T18:35:26Z</dcterms:modified>
</cp:coreProperties>
</file>