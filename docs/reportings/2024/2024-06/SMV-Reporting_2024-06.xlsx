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6/"/>
    </mc:Choice>
  </mc:AlternateContent>
  <xr:revisionPtr revIDLastSave="0" documentId="13_ncr:1_{294E5332-B70F-5C48-8FDF-7176ACB4DAB6}" xr6:coauthVersionLast="47" xr6:coauthVersionMax="47" xr10:uidLastSave="{00000000-0000-0000-0000-000000000000}"/>
  <bookViews>
    <workbookView xWindow="13180" yWindow="500" windowWidth="34960" windowHeight="26620" xr2:uid="{D243878F-E441-A64B-90BB-0628D6F2B999}"/>
  </bookViews>
  <sheets>
    <sheet name="SMV"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1" l="1"/>
  <c r="B50" i="1"/>
  <c r="B39" i="1"/>
  <c r="B34" i="1"/>
  <c r="B22" i="1"/>
  <c r="B7" i="1"/>
  <c r="B62" i="1" l="1"/>
</calcChain>
</file>

<file path=xl/sharedStrings.xml><?xml version="1.0" encoding="utf-8"?>
<sst xmlns="http://schemas.openxmlformats.org/spreadsheetml/2006/main" count="61" uniqueCount="54">
  <si>
    <t>SMV Sitz- &amp; Objektmöbel GmbH</t>
  </si>
  <si>
    <t>2. Quartal 2024</t>
  </si>
  <si>
    <t>www.smv-gmbh.de</t>
  </si>
  <si>
    <t>Monatliche Optimierung</t>
  </si>
  <si>
    <t>Aufwand ca. in Std.</t>
  </si>
  <si>
    <t>1. Linkaufbau, Linkabbau, Online-PR</t>
  </si>
  <si>
    <t>Link-Monitoring: Neue Verlinkungen aus Link-Tools der letzten 30 Tage überprüft, einzeln bewertet (monatlich)</t>
  </si>
  <si>
    <t>2. Redaktionelle Arbeiten &amp; Website-Pflege</t>
  </si>
  <si>
    <t>Prüfung der Seitentitel und Meta-Descriptions: Einpflegen neuer bzw. optimierter Seitentitel und Meta-Beschreibungen ins System, kl. Textanpassungen wegen Laufweite oder Formatierung, finale Durchsicht, Dokumentation und Abstimmung (23.04., DKI, TKI)</t>
  </si>
  <si>
    <t>404-Fehler und 301-Weiterleitungen: Abstimmung und Recherche, Export und Sortierung der Seitenstruktur nach Crawl, Durchsicht der indexierten Unterseiten bei Google, Durchsicht von 404-Fehlern im Redirection-Tool sowie im Broken-Link-Checker,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(22.-25.04., DKI, TKI)</t>
  </si>
  <si>
    <t>Mehrfaches Ersetzen von diversen Zeichenkette mit "ffern" über die Datenbank mit jeweils vorherigem Backup, Abstimmung und Dokumentation (26.04., BKO)</t>
  </si>
  <si>
    <t>Nachträgliche Größenanpassung von einzelnen Teammitglieder im Teamslider mittels CSS, Abstimmung (26.04., BKO)</t>
  </si>
  <si>
    <t>Austausch der Ansprechpartner auf den den Produktseiten über Wiederverwendbare Blöcke, Abstimmung und Dokumentation (29.04., BKO)</t>
  </si>
  <si>
    <t>Abstimmung, FSC Logo (SVG) optimieren und austauschen, kurze Dokumentation (29.04., BKO, TKI)</t>
  </si>
  <si>
    <t>Abstimmung wegen duplizierter Unterseiten, Prüfung der Entwürfe, Löschung und Dokumentation per Video, Anleitung für Pflege von Blogartikeln und Carzubi-Beiträgen, etc., Hinweis URL-Struktur, Ticket anlegt (02.05., TKI)</t>
  </si>
  <si>
    <t>Umbau der Permalink-Struktur für Blog- und Carzubi-Artikel, Presse-Meldungen, Referenzen, Funnel und Termine, Weiterleitungen für bisherige URL-Struktur (/blog/details) anlegen, manuelle 301-Weiterleitungen ergänzen, kl. Anpassungen, Abstimmung und Dokumentation (06.05., BKO, TKI)</t>
  </si>
  <si>
    <t>Bildbearbeitung und optimiertes abspeichern, Austausch der Fotos auf der Showroom-Unterseite, Header und Galerie anlegen, kl. Anpassungen, Abstimmung und Dokumentation (23.05., TKI)</t>
  </si>
  <si>
    <t>Einpflegen Big Bertha: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(23.05., TKI)</t>
  </si>
  <si>
    <t>Textanpassungen auf der Showroom-Unterseite, Google Maps von SMV auf Gowld geändert, neuer Benutzeraccount für Julia, Abstimmung und Dokumentation (27.05., TKI)</t>
  </si>
  <si>
    <t>Interne Verlinkung (Reparatur): Ermittelte „Broken-Links“ durch 301-Weiterleitungen repariert (umgeleitet), Liste der 404-Fehler geprüft, sortiert und weitere 301-Umleitungen erstellt für nicht (mehr) erreichbare Unterseiten, Anpassungen der internen Verlinkung auf über 30 zentralen Unterseiten, Prüfung via Insights-Tool, kl. Anpassungen der Website, Dokumentation und Abstimmung (07.05.-07.06., MGO, TKI)</t>
  </si>
  <si>
    <t>3. Technische Arbeiten &amp; Programmierung</t>
  </si>
  <si>
    <t>Soforthilfe bei alter Website (Contao) bei deutscher Sprache (nicht verfügbar), Prüfung im Contao-Backend, Abstimmung Jana, etc. (17.04., BKO)</t>
  </si>
  <si>
    <t>Zusätzliche Hilfestellung bei internen Serverproblemen bei Domain- bzw. Serverumstellung (unerwarteter Mehraufwand beim Relaunch, abweichend von typischen Hostingumgebungen), zusätzliche Abstimmung René Körtner (23.04., BKO)</t>
  </si>
  <si>
    <t>Recherche und Abstimmung, nachträgliche Farbanpassung (optimierter Kontrast) einer Hintergrundfarbe für bessere Barrierefreiheit anhand von ermittelten Web-Standards, Dokumentation (23.-24.04., BKO)</t>
  </si>
  <si>
    <t>Prüfung der (im Rahmen des Relaunchs erfolgten) Ladezeit-Optimierung, Messung mit div. Tools, Abstimmung und Dokumentation (23.04., TKI)</t>
  </si>
  <si>
    <t>Zusätzliche Integration des Kundenlogins im Header mit Submenü und Eingabeflächen (anteilige Berechnung für optische Anpassungen), Abstimmung und Dokumentation (25.04., BKO)</t>
  </si>
  <si>
    <t>Anpassung der Datenschutzerklärung auf Basis von neuen Inhalten (09.05., BKO)</t>
  </si>
  <si>
    <t>Einstellungen bei Übersetzungstool Weglot prüfen und anpassen (22.05., BKO)</t>
  </si>
  <si>
    <t>Weitere Supportarbeiten: Anleitungsvideo für Kataloge / Fehlerprüfung und Analyse 3D Konfigurator / 3D Planungen Effekt Anfrage (22.-23.05., BKO)</t>
  </si>
  <si>
    <t>Videoanleitung für die Pflege von Piktogrammen, Optimierung von Weglot bzgl Wortlimit und Produktseiten (10.-13.06., BKO)</t>
  </si>
  <si>
    <t>4. Google Ads SMV allgemein</t>
  </si>
  <si>
    <t>Anpassungen in Google Analytics 4 (IP ausschließen in zwei Konten), erste Anpassung desConversion-Trackings nach Relaunch: Abstimmung und Website-Recherche, technische Einrichtung des Conversion-Trackings mittels Google Tag Manager zur Messung verschiedener Conversion-Ziele lt. Konzeption und Absprache, Verbindung zu Google Analytics herstellen, kl. Anpassungen auf der Website, Funktionsprüfung und Dokumentation (23.-24.04., JST, TKI)</t>
  </si>
  <si>
    <t>Google Ads (2. Quartal): Fortlaufendes Monitoring der eingerichteten Kampagnen und Anzeigengruppen sowie des Remarketings, kl. Anpassungen für optimale Kontozustandsbewertung, Durchsicht und Auswertung zum Monatsende (01.04.-30.06., JST, TKI)</t>
  </si>
  <si>
    <t>Content-Planung (fortlaufend): Recherche und Durchsicht von Keyword-Analyse und bisherigen Website-Inhalten, Recherche nach weiteren Themen (Internet, termlabs) und Textkonzeption für Keyword-Optimierung nach WDF*IDF, Asana-Management zur Aufgabenplanung, Dokumentation und Abstimmung
(13.05., GBO)</t>
  </si>
  <si>
    <t>Textkorrektur Unterseite Ledersessel: Abstimmung und Durchsicht der Änderungswünsche, Inhaltliche Bearbeitung des Textes inkl. Umsetzung möglicher Ergänzungen (ggf. Umstrukturierung oder Texterweiterung), Durchsicht der Texte und finale Bearbeitung, Vorbereitung und Übergabe zum Einpflegen auf der Website (09.05.-17.06., GBO)</t>
  </si>
  <si>
    <t>Textkorrektur Unterseite Big Bertha: Abstimmung und Durchsicht der Änderungswünsche, Inhaltliche Bearbeitung des Textes inkl. Umsetzung möglicher Ergänzungen (ggf. Umstrukturierung oder Texterweiterung), Durchsicht der Texte und finale Bearbeitung, Vorbereitung und Übergabe zum Einpflegen auf der Website (09., 22.05., GBO)</t>
  </si>
  <si>
    <r>
      <t>Textoptimierung Unterseite Crown: Abstimmung, Recherche und Textoptimierung für bestehende Unterseite, Überarbeitung des Bestandstexts und Texterweiterung, Keyword-Optimierung nach WDF*IDF, Ergänzungen und kl. Anpassungen, Lektorat und finale Bearbeitung, Versand an Kunden und Dokum</t>
    </r>
    <r>
      <rPr>
        <sz val="10"/>
        <color theme="3"/>
        <rFont val="Arial"/>
        <family val="2"/>
      </rPr>
      <t>entation (14.05.-04.06.,</t>
    </r>
    <r>
      <rPr>
        <sz val="10"/>
        <color rgb="FFFF0000"/>
        <rFont val="Arial"/>
        <family val="2"/>
      </rPr>
      <t xml:space="preserve"> </t>
    </r>
    <r>
      <rPr>
        <sz val="10"/>
        <color theme="1"/>
        <rFont val="Arial"/>
        <family val="2"/>
      </rPr>
      <t>JDR, GBO)</t>
    </r>
  </si>
  <si>
    <t>Textkorrektur Unterseite Crown: Abstimmung und Durchsicht der Änderungswünsche, Inhaltliche Bearbeitung des Textes inkl. Umsetzung möglicher Ergänzungen (ggf. Umstrukturierung oder Texterweiterung), Durchsicht der Texte und finale Bearbeitung, Vorbereitung und Übergabe zum Einpflegen auf der Website (18.06., GBO)</t>
  </si>
  <si>
    <t>Textarbeiten Unterseite Ledersofa: Abstimmung, Briefing und inhaltliche Konzeption, Recherche und Zusammentragen der Informationen, Texterstellung, Keyword-Optimierung nach WDF*IDF, Ergänzungen und kl. Anpassungen, Lektorat und finale Bearbeitung, Versand an Kunden und Dokumentation (14.-06.06., JDR, GBO)</t>
  </si>
  <si>
    <t>Textkorrektur Unterseite Ledersofa: Abstimmung und Durchsicht der Änderungswünsche, Inhaltliche Bearbeitung des Textes inkl. Umsetzung möglicher Ergänzungen (ggf. Umstrukturierung oder Texterweiterung), Durchsicht der Texte und finale Bearbeitung, Vorbereitung und Übergabe zum Einpflegen auf der Website (18.06., GBO)</t>
  </si>
  <si>
    <t>Kurze Vorbereitung und virtuelle Abstimmung zur aktuellen Zusammenarbeit und zum Thema Linkaufbau mit Jacqueline, Klärung von div. Fragen, anschließend Dokumentation und interne Abstimmung für die nächsten Maßnahmen (09.04., TKI)</t>
  </si>
  <si>
    <t>Kurze Vorbereitung und persönliche Abstimmung zur aktuellen Zusammenarbeit, Reflexion des Relaunchs, Klärung von div. Fragen 12:15-14:00 Uhr, anschließend Dokumentation und interne Abstimmung für die nächsten Maßnahmen (16.04., TKI)</t>
  </si>
  <si>
    <t>o. Berechnung</t>
  </si>
  <si>
    <t>Abstimmung CDN mit Ramin, Korrespondenz (15.-29.04., TKI)</t>
  </si>
  <si>
    <t>Mehrfache Abstimmung mit Jacqueline wegen Zugang zum WordPress-Backend, neues Passwort gesetzt (30.04., TKI)</t>
  </si>
  <si>
    <t>Vorbereitung und Durchsicht der bisherigen Gowld-Arbeiten, ausführliche Besprechung zu den nächsten Schritten bei GOW und SMV, Klären von div. Fragen, anschließend Dokumentation und interne Abstimmung für die nächsten Maßnahmen (08.05., TKI)</t>
  </si>
  <si>
    <t>Kurze Vorbereitung und virtuelle Abstimmung zur aktuellen Zusammenarbeit und zum Thema Website-Bearbeitung mit Julia Wolf, Klärung von div. Fragen, anschließend Dokumentation und interne Abstimmung für die nächsten Maßnahmen (06.-07.06., TKI)</t>
  </si>
  <si>
    <t>Organisation, Planung, Überwachung und Steuerung der Aufgaben und Ressourcen (monatlich, TKI)</t>
  </si>
  <si>
    <t>Aufwand ca. insgesamt in Std.</t>
  </si>
  <si>
    <t>Aufwand in Tagessätzen</t>
  </si>
  <si>
    <t>7 TS</t>
  </si>
  <si>
    <t>Noch Rückfragen? Kontakt zur Thoxan Communications GmbH unter https://www.thoxan.com/kontakt/</t>
  </si>
  <si>
    <t>5. Weitere Arbeiten für Gowld-Produktlinie</t>
  </si>
  <si>
    <t>6. 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</si>
</sst>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b/>
      <sz val="16"/>
      <color theme="1"/>
      <name val="Arial"/>
      <family val="2"/>
    </font>
    <font>
      <sz val="12"/>
      <color theme="1"/>
      <name val="Arial"/>
      <family val="2"/>
    </font>
    <font>
      <u/>
      <sz val="10"/>
      <color rgb="FF0000FF"/>
      <name val="Arial"/>
      <family val="2"/>
    </font>
    <font>
      <sz val="10"/>
      <color theme="1"/>
      <name val="Arial"/>
      <family val="2"/>
    </font>
    <font>
      <b/>
      <sz val="10"/>
      <color theme="1"/>
      <name val="Arial"/>
      <family val="2"/>
    </font>
    <font>
      <sz val="10"/>
      <color rgb="FFFF0000"/>
      <name val="Arial"/>
      <family val="2"/>
    </font>
    <font>
      <sz val="10"/>
      <color theme="3"/>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35">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5" fillId="0" borderId="0" xfId="0" applyFont="1"/>
    <xf numFmtId="0" fontId="5" fillId="0" borderId="1" xfId="0" applyFont="1" applyBorder="1"/>
    <xf numFmtId="0" fontId="5" fillId="2" borderId="1" xfId="0" applyFont="1" applyFill="1" applyBorder="1" applyAlignment="1">
      <alignment horizontal="center" vertical="center"/>
    </xf>
    <xf numFmtId="0" fontId="4" fillId="0" borderId="0" xfId="0" applyFont="1"/>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top" wrapText="1"/>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0" borderId="1" xfId="0" applyFont="1" applyBorder="1"/>
    <xf numFmtId="0" fontId="4" fillId="0" borderId="2" xfId="0" applyFont="1" applyBorder="1" applyAlignment="1">
      <alignment vertical="top" wrapText="1"/>
    </xf>
    <xf numFmtId="0" fontId="4" fillId="0" borderId="2" xfId="0" applyFont="1" applyBorder="1" applyAlignment="1">
      <alignment horizontal="center" vertical="center"/>
    </xf>
    <xf numFmtId="0" fontId="4" fillId="0" borderId="3" xfId="0" applyFont="1" applyBorder="1" applyAlignment="1">
      <alignment vertical="top" wrapText="1"/>
    </xf>
    <xf numFmtId="0" fontId="4" fillId="0" borderId="3" xfId="0" applyFont="1" applyBorder="1" applyAlignment="1">
      <alignment horizontal="center" vertical="center"/>
    </xf>
    <xf numFmtId="0" fontId="4" fillId="0" borderId="4" xfId="0" applyFont="1" applyBorder="1" applyAlignment="1">
      <alignment vertical="top" wrapText="1"/>
    </xf>
    <xf numFmtId="0" fontId="4" fillId="0" borderId="4"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wrapText="1"/>
    </xf>
    <xf numFmtId="0" fontId="4" fillId="0" borderId="3" xfId="0" applyFont="1" applyBorder="1" applyAlignment="1">
      <alignment wrapText="1"/>
    </xf>
    <xf numFmtId="0" fontId="4" fillId="0" borderId="5" xfId="0" applyFont="1" applyBorder="1" applyAlignment="1">
      <alignment horizontal="center" vertical="center"/>
    </xf>
    <xf numFmtId="0" fontId="4" fillId="0" borderId="5" xfId="0" applyFont="1" applyBorder="1" applyAlignment="1">
      <alignment wrapText="1"/>
    </xf>
    <xf numFmtId="0" fontId="4" fillId="2" borderId="4" xfId="0" applyFont="1" applyFill="1" applyBorder="1" applyAlignment="1">
      <alignment vertical="center"/>
    </xf>
    <xf numFmtId="0" fontId="4" fillId="2" borderId="4" xfId="0" applyFont="1" applyFill="1" applyBorder="1" applyAlignment="1">
      <alignment horizontal="center" vertical="center"/>
    </xf>
    <xf numFmtId="0" fontId="4" fillId="2" borderId="6" xfId="0" applyFont="1" applyFill="1" applyBorder="1" applyAlignment="1">
      <alignment vertical="center"/>
    </xf>
    <xf numFmtId="0" fontId="5" fillId="2" borderId="6" xfId="0" applyFont="1" applyFill="1" applyBorder="1" applyAlignment="1">
      <alignment horizontal="center" vertical="center"/>
    </xf>
    <xf numFmtId="0" fontId="4" fillId="2" borderId="7" xfId="0" applyFont="1" applyFill="1" applyBorder="1" applyAlignment="1">
      <alignment vertical="center"/>
    </xf>
    <xf numFmtId="0" fontId="5" fillId="2" borderId="7" xfId="0" applyFont="1" applyFill="1" applyBorder="1" applyAlignment="1">
      <alignment horizontal="center" vertical="center"/>
    </xf>
    <xf numFmtId="0" fontId="8"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1573-6B71-1A4C-9E62-6FE9B2DA3B59}">
  <dimension ref="A1:B1018"/>
  <sheetViews>
    <sheetView tabSelected="1" zoomScale="140" zoomScaleNormal="140" workbookViewId="0">
      <pane ySplit="4" topLeftCell="A5" activePane="bottomLeft" state="frozen"/>
      <selection pane="bottomLeft" activeCell="A53" sqref="A53"/>
    </sheetView>
  </sheetViews>
  <sheetFormatPr baseColWidth="10" defaultColWidth="11.1640625" defaultRowHeight="15" customHeight="1" x14ac:dyDescent="0.2"/>
  <cols>
    <col min="1" max="1" width="56.5" customWidth="1"/>
    <col min="2" max="2" width="21.66406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ht="16" x14ac:dyDescent="0.2">
      <c r="A4" s="8"/>
      <c r="B4" s="9" t="s">
        <v>4</v>
      </c>
    </row>
    <row r="5" spans="1:2" ht="15.75" customHeight="1" x14ac:dyDescent="0.2">
      <c r="A5" s="8" t="s">
        <v>5</v>
      </c>
      <c r="B5" s="11"/>
    </row>
    <row r="6" spans="1:2" ht="28" x14ac:dyDescent="0.2">
      <c r="A6" s="13" t="s">
        <v>6</v>
      </c>
      <c r="B6" s="12">
        <v>0.75</v>
      </c>
    </row>
    <row r="7" spans="1:2" ht="15.75" customHeight="1" x14ac:dyDescent="0.2">
      <c r="A7" s="14" t="s">
        <v>4</v>
      </c>
      <c r="B7" s="15">
        <f>SUM(B6:B6)</f>
        <v>0.75</v>
      </c>
    </row>
    <row r="8" spans="1:2" ht="15.75" customHeight="1" x14ac:dyDescent="0.2">
      <c r="A8" s="16"/>
      <c r="B8" s="12"/>
    </row>
    <row r="9" spans="1:2" ht="15.75" customHeight="1" x14ac:dyDescent="0.2">
      <c r="A9" s="8" t="s">
        <v>7</v>
      </c>
      <c r="B9" s="12"/>
    </row>
    <row r="10" spans="1:2" ht="56" x14ac:dyDescent="0.2">
      <c r="A10" s="13" t="s">
        <v>8</v>
      </c>
      <c r="B10" s="12">
        <v>2</v>
      </c>
    </row>
    <row r="11" spans="1:2" ht="140" x14ac:dyDescent="0.2">
      <c r="A11" s="13" t="s">
        <v>9</v>
      </c>
      <c r="B11" s="12">
        <v>4.5</v>
      </c>
    </row>
    <row r="12" spans="1:2" ht="42" x14ac:dyDescent="0.2">
      <c r="A12" s="13" t="s">
        <v>10</v>
      </c>
      <c r="B12" s="12">
        <v>0.75</v>
      </c>
    </row>
    <row r="13" spans="1:2" ht="28" x14ac:dyDescent="0.2">
      <c r="A13" s="13" t="s">
        <v>11</v>
      </c>
      <c r="B13" s="12">
        <v>1</v>
      </c>
    </row>
    <row r="14" spans="1:2" ht="42" x14ac:dyDescent="0.2">
      <c r="A14" s="13" t="s">
        <v>12</v>
      </c>
      <c r="B14" s="12">
        <v>0.25</v>
      </c>
    </row>
    <row r="15" spans="1:2" ht="28" x14ac:dyDescent="0.2">
      <c r="A15" s="17" t="s">
        <v>13</v>
      </c>
      <c r="B15" s="18">
        <v>0.5</v>
      </c>
    </row>
    <row r="16" spans="1:2" ht="56" x14ac:dyDescent="0.2">
      <c r="A16" s="19" t="s">
        <v>14</v>
      </c>
      <c r="B16" s="20">
        <v>0.25</v>
      </c>
    </row>
    <row r="17" spans="1:2" ht="70" x14ac:dyDescent="0.2">
      <c r="A17" s="19" t="s">
        <v>15</v>
      </c>
      <c r="B17" s="20">
        <v>3.5</v>
      </c>
    </row>
    <row r="18" spans="1:2" ht="42" x14ac:dyDescent="0.2">
      <c r="A18" s="19" t="s">
        <v>16</v>
      </c>
      <c r="B18" s="20">
        <v>0.25</v>
      </c>
    </row>
    <row r="19" spans="1:2" ht="84" x14ac:dyDescent="0.2">
      <c r="A19" s="19" t="s">
        <v>17</v>
      </c>
      <c r="B19" s="20">
        <v>0.5</v>
      </c>
    </row>
    <row r="20" spans="1:2" ht="42" x14ac:dyDescent="0.2">
      <c r="A20" s="19" t="s">
        <v>18</v>
      </c>
      <c r="B20" s="20">
        <v>0.25</v>
      </c>
    </row>
    <row r="21" spans="1:2" ht="98" x14ac:dyDescent="0.2">
      <c r="A21" s="21" t="s">
        <v>19</v>
      </c>
      <c r="B21" s="22">
        <v>12.5</v>
      </c>
    </row>
    <row r="22" spans="1:2" ht="15.75" customHeight="1" x14ac:dyDescent="0.2">
      <c r="A22" s="14" t="s">
        <v>4</v>
      </c>
      <c r="B22" s="15">
        <f>SUM(B10:B21)</f>
        <v>26.25</v>
      </c>
    </row>
    <row r="23" spans="1:2" ht="15.75" customHeight="1" x14ac:dyDescent="0.2">
      <c r="A23" s="23"/>
      <c r="B23" s="12"/>
    </row>
    <row r="24" spans="1:2" ht="15.75" customHeight="1" x14ac:dyDescent="0.2">
      <c r="A24" s="8" t="s">
        <v>20</v>
      </c>
      <c r="B24" s="12"/>
    </row>
    <row r="25" spans="1:2" ht="42" x14ac:dyDescent="0.2">
      <c r="A25" s="13" t="s">
        <v>21</v>
      </c>
      <c r="B25" s="12">
        <v>1.5</v>
      </c>
    </row>
    <row r="26" spans="1:2" ht="56" x14ac:dyDescent="0.2">
      <c r="A26" s="13" t="s">
        <v>22</v>
      </c>
      <c r="B26" s="12">
        <v>1.5</v>
      </c>
    </row>
    <row r="27" spans="1:2" ht="56" x14ac:dyDescent="0.2">
      <c r="A27" s="13" t="s">
        <v>23</v>
      </c>
      <c r="B27" s="12">
        <v>0.75</v>
      </c>
    </row>
    <row r="28" spans="1:2" ht="42" x14ac:dyDescent="0.2">
      <c r="A28" s="13" t="s">
        <v>24</v>
      </c>
      <c r="B28" s="12">
        <v>0.5</v>
      </c>
    </row>
    <row r="29" spans="1:2" ht="42" x14ac:dyDescent="0.2">
      <c r="A29" s="13" t="s">
        <v>25</v>
      </c>
      <c r="B29" s="12">
        <v>2</v>
      </c>
    </row>
    <row r="30" spans="1:2" ht="28" x14ac:dyDescent="0.2">
      <c r="A30" s="13" t="s">
        <v>26</v>
      </c>
      <c r="B30" s="12">
        <v>1</v>
      </c>
    </row>
    <row r="31" spans="1:2" ht="28" x14ac:dyDescent="0.2">
      <c r="A31" s="13" t="s">
        <v>27</v>
      </c>
      <c r="B31" s="12">
        <v>0.5</v>
      </c>
    </row>
    <row r="32" spans="1:2" ht="42" x14ac:dyDescent="0.2">
      <c r="A32" s="13" t="s">
        <v>28</v>
      </c>
      <c r="B32" s="12">
        <v>1</v>
      </c>
    </row>
    <row r="33" spans="1:2" ht="28" x14ac:dyDescent="0.2">
      <c r="A33" s="13" t="s">
        <v>29</v>
      </c>
      <c r="B33" s="12">
        <v>1</v>
      </c>
    </row>
    <row r="34" spans="1:2" ht="15.75" customHeight="1" x14ac:dyDescent="0.2">
      <c r="A34" s="14" t="s">
        <v>4</v>
      </c>
      <c r="B34" s="15">
        <f>SUM(B24:B33)</f>
        <v>9.75</v>
      </c>
    </row>
    <row r="35" spans="1:2" ht="15.75" customHeight="1" x14ac:dyDescent="0.2">
      <c r="A35" s="23"/>
      <c r="B35" s="12"/>
    </row>
    <row r="36" spans="1:2" ht="15.75" customHeight="1" x14ac:dyDescent="0.2">
      <c r="A36" s="8" t="s">
        <v>30</v>
      </c>
      <c r="B36" s="12"/>
    </row>
    <row r="37" spans="1:2" ht="98" x14ac:dyDescent="0.2">
      <c r="A37" s="13" t="s">
        <v>31</v>
      </c>
      <c r="B37" s="12">
        <v>3</v>
      </c>
    </row>
    <row r="38" spans="1:2" ht="56" x14ac:dyDescent="0.2">
      <c r="A38" s="13" t="s">
        <v>32</v>
      </c>
      <c r="B38" s="12">
        <v>1.75</v>
      </c>
    </row>
    <row r="39" spans="1:2" ht="15.75" customHeight="1" x14ac:dyDescent="0.2">
      <c r="A39" s="14" t="s">
        <v>4</v>
      </c>
      <c r="B39" s="15">
        <f>SUM(B36:B38)</f>
        <v>4.75</v>
      </c>
    </row>
    <row r="40" spans="1:2" ht="15.75" customHeight="1" x14ac:dyDescent="0.2">
      <c r="A40" s="24"/>
      <c r="B40" s="12"/>
    </row>
    <row r="41" spans="1:2" ht="15.75" customHeight="1" x14ac:dyDescent="0.2">
      <c r="A41" s="24" t="s">
        <v>52</v>
      </c>
      <c r="B41" s="12"/>
    </row>
    <row r="42" spans="1:2" ht="85" x14ac:dyDescent="0.2">
      <c r="A42" s="25" t="s">
        <v>33</v>
      </c>
      <c r="B42" s="20">
        <v>0.5</v>
      </c>
    </row>
    <row r="43" spans="1:2" ht="85" x14ac:dyDescent="0.2">
      <c r="A43" s="25" t="s">
        <v>34</v>
      </c>
      <c r="B43" s="20">
        <v>2</v>
      </c>
    </row>
    <row r="44" spans="1:2" ht="85" x14ac:dyDescent="0.2">
      <c r="A44" s="25" t="s">
        <v>35</v>
      </c>
      <c r="B44" s="20">
        <v>0.5</v>
      </c>
    </row>
    <row r="45" spans="1:2" ht="86" customHeight="1" x14ac:dyDescent="0.2">
      <c r="A45" s="25" t="s">
        <v>36</v>
      </c>
      <c r="B45" s="20">
        <v>3.75</v>
      </c>
    </row>
    <row r="46" spans="1:2" ht="85" x14ac:dyDescent="0.2">
      <c r="A46" s="25" t="s">
        <v>37</v>
      </c>
      <c r="B46" s="26">
        <v>0.25</v>
      </c>
    </row>
    <row r="47" spans="1:2" ht="72" customHeight="1" x14ac:dyDescent="0.2">
      <c r="A47" s="27" t="s">
        <v>38</v>
      </c>
      <c r="B47" s="26">
        <v>5.25</v>
      </c>
    </row>
    <row r="48" spans="1:2" ht="85" x14ac:dyDescent="0.2">
      <c r="A48" s="25" t="s">
        <v>39</v>
      </c>
      <c r="B48" s="26">
        <v>0.5</v>
      </c>
    </row>
    <row r="49" spans="1:2" ht="56" x14ac:dyDescent="0.2">
      <c r="A49" s="19" t="s">
        <v>32</v>
      </c>
      <c r="B49" s="20">
        <v>1.5</v>
      </c>
    </row>
    <row r="50" spans="1:2" ht="15.75" customHeight="1" x14ac:dyDescent="0.2">
      <c r="A50" s="28" t="s">
        <v>4</v>
      </c>
      <c r="B50" s="29">
        <f>SUM(B42:B49)</f>
        <v>14.25</v>
      </c>
    </row>
    <row r="51" spans="1:2" ht="15.75" customHeight="1" x14ac:dyDescent="0.2">
      <c r="A51" s="24"/>
      <c r="B51" s="12"/>
    </row>
    <row r="52" spans="1:2" ht="15.75" customHeight="1" x14ac:dyDescent="0.2">
      <c r="A52" s="8" t="s">
        <v>53</v>
      </c>
      <c r="B52" s="12"/>
    </row>
    <row r="53" spans="1:2" ht="56" x14ac:dyDescent="0.2">
      <c r="A53" s="13" t="s">
        <v>40</v>
      </c>
      <c r="B53" s="12">
        <v>0.5</v>
      </c>
    </row>
    <row r="54" spans="1:2" ht="56" x14ac:dyDescent="0.2">
      <c r="A54" s="13" t="s">
        <v>41</v>
      </c>
      <c r="B54" s="12" t="s">
        <v>42</v>
      </c>
    </row>
    <row r="55" spans="1:2" ht="16" x14ac:dyDescent="0.2">
      <c r="A55" s="13" t="s">
        <v>43</v>
      </c>
      <c r="B55" s="12">
        <v>0.25</v>
      </c>
    </row>
    <row r="56" spans="1:2" ht="28" x14ac:dyDescent="0.2">
      <c r="A56" s="13" t="s">
        <v>44</v>
      </c>
      <c r="B56" s="12">
        <v>0.25</v>
      </c>
    </row>
    <row r="57" spans="1:2" ht="56" x14ac:dyDescent="0.2">
      <c r="A57" s="13" t="s">
        <v>45</v>
      </c>
      <c r="B57" s="12">
        <v>1</v>
      </c>
    </row>
    <row r="58" spans="1:2" ht="56" x14ac:dyDescent="0.2">
      <c r="A58" s="13" t="s">
        <v>46</v>
      </c>
      <c r="B58" s="12">
        <v>1.25</v>
      </c>
    </row>
    <row r="59" spans="1:2" ht="28" x14ac:dyDescent="0.2">
      <c r="A59" s="13" t="s">
        <v>47</v>
      </c>
      <c r="B59" s="12">
        <v>3</v>
      </c>
    </row>
    <row r="60" spans="1:2" ht="15.75" customHeight="1" x14ac:dyDescent="0.2">
      <c r="A60" s="14" t="s">
        <v>4</v>
      </c>
      <c r="B60" s="15">
        <f>SUM(B53:B59)</f>
        <v>6.25</v>
      </c>
    </row>
    <row r="61" spans="1:2" ht="15.75" customHeight="1" x14ac:dyDescent="0.2">
      <c r="A61" s="23"/>
      <c r="B61" s="12"/>
    </row>
    <row r="62" spans="1:2" ht="16.5" customHeight="1" thickBot="1" x14ac:dyDescent="0.25">
      <c r="A62" s="30" t="s">
        <v>48</v>
      </c>
      <c r="B62" s="31">
        <f>SUM(B60+B39+B34+B22+B7+B50)</f>
        <v>62</v>
      </c>
    </row>
    <row r="63" spans="1:2" ht="16.5" customHeight="1" thickBot="1" x14ac:dyDescent="0.25">
      <c r="A63" s="32" t="s">
        <v>49</v>
      </c>
      <c r="B63" s="33" t="s">
        <v>50</v>
      </c>
    </row>
    <row r="64" spans="1:2" ht="15.75" customHeight="1" x14ac:dyDescent="0.2">
      <c r="A64" s="10"/>
      <c r="B64" s="10"/>
    </row>
    <row r="65" spans="1:2" ht="15.75" customHeight="1" x14ac:dyDescent="0.2">
      <c r="A65" s="34" t="s">
        <v>51</v>
      </c>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c r="A126" s="10"/>
      <c r="B126" s="10"/>
    </row>
    <row r="127" spans="1:2" ht="15.75" customHeight="1" x14ac:dyDescent="0.2">
      <c r="A127" s="10"/>
      <c r="B127" s="10"/>
    </row>
    <row r="128" spans="1:2" ht="15.75" customHeight="1" x14ac:dyDescent="0.2">
      <c r="A128" s="10"/>
      <c r="B128" s="10"/>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row r="1018" spans="1:2" ht="15.75" customHeight="1" x14ac:dyDescent="0.2">
      <c r="A1018" s="3"/>
      <c r="B1018" s="3"/>
    </row>
  </sheetData>
  <hyperlinks>
    <hyperlink ref="A2" r:id="rId1" xr:uid="{F4B67BDE-083D-2946-A9BC-1E19894F611E}"/>
    <hyperlink ref="A65" r:id="rId2" xr:uid="{E105F432-6B2E-5E41-93B9-18942DA6BBF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2024-06-20T18:47:07Z</dcterms:created>
  <dcterms:modified xsi:type="dcterms:W3CDTF">2024-06-20T19:00:15Z</dcterms:modified>
</cp:coreProperties>
</file>