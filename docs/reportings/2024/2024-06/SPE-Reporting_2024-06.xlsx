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06/"/>
    </mc:Choice>
  </mc:AlternateContent>
  <xr:revisionPtr revIDLastSave="0" documentId="8_{A4E00830-C6B5-A348-98A9-1598DDB325CA}" xr6:coauthVersionLast="47" xr6:coauthVersionMax="47" xr10:uidLastSave="{00000000-0000-0000-0000-000000000000}"/>
  <bookViews>
    <workbookView xWindow="11200" yWindow="500" windowWidth="31980" windowHeight="25400" xr2:uid="{45395924-6509-3749-83BC-C8374AF14778}"/>
  </bookViews>
  <sheets>
    <sheet name="SP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1" l="1"/>
  <c r="B31" i="1"/>
  <c r="B25" i="1"/>
  <c r="B20" i="1"/>
  <c r="B14" i="1"/>
  <c r="B7" i="1"/>
  <c r="B38" i="1" l="1"/>
</calcChain>
</file>

<file path=xl/sharedStrings.xml><?xml version="1.0" encoding="utf-8"?>
<sst xmlns="http://schemas.openxmlformats.org/spreadsheetml/2006/main" count="35" uniqueCount="29">
  <si>
    <t>spe group  GmbH / IT-Schutzengel</t>
  </si>
  <si>
    <t>2. Quartal 2024</t>
  </si>
  <si>
    <t>https://www.it-schutzengel.de</t>
  </si>
  <si>
    <t>Monatliche Optimierung</t>
  </si>
  <si>
    <t>Aufwand ca. in Std.</t>
  </si>
  <si>
    <t>1. Linkaufbau, Linkabbau, Online-PR</t>
  </si>
  <si>
    <t>---</t>
  </si>
  <si>
    <t>2. Redaktionelle Arbeiten &amp; Website-Pflege</t>
  </si>
  <si>
    <t>Textarbeiten für Testimonials, Abstimmung und Anlegen der Kundenstimmen im System, Integration der Testimonials im Grid auf allen Unterseiten, Abstimmung und Dokumentation (26.-27.03., TKI)</t>
  </si>
  <si>
    <t>Vereinheitlichen der Social-Media-Profile durch neue Header- und Profilbilder, Grafische Entwürfe, Anpassungen für mobil / Desktop, mehrfacher Austausch lt. den Anforderungen von LinkedIn, Facebook und Instagram, kl. Anpassungen, Abstimmung und Dokumentation (12.-26.04., PGR, TKI)</t>
  </si>
  <si>
    <t>Textarbeiten und Grafikdesign (Bild-Recherche, Bildbearbeitung) für Social-Media-Posts im Mai 2024, Abstimmung und Dokumentation (17.04, TKI)</t>
  </si>
  <si>
    <t>Textarbeiten und Grafikdesign (Bild-Recherche, Bildbearbeitung) für Social-Media-Posts im Juni 2024, Abstimmung und Dokumentation (13.-24.05., TKI)</t>
  </si>
  <si>
    <t>3. Technische Arbeiten, Onpage-Optimierung, ggf. Programmierung</t>
  </si>
  <si>
    <r>
      <t xml:space="preserve">UX-Optimierung der Landingpages zur Verbesserung der Kontaktaufnahme, Anpassen des Menüs, Farbigkeit, Gestaltung von Kontakt-Buttons, Umbau Footer für stärkeren Kontrast, Einkürzen der Kundenstimmen, Logos eingefügt, Abgrenzung der Buttons und Toggles durch unterschiedliche Farben, Fotos vierfarbig, Kontaktbereich optimiert, kl. Anpassungen, mehrfache Abstimmung mit Mathias Specht wegen Caching-Problemen, Dokumentation (09.-17.04., BKO, TKI) = 4 Std., </t>
    </r>
    <r>
      <rPr>
        <sz val="10"/>
        <color rgb="FFFF0000"/>
        <rFont val="Arial"/>
        <family val="2"/>
      </rPr>
      <t>ohne Berechnung</t>
    </r>
  </si>
  <si>
    <r>
      <t xml:space="preserve">Nach Freigabe Einpflegen der durchgeführten Änderungen auf allen Unterseiten bzw. Landingpages für einen einheitlichen Aufbau (16.-18.4., TKI) 
= 1,5 Std., </t>
    </r>
    <r>
      <rPr>
        <sz val="10"/>
        <color rgb="FFFF0000"/>
        <rFont val="Arial"/>
        <family val="2"/>
      </rPr>
      <t>ohne Berechnung</t>
    </r>
  </si>
  <si>
    <t>Fortlaufende Onpage-Optimierung der Website lt. XOVI-Tool, Umbau der Landingpages als Unterseiten (statt Funnel), Footer-Sitemap, interne Links optimiert, erneuter Crawl bei Sistrix, finale Überprüfung, kl. Anpassungen, Abstimmung und Dokumentation (01.05.-09.06., BKO, TKI)</t>
  </si>
  <si>
    <t>4. Social Media Management</t>
  </si>
  <si>
    <t>Regelmäßige (wöchentliche) Veröffentlichung der Social-Media-Postings, Ausspielen als Storys, Bewerben der Postings im Meta-Werbekonto, fortlaufendes Monitoring der Resonanz auf Veröffentlichungen, Abstimmung und Dokumentation (ca. 1 Std. pro Posting, 01.04 - 30.04., JST, TKI)</t>
  </si>
  <si>
    <t>Regelmäßige (wöchentliche) Veröffentlichung der Social-Media-Postings, Ausspielen als Storys, Bewerben der Postings im Meta-Werbekonto, fortlaufendes Monitoring der Resonanz auf Veröffentlichungen, Abstimmung und Dokumentation (ca. 0,5 Std. pro Posting, 01.05 - 30.06., JST, TKI)</t>
  </si>
  <si>
    <t>5. Google Ads &amp; Social Ads</t>
  </si>
  <si>
    <t>Google Ads-Monitoring (2.Quartal): Monatliches Monitoring der Kampagnen, kl. Anpassungen, fortlaufendes Ausschließen und Ergänzen von Keywords, Auswertung am Quartalsende (01.04 - 30.06., JST, TKI)</t>
  </si>
  <si>
    <t>Schaltung von allgemeinen Werbekampagnen auf Facebook und Instagram über den Businessmanager, Einrichten erster Text- und Bild-Anzeigen, Budgeteinrichtung, Anpassungen des Werbekontos, Abstimmung und Dokumentation (01.-25.05., JST, TKI)</t>
  </si>
  <si>
    <t>Social Ads-Monitoring (1. Quartal): Monatliches Monitoring der Werbe-kampagnen bei Facebook und Instagram, Anpassen der Werbeanzeigen, Verfeinern der Zielgruppe, kl. Arbeiten am Werbekonto, Abstimmung und Dokumentation (01.04 - 30.06., JST, TKI)</t>
  </si>
  <si>
    <t>6. Beratung &amp; Sonstiges</t>
  </si>
  <si>
    <t>Vorbereitung, Auswertung der bisherigen Maßnahmen, Ergebnisse und Kennzahlen, Videocall zur Abstimmung der Ergebnisse (ca. 45 Min.), Planung des der weiteren Vorgehensweise, Klären von offenen Fragen, anschließend Vorbereitung der geplanten Maßnahmen, interne Abstimmung 23.05.,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</si>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</sst>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FF0000"/>
      <name val="Arial"/>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6" fillId="0" borderId="4" xfId="0" applyFont="1" applyBorder="1"/>
    <xf numFmtId="0" fontId="5" fillId="0" borderId="5" xfId="0" applyFont="1" applyBorder="1" applyAlignment="1">
      <alignment horizontal="center" vertical="center"/>
    </xf>
    <xf numFmtId="0" fontId="6" fillId="0" borderId="3" xfId="0" applyFont="1" applyBorder="1" applyAlignment="1">
      <alignment wrapText="1"/>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9"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s://www.it-schutzengel.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DB57-D3D7-ED47-BC57-895F9A3DFC1A}">
  <dimension ref="A1:B993"/>
  <sheetViews>
    <sheetView tabSelected="1" zoomScale="150" zoomScaleNormal="150" workbookViewId="0">
      <pane ySplit="4" topLeftCell="A5" activePane="bottomLeft" state="frozen"/>
      <selection pane="bottomLeft" activeCell="A20" sqref="A20:XFD20"/>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42" x14ac:dyDescent="0.2">
      <c r="A10" s="20" t="s">
        <v>8</v>
      </c>
      <c r="B10" s="21">
        <v>1</v>
      </c>
    </row>
    <row r="11" spans="1:2" s="11" customFormat="1" ht="70" x14ac:dyDescent="0.2">
      <c r="A11" s="20" t="s">
        <v>9</v>
      </c>
      <c r="B11" s="18">
        <v>4</v>
      </c>
    </row>
    <row r="12" spans="1:2" s="11" customFormat="1" ht="42" x14ac:dyDescent="0.2">
      <c r="A12" s="20" t="s">
        <v>10</v>
      </c>
      <c r="B12" s="21">
        <v>3</v>
      </c>
    </row>
    <row r="13" spans="1:2" s="11" customFormat="1" ht="42" x14ac:dyDescent="0.2">
      <c r="A13" s="20" t="s">
        <v>11</v>
      </c>
      <c r="B13" s="21">
        <v>2.5</v>
      </c>
    </row>
    <row r="14" spans="1:2" s="11" customFormat="1" ht="15.75" customHeight="1" x14ac:dyDescent="0.2">
      <c r="A14" s="15" t="s">
        <v>4</v>
      </c>
      <c r="B14" s="16">
        <f>SUM(B9:B13)</f>
        <v>10.5</v>
      </c>
    </row>
    <row r="15" spans="1:2" s="11" customFormat="1" ht="15.75" customHeight="1" x14ac:dyDescent="0.2">
      <c r="A15" s="22"/>
      <c r="B15" s="23"/>
    </row>
    <row r="16" spans="1:2" s="10" customFormat="1" ht="15.75" customHeight="1" x14ac:dyDescent="0.15">
      <c r="A16" s="8" t="s">
        <v>12</v>
      </c>
      <c r="B16" s="14"/>
    </row>
    <row r="17" spans="1:2" s="11" customFormat="1" ht="112" x14ac:dyDescent="0.2">
      <c r="A17" s="13" t="s">
        <v>13</v>
      </c>
      <c r="B17" s="14">
        <v>0</v>
      </c>
    </row>
    <row r="18" spans="1:2" s="11" customFormat="1" ht="56" x14ac:dyDescent="0.2">
      <c r="A18" s="13" t="s">
        <v>14</v>
      </c>
      <c r="B18" s="14">
        <v>0</v>
      </c>
    </row>
    <row r="19" spans="1:2" s="11" customFormat="1" ht="70" x14ac:dyDescent="0.2">
      <c r="A19" s="13" t="s">
        <v>15</v>
      </c>
      <c r="B19" s="14">
        <v>2</v>
      </c>
    </row>
    <row r="20" spans="1:2" s="11" customFormat="1" ht="15.75" customHeight="1" x14ac:dyDescent="0.2">
      <c r="A20" s="24" t="s">
        <v>4</v>
      </c>
      <c r="B20" s="25">
        <f>SUM(B17:B19)</f>
        <v>2</v>
      </c>
    </row>
    <row r="21" spans="1:2" s="11" customFormat="1" ht="15.75" customHeight="1" x14ac:dyDescent="0.2">
      <c r="A21" s="26"/>
      <c r="B21" s="14"/>
    </row>
    <row r="22" spans="1:2" s="11" customFormat="1" ht="15.75" customHeight="1" x14ac:dyDescent="0.2">
      <c r="A22" s="27" t="s">
        <v>16</v>
      </c>
      <c r="B22" s="28"/>
    </row>
    <row r="23" spans="1:2" s="11" customFormat="1" ht="70" x14ac:dyDescent="0.2">
      <c r="A23" s="20" t="s">
        <v>17</v>
      </c>
      <c r="B23" s="23">
        <v>4</v>
      </c>
    </row>
    <row r="24" spans="1:2" s="11" customFormat="1" ht="70" x14ac:dyDescent="0.2">
      <c r="A24" s="20" t="s">
        <v>18</v>
      </c>
      <c r="B24" s="23">
        <v>4.5</v>
      </c>
    </row>
    <row r="25" spans="1:2" s="11" customFormat="1" ht="15.75" customHeight="1" x14ac:dyDescent="0.2">
      <c r="A25" s="15" t="s">
        <v>4</v>
      </c>
      <c r="B25" s="16">
        <f>SUM(B23:B24)</f>
        <v>8.5</v>
      </c>
    </row>
    <row r="26" spans="1:2" s="11" customFormat="1" ht="15.75" customHeight="1" x14ac:dyDescent="0.2">
      <c r="A26" s="29"/>
      <c r="B26" s="18"/>
    </row>
    <row r="27" spans="1:2" s="11" customFormat="1" ht="15.75" customHeight="1" x14ac:dyDescent="0.2">
      <c r="A27" s="19" t="s">
        <v>19</v>
      </c>
      <c r="B27" s="18"/>
    </row>
    <row r="28" spans="1:2" s="11" customFormat="1" ht="56" x14ac:dyDescent="0.2">
      <c r="A28" s="20" t="s">
        <v>20</v>
      </c>
      <c r="B28" s="23">
        <v>2</v>
      </c>
    </row>
    <row r="29" spans="1:2" s="11" customFormat="1" ht="56" x14ac:dyDescent="0.2">
      <c r="A29" s="20" t="s">
        <v>21</v>
      </c>
      <c r="B29" s="23">
        <v>3</v>
      </c>
    </row>
    <row r="30" spans="1:2" s="11" customFormat="1" ht="70" x14ac:dyDescent="0.2">
      <c r="A30" s="20" t="s">
        <v>22</v>
      </c>
      <c r="B30" s="23">
        <v>4.5</v>
      </c>
    </row>
    <row r="31" spans="1:2" s="11" customFormat="1" ht="15.75" customHeight="1" x14ac:dyDescent="0.2">
      <c r="A31" s="15" t="s">
        <v>4</v>
      </c>
      <c r="B31" s="16">
        <f>SUM(B28:B30)</f>
        <v>9.5</v>
      </c>
    </row>
    <row r="32" spans="1:2" s="11" customFormat="1" ht="15.75" customHeight="1" x14ac:dyDescent="0.2">
      <c r="A32" s="29"/>
      <c r="B32" s="18"/>
    </row>
    <row r="33" spans="1:2" s="11" customFormat="1" ht="15.75" customHeight="1" x14ac:dyDescent="0.2">
      <c r="A33" s="19" t="s">
        <v>23</v>
      </c>
      <c r="B33" s="18"/>
    </row>
    <row r="34" spans="1:2" s="11" customFormat="1" ht="70" x14ac:dyDescent="0.2">
      <c r="A34" s="20" t="s">
        <v>24</v>
      </c>
      <c r="B34" s="18">
        <v>1.25</v>
      </c>
    </row>
    <row r="35" spans="1:2" s="11" customFormat="1" ht="28" x14ac:dyDescent="0.2">
      <c r="A35" s="20" t="s">
        <v>25</v>
      </c>
      <c r="B35" s="18">
        <v>2</v>
      </c>
    </row>
    <row r="36" spans="1:2" s="11" customFormat="1" ht="15.75" customHeight="1" x14ac:dyDescent="0.2">
      <c r="A36" s="15" t="s">
        <v>4</v>
      </c>
      <c r="B36" s="16">
        <f>SUM(B34:B35)</f>
        <v>3.25</v>
      </c>
    </row>
    <row r="37" spans="1:2" s="11" customFormat="1" ht="15.75" customHeight="1" x14ac:dyDescent="0.2">
      <c r="A37" s="22"/>
      <c r="B37" s="18"/>
    </row>
    <row r="38" spans="1:2" s="11" customFormat="1" ht="16.5" customHeight="1" thickBot="1" x14ac:dyDescent="0.25">
      <c r="A38" s="30" t="s">
        <v>26</v>
      </c>
      <c r="B38" s="31">
        <f>SUM(B7+B14+B20+B25+B31+B36)</f>
        <v>33.75</v>
      </c>
    </row>
    <row r="39" spans="1:2" s="11" customFormat="1" ht="16.5" customHeight="1" thickBot="1" x14ac:dyDescent="0.25">
      <c r="A39" s="30" t="s">
        <v>27</v>
      </c>
      <c r="B39" s="31">
        <v>4</v>
      </c>
    </row>
    <row r="40" spans="1:2" ht="15.75" customHeight="1" x14ac:dyDescent="0.2">
      <c r="A40" s="10"/>
      <c r="B40" s="10"/>
    </row>
    <row r="41" spans="1:2" ht="15.75" customHeight="1" x14ac:dyDescent="0.2">
      <c r="A41" s="32" t="s">
        <v>28</v>
      </c>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sheetData>
  <hyperlinks>
    <hyperlink ref="A2" r:id="rId1" xr:uid="{A34035AC-964C-134B-91DA-681F5F1C19EB}"/>
    <hyperlink ref="A41" r:id="rId2" display="https://www.thoxan.com/kontakt/" xr:uid="{F523F8F4-0BA7-FD4D-A502-36D1A2344FE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2024-06-20T18:31:44Z</dcterms:created>
  <dcterms:modified xsi:type="dcterms:W3CDTF">2024-06-20T18:32:18Z</dcterms:modified>
</cp:coreProperties>
</file>