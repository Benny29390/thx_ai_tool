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6/"/>
    </mc:Choice>
  </mc:AlternateContent>
  <xr:revisionPtr revIDLastSave="0" documentId="8_{0EA19A81-1740-454A-8F4D-40E345677DCD}" xr6:coauthVersionLast="47" xr6:coauthVersionMax="47" xr10:uidLastSave="{00000000-0000-0000-0000-000000000000}"/>
  <bookViews>
    <workbookView xWindow="13380" yWindow="940" windowWidth="37660" windowHeight="26560" xr2:uid="{535ABAAF-A4D2-FB4B-B6A6-6E76570F1877}"/>
  </bookViews>
  <sheets>
    <sheet name="PH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7" i="1" l="1"/>
  <c r="B50" i="1"/>
  <c r="B45" i="1"/>
  <c r="B35" i="1"/>
  <c r="B28" i="1"/>
  <c r="B14" i="1"/>
  <c r="B59" i="1" l="1"/>
</calcChain>
</file>

<file path=xl/sharedStrings.xml><?xml version="1.0" encoding="utf-8"?>
<sst xmlns="http://schemas.openxmlformats.org/spreadsheetml/2006/main" count="58" uniqueCount="52">
  <si>
    <t>Pflegedienst Hessen Süd Janssen GmbH</t>
  </si>
  <si>
    <t>2. Quartal 2025</t>
  </si>
  <si>
    <t>www.pflegedienst-hessen-sued.de</t>
  </si>
  <si>
    <t>Monatliche Optimierung</t>
  </si>
  <si>
    <t>Aufwand ca. in Std.</t>
  </si>
  <si>
    <t>1. Linkaufbau, Linkabbau, Online-PR</t>
  </si>
  <si>
    <t>Textarbeiten Gastartikel: Briefing und Recherche, Texterstellung für Gastbeitrag auf rm-kurier.de, Lektorat, Abstimmung und Vorbereitung zur Veröffentlichung (07.-09.04. EXT, TKI)</t>
  </si>
  <si>
    <t>Textarbeiten Gastartikel: Briefing und Recherche, Texterstellung für Gastbeitrag auf business-on.de, Lektorat, Abstimmung und Vorbereitung zur Veröffentlichung (19.01.-05.05., EXT, TKI)</t>
  </si>
  <si>
    <t>Textarbeiten Gastartikel: Briefing und Recherche, Texterstellung für Gastbeitrag auf therapeutenfinder.com, Lektorat, Abstimmung und Vorbereitung zur Veröffentlichung (25.06. EXT, TKI)</t>
  </si>
  <si>
    <t>Linkaufbau-Organisation und Abstimmung mit den Seitenbetreibern zur Veröffentlichung der vorbereiteten Gastartikel, Prüfung der Link-Integration, Abrechnung der Linkaufbau-Auslagen, Abstimmung und Dokumentation (04.04.-29.06., TKI)</t>
  </si>
  <si>
    <t>https://rm-kurier.de/wirtschaft/pflegebranche-im-demografischen-wandel/</t>
  </si>
  <si>
    <t>https://www.business-on.de/expertentalk-doerthe-schuchardt-ueber-die-zukunft-der-pflege.html</t>
  </si>
  <si>
    <t>therapeutenfinder.com</t>
  </si>
  <si>
    <t>(Wartet auf Veröffentlichung)</t>
  </si>
  <si>
    <t>Link-Monitoring: Neue Verlinkungen aus Link-Tools der letzten 30 Tage kurz gesichtet, überprüft und bewertet (monatliches Monitoring, TKI)</t>
  </si>
  <si>
    <t>2. Redaktionelle Arbeiten &amp; Website-Pflege</t>
  </si>
  <si>
    <t>Textoptimierung Unterseite "Stellenangebote Pflege": Abstimmung, Recherche und Textoptimierung für bestehende Unterseite, Überarbeitung des Bestandstexts und Texterweiterung, Keyword-Optimierung nach WDF*IDF, Ergänzungen und kl. Anpassungen, Lektorat und finale Bearbeitung, Versand an Kunden und Dokumentation (27.03.-01.04., GBO)</t>
  </si>
  <si>
    <t>Umstellung der Unterseite "Stellenangebote": Fertigstellung  &amp; finale Anpassungen des Formulars, inkl. Test. (03.04., RBO)</t>
  </si>
  <si>
    <t>Einpflegen der geänderten Blogbeiträge "Medizinischer Dienst": Interne Abstimmung und Einpflegen des neuen Textes inkl. Optimierung der Darstellungim Block-Editor, finale Prüfung, senden an Kunde, Dokumentation (27.-31.03., MGO, RBO)</t>
  </si>
  <si>
    <t>Textoptimierung Blogartikel "Ambulante Pflege in Seniorenwohnung": Abstimmung, Recherche und Textoptimierung für bestehende Unterseite, Überarbeitung des Bestandstexts und Texterweiterung, Keyword-Optimierung, Ergänzungen und kl. Anpassungen, Lektorat und finale Bearbeitung, Versand an Kunden und Dokumentation (23.04., GBO)</t>
  </si>
  <si>
    <t>Textoptimierung Blogartikel "Bettlägerigkeit": Abstimmung, Recherche und Textoptimierung für bestehende Unterseite, Überarbeitung des Bestandstexts und Texterweiterung, Keyword-Optimierung, Ergänzungen und kl. Anpassungen, Lektorat und finale Bearbeitung, Versand an Kunden und Dokumentation (23., 25.04., GBO)</t>
  </si>
  <si>
    <t>Einpflegen der geänderten Blogbeiträge "Ambulante Pflege in Seniorenwohnung" und "Bettlägerigkeit": Interne Abstimmung und Einpflegen des neuen Textes inkl. Optimierung der Darstellungim Block-Editor, finale Prüfung, senden an Kunde, Dokumentation (XX.XX., MGO, RBO)</t>
  </si>
  <si>
    <t>Anpassen der geänderten Blogbeiträge, Anpassen der URLs inkl. Weiterleitung; Textauszüge bei versch. Blogartikeln ergänzt. (05.05., RBO)</t>
  </si>
  <si>
    <t>Textoptimierung Unterseite "Examinierte Pflegefachkraft": Abstimmung, Recherche und Textoptimierung für bestehende Unterseite, Überarbeitung des Bestandstexts und Texterweiterung, Keyword-Optimierung nach WDF*IDF, Ergänzungen und kl. Anpassungen, Lektorat und finale Bearbeitung, Versand an Kunden und Dokumentation (10., 18.06., GBO)</t>
  </si>
  <si>
    <t>Textoptimierung Unterseite "Examinierte Altenpfleger": Abstimmung, Recherche und Textoptimierung für bestehende Unterseite, Überarbeitung des Bestandstexts und Texterweiterung, Keyword-Optimierung nach WDF*IDF, Ergänzungen und kl. Anpassungen, Lektorat und finale Bearbeitung, Versand an Kunden und Dokumentation (18., 19.06., GBO)</t>
  </si>
  <si>
    <t>Textarbeiten Unterseite Pflegefachmann/Pflegefachfrau: Abstimmung, Briefing und inhaltliche Konzeption, Recherche und Zusammentragen der Informationen, Texterstellung, Keyword-Optimierung nach WDF*IDF, Ergänzungen und kl. Anpassungen, Lektorat und finale Bearbeitung, Versand an Kunden und Dokumentation (18., 19.06., GBO)</t>
  </si>
  <si>
    <t>3. Technische Arbeiten, Programmierung</t>
  </si>
  <si>
    <t>Manuelle Prüfung der Barrierefreiheit nach WCAG 2.2 (A+AA) anhand von 111 Kriterien. Alle Unterseiten und Funktionen werden systematisch geprüft, um mögliche Barrieren zu identifizieren und konkrete Handlungs-empfehlungen zur Optimierung bereitzustellen (02.-07., 13.05., BKO, TKI)</t>
  </si>
  <si>
    <t>\"Email über Formulare kommen nicht an\" und Bestätigung mit weißer Schrift auf weißem Hintergrund: Schriftfarbe geändert und Formulare durchgetestet. Test an eigene E-Mail-Adresse funktioniert, Kommunikation, Dokumentation (28.04.-09.05., RBO)</t>
  </si>
  <si>
    <t>Theme Funktion und Smarttags für sich regelmäßig ändernde Inhalte integriert (05.05., RBO)</t>
  </si>
  <si>
    <t xml:space="preserve">404-Fehler (fortlaufend): Durchsicht neuer 404-Fehler im Redirection-Plugin,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(27.-29.06., TKI) </t>
  </si>
  <si>
    <t>Erstellen eines Farbkonzepts, weil die im Corporate Design gewählten Hellblau- und Orangetöne nicht den Anforderungen zur Barrierefreiheit an den erforderlichen Kontrast genügen, grafische Entwürfe auf Basis des angepassten Corporate Designs am Beispiel der Startseite, Abstimmung und Dokumentation (22.05., BKO, TKI)</t>
  </si>
  <si>
    <t>Automatisierte Erstellung von Alt-Beschreibungen für Bilder mit KI, kombiniert mit einer manuellen Prüfung zur Qualitätssicherung. Die KI-Nutzung und deren Kosten sind in der Umsetzung bereits berücksichtigt, sodass eine transparente und effiziente Lösung gewährleistet ist. Inkl. Sortierung der Medien in der der WordPress-Mediathek (14.05., TKI)</t>
  </si>
  <si>
    <t>Integration von Barrierefreiheits-Tools zur Verbesserung der Bedienbarkeit und Nutzerfreundlichkeit. Ergänzende Funktionen wie anpassbare Kontraste, Schriftgrößen oder Tastaturnavigation ermöglichen eine optimierte Nutzung für verschiedene Bedürfnisse. Nahtlose Einbindung in die bestehende Website-Struktur für eine verbesserte Zugänglichkeit. Inkl. Formular für Verbesserungsvorschlägen von Nutzern (04.06., BKO)</t>
  </si>
  <si>
    <t>Strukturierung und inhaltliche Anpassungen zur Verbesserung der Barrierefreiheit gemäß bewährter Standards. Optimierung der inhaltlichen Elemente für eine bessere Nutzerführung und Verständlichkeit – sowohl für Screenreader als auch für Personen mit kognitiven Einschränkungen (11.06., BKO)</t>
  </si>
  <si>
    <t>Erstellung, Dokumentation und Integration einer Barrierefreiheitserklärung gemäß den gesetzlichen Anforderungen. Berücksichtigung der Prüfungsergebnisse sowie klare Darstellung der bestehenden Barrieren und Maßnahmen zur Verbesserung der Barrierefreiheit. Bereitstellung in einem zugänglichen Format und Integration auf der Website über eine Unterseite (18.-25.06., BKO)</t>
  </si>
  <si>
    <t>Projektmanagement und Abstimmungen im Rahmen der Umsetzung von Maßnahmen im Rahmen der Barrierefreiheit (13.05.-27.06., BKO, TKI)</t>
  </si>
  <si>
    <t>5. Google Ads, Social Ads, Monitoring</t>
  </si>
  <si>
    <t>Google Ads-Monitoring (2. Quartal): Monatliches Monitoring der Kampagnen, kl. Anpassungen, fortlaufendes Ausschließen und Ergänzen von Keywords, Auswertung am Monats- bzw. Quartalsende (01.04.-30.06., JST, TKI)</t>
  </si>
  <si>
    <t>Social Ads-Monitoring (4. Quartal): Monatliches Monitoring der Werbe-kampagnen bei Facebook und Instagram, Anpassen der Werbeanzeigen, Verfeinern der Zielgruppe, kl. Arbeiten am Werbekonto, Abstimmung und Dokumentation (01.04.-30.06., JST, TKI)</t>
  </si>
  <si>
    <t>6. Abstimmung, Beratung, Projektmanagement &amp; Sonstiges</t>
  </si>
  <si>
    <t>Recherche und Durchsicht der Expertise sowie der Auswertungen aus den Vorjahren, Analyse der aktuellen Kennzahlen, der Website-Entwicklung und der bisherigen Ergebnisse mit diversen Online-Tools, Ausblick, Planung und Erstellung der nächsten Schritte, Dokumentation und Aufbereitung der Ergebnisse in einer Präsentation zur Jahresauswertung, Vorbereitung des Workshops (03.-06.04., TKI) // Finale Arbeiten (anteilig)</t>
  </si>
  <si>
    <t>Finale Vorbereitung und Durchführung eines Workshops per Zoom (10-11.30 Uhr), Präsentation der Jahresauswertung mit Ergebnissen, Kennzahlen und geplanten Maßnahmen, Abstimmung und Klären von Fragen, konkrete Maßnahmen- und Zeitplanung für die nächsten Schritte, anschließend kurze Dokumentation, Planung und interne Abstimmung weiterer Maßnahmen (09.04., TKI)</t>
  </si>
  <si>
    <t>Abstimmung der nächsten Schritte mit Tanja Jovin (via Asana), Auflisten der Unteraufgaben, Angebot zur Terminvereinbarung (noch offen), Dokumentation (09.-28.05., TKI)</t>
  </si>
  <si>
    <t>Organisation, Planung, Überwachung und Steuerung der Aufgaben und Ressourcen (monatlich, TKI)</t>
  </si>
  <si>
    <t>Aufwand ca. insgesamt in Std.</t>
  </si>
  <si>
    <t>Aufwand in Tagessätzen</t>
  </si>
  <si>
    <t>6,5 TS + 3 TS</t>
  </si>
  <si>
    <t>Noch Rückfragen? Kontakt zur Thoxan Communications GmbH unter https://www.thoxan.com/kontakt/</t>
  </si>
  <si>
    <t>Anpassung geänderter Daten wie Benefits, MA-Anzahl usw.: Interne Abstimmung und Einpflegen geänderter Inhalte inkl. Optimierung der Darstellungim Block-Editor, finale Prüfung, Dokumentation (14.04.-07.05., GBO, RBO) // Fleißarbeit offen zur Umsetzung, Freigabe wartet</t>
  </si>
  <si>
    <r>
      <t xml:space="preserve">4. Weitere Maßnahmen zur Barrierefreiheit </t>
    </r>
    <r>
      <rPr>
        <b/>
        <sz val="10"/>
        <color rgb="FFFF0000"/>
        <rFont val="Arial"/>
        <family val="2"/>
      </rPr>
      <t>/ separate Abrechnung im Juli 2025 (3 Tagessätze)</t>
    </r>
  </si>
  <si>
    <t>Technische Umsetzung der Barrierefreiheit gemäß WCAG 2.2 (A+AA). Entwicklung und Optimierung barrierefreier Elemente wie Navigation, Menüs, Akkordeons und multimediale Inhalte (z. B. Videos mit Untertiteln und Transkripten). Sicherstellung einer zugänglichen Nutzererfahrung (23.05.-11.06., 27.06., BKO)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</si>
</sst>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u/>
      <sz val="10"/>
      <color rgb="FF0000FF"/>
      <name val="Arial"/>
      <family val="2"/>
    </font>
    <font>
      <sz val="10"/>
      <color theme="1"/>
      <name val="Arial"/>
      <family val="2"/>
    </font>
    <font>
      <u/>
      <sz val="10"/>
      <color theme="10"/>
      <name val="Arial"/>
      <family val="2"/>
    </font>
    <font>
      <b/>
      <sz val="10"/>
      <color theme="1"/>
      <name val="Arial"/>
      <family val="2"/>
    </font>
    <font>
      <u/>
      <sz val="12"/>
      <color theme="10"/>
      <name val="Calibri"/>
      <family val="2"/>
    </font>
    <font>
      <b/>
      <sz val="10"/>
      <color rgb="FFFF0000"/>
      <name val="Arial"/>
      <family val="2"/>
    </font>
    <font>
      <sz val="10"/>
      <color rgb="FF808080"/>
      <name val="Arial"/>
      <family val="2"/>
    </font>
  </fonts>
  <fills count="5">
    <fill>
      <patternFill patternType="none"/>
    </fill>
    <fill>
      <patternFill patternType="gray125"/>
    </fill>
    <fill>
      <patternFill patternType="solid">
        <fgColor rgb="FFD8D8D8"/>
        <bgColor rgb="FFD8D8D8"/>
      </patternFill>
    </fill>
    <fill>
      <patternFill patternType="solid">
        <fgColor theme="0" tint="-0.14999847407452621"/>
        <bgColor rgb="FF4EE257"/>
      </patternFill>
    </fill>
    <fill>
      <patternFill patternType="solid">
        <fgColor theme="0" tint="-0.14999847407452621"/>
        <bgColor indexed="64"/>
      </patternFill>
    </fill>
  </fills>
  <borders count="1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7" fillId="0" borderId="0" applyNumberFormat="0" applyFill="0" applyBorder="0" applyAlignment="0" applyProtection="0"/>
  </cellStyleXfs>
  <cellXfs count="47">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3" fillId="0" borderId="0" xfId="0" applyFont="1"/>
    <xf numFmtId="49" fontId="4" fillId="0" borderId="0" xfId="0" applyNumberFormat="1" applyFont="1" applyAlignment="1">
      <alignment horizontal="right"/>
    </xf>
    <xf numFmtId="0" fontId="5" fillId="0" borderId="1" xfId="0" applyFont="1" applyBorder="1"/>
    <xf numFmtId="0" fontId="4" fillId="0" borderId="1" xfId="0" applyFont="1" applyBorder="1"/>
    <xf numFmtId="0" fontId="6" fillId="0" borderId="2" xfId="0" applyFont="1" applyBorder="1"/>
    <xf numFmtId="0" fontId="6" fillId="2" borderId="2" xfId="0" applyFont="1" applyFill="1" applyBorder="1" applyAlignment="1">
      <alignment horizontal="center" vertical="center"/>
    </xf>
    <xf numFmtId="0" fontId="4" fillId="0" borderId="0" xfId="0" applyFont="1"/>
    <xf numFmtId="0" fontId="6" fillId="0" borderId="2"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vertical="top" wrapText="1"/>
    </xf>
    <xf numFmtId="0" fontId="4" fillId="0" borderId="2" xfId="0" applyFont="1" applyBorder="1" applyAlignment="1">
      <alignment horizontal="center" vertical="center"/>
    </xf>
    <xf numFmtId="0" fontId="4" fillId="0" borderId="4" xfId="0" applyFont="1" applyBorder="1" applyAlignment="1">
      <alignment vertical="top" wrapText="1"/>
    </xf>
    <xf numFmtId="0" fontId="4" fillId="0" borderId="4" xfId="0" applyFont="1" applyBorder="1" applyAlignment="1">
      <alignment horizontal="center" vertical="center"/>
    </xf>
    <xf numFmtId="0" fontId="5" fillId="0" borderId="3" xfId="1" applyFont="1" applyFill="1" applyBorder="1" applyAlignment="1">
      <alignment vertical="top" wrapText="1"/>
    </xf>
    <xf numFmtId="0" fontId="4" fillId="0" borderId="5" xfId="0" applyFont="1" applyBorder="1" applyAlignment="1">
      <alignment horizontal="center" vertical="center"/>
    </xf>
    <xf numFmtId="0" fontId="4" fillId="0" borderId="3" xfId="0" applyFont="1" applyBorder="1" applyAlignment="1">
      <alignment vertical="top" wrapText="1"/>
    </xf>
    <xf numFmtId="0" fontId="4" fillId="2" borderId="5" xfId="0" applyFont="1" applyFill="1" applyBorder="1" applyAlignment="1">
      <alignment vertical="center"/>
    </xf>
    <xf numFmtId="0" fontId="4" fillId="2" borderId="5" xfId="0" applyFont="1" applyFill="1" applyBorder="1" applyAlignment="1">
      <alignment horizontal="center" vertical="center"/>
    </xf>
    <xf numFmtId="0" fontId="4" fillId="0" borderId="4" xfId="0" applyFont="1" applyBorder="1"/>
    <xf numFmtId="0" fontId="6" fillId="0" borderId="3" xfId="0" applyFont="1" applyBorder="1"/>
    <xf numFmtId="0" fontId="4" fillId="0" borderId="8" xfId="0" applyFont="1" applyBorder="1" applyAlignment="1">
      <alignment horizontal="center" vertical="center"/>
    </xf>
    <xf numFmtId="0" fontId="4" fillId="0" borderId="2" xfId="0" applyFont="1" applyBorder="1" applyAlignment="1" applyProtection="1">
      <alignment vertical="top" wrapText="1"/>
      <protection locked="0"/>
    </xf>
    <xf numFmtId="0" fontId="4" fillId="0" borderId="3" xfId="0" applyFont="1" applyBorder="1" applyAlignment="1" applyProtection="1">
      <alignment vertical="top" wrapText="1"/>
      <protection locked="0"/>
    </xf>
    <xf numFmtId="0" fontId="4" fillId="0" borderId="9" xfId="0" applyFont="1" applyBorder="1" applyAlignment="1" applyProtection="1">
      <alignment vertical="top" wrapText="1"/>
      <protection locked="0"/>
    </xf>
    <xf numFmtId="0" fontId="4" fillId="0" borderId="9" xfId="0" applyFont="1" applyBorder="1" applyAlignment="1">
      <alignment vertical="top" wrapText="1"/>
    </xf>
    <xf numFmtId="0" fontId="4" fillId="2" borderId="6" xfId="0" applyFont="1" applyFill="1" applyBorder="1" applyAlignment="1">
      <alignment vertical="center"/>
    </xf>
    <xf numFmtId="0" fontId="4" fillId="2" borderId="3" xfId="0" applyFont="1" applyFill="1" applyBorder="1" applyAlignment="1">
      <alignment horizontal="center" vertical="center"/>
    </xf>
    <xf numFmtId="0" fontId="4" fillId="0" borderId="10" xfId="0" applyFont="1" applyBorder="1" applyAlignment="1">
      <alignment vertical="center"/>
    </xf>
    <xf numFmtId="0" fontId="6" fillId="0" borderId="7" xfId="0" applyFont="1" applyBorder="1"/>
    <xf numFmtId="0" fontId="4" fillId="0" borderId="3" xfId="0" quotePrefix="1" applyFont="1" applyBorder="1" applyAlignment="1">
      <alignment vertical="top" wrapText="1"/>
    </xf>
    <xf numFmtId="0" fontId="4" fillId="0" borderId="11" xfId="0" quotePrefix="1" applyFont="1" applyBorder="1" applyAlignment="1">
      <alignment vertical="top" wrapText="1"/>
    </xf>
    <xf numFmtId="0" fontId="4" fillId="2" borderId="2" xfId="0" applyFont="1" applyFill="1" applyBorder="1" applyAlignment="1">
      <alignment vertical="center"/>
    </xf>
    <xf numFmtId="0" fontId="4" fillId="3" borderId="3" xfId="0" applyFont="1" applyFill="1" applyBorder="1" applyAlignment="1">
      <alignment horizontal="center" vertical="center"/>
    </xf>
    <xf numFmtId="0" fontId="4" fillId="0" borderId="4" xfId="0" applyFont="1" applyBorder="1" applyAlignment="1">
      <alignment vertical="center"/>
    </xf>
    <xf numFmtId="0" fontId="6" fillId="0" borderId="4" xfId="0" applyFont="1" applyBorder="1"/>
    <xf numFmtId="0" fontId="4" fillId="4" borderId="2" xfId="0" applyFont="1" applyFill="1" applyBorder="1" applyAlignment="1">
      <alignment vertical="center"/>
    </xf>
    <xf numFmtId="0" fontId="4" fillId="4" borderId="3" xfId="0" applyFont="1" applyFill="1" applyBorder="1" applyAlignment="1">
      <alignment horizontal="center" vertical="center"/>
    </xf>
    <xf numFmtId="0" fontId="4" fillId="0" borderId="2" xfId="0" applyFont="1" applyBorder="1" applyAlignment="1">
      <alignment vertical="center"/>
    </xf>
    <xf numFmtId="0" fontId="4" fillId="2" borderId="3" xfId="0" applyFont="1" applyFill="1" applyBorder="1" applyAlignment="1">
      <alignment vertical="center"/>
    </xf>
    <xf numFmtId="0" fontId="4" fillId="0" borderId="11" xfId="0" applyFont="1" applyBorder="1" applyAlignment="1">
      <alignment vertical="center"/>
    </xf>
    <xf numFmtId="0" fontId="4" fillId="2" borderId="12" xfId="0" applyFont="1" applyFill="1" applyBorder="1" applyAlignment="1">
      <alignment vertical="center"/>
    </xf>
    <xf numFmtId="0" fontId="6" fillId="2" borderId="12" xfId="0" applyFont="1" applyFill="1" applyBorder="1" applyAlignment="1">
      <alignment horizontal="center" vertical="center"/>
    </xf>
    <xf numFmtId="0" fontId="9"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m-kurier.de/wirtschaft/pflegebranche-im-demografischen-wandel/" TargetMode="External"/><Relationship Id="rId2" Type="http://schemas.openxmlformats.org/officeDocument/2006/relationships/hyperlink" Target="https://www.thoxan.com/kontakt/" TargetMode="External"/><Relationship Id="rId1" Type="http://schemas.openxmlformats.org/officeDocument/2006/relationships/hyperlink" Target="http://www.pflegedienst-hessen-sued.de/" TargetMode="External"/><Relationship Id="rId4" Type="http://schemas.openxmlformats.org/officeDocument/2006/relationships/hyperlink" Target="https://www.business-on.de/expertentalk-doerthe-schuchardt-ueber-die-zukunft-der-pfleg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D3A12-475F-E848-9959-13743F6C587A}">
  <dimension ref="A1:B1004"/>
  <sheetViews>
    <sheetView tabSelected="1" zoomScale="140" zoomScaleNormal="140" workbookViewId="0">
      <pane ySplit="4" topLeftCell="A5" activePane="bottomLeft" state="frozen"/>
      <selection pane="bottomLeft" activeCell="B54" sqref="B54"/>
    </sheetView>
  </sheetViews>
  <sheetFormatPr baseColWidth="10" defaultColWidth="11.1640625" defaultRowHeight="15" customHeight="1" x14ac:dyDescent="0.2"/>
  <cols>
    <col min="1" max="1" width="57.5" style="3" customWidth="1"/>
    <col min="2" max="2" width="23" style="3" customWidth="1"/>
    <col min="3" max="16384" width="11.1640625" style="3"/>
  </cols>
  <sheetData>
    <row r="1" spans="1:2" ht="21" customHeight="1" x14ac:dyDescent="0.2">
      <c r="A1" s="1" t="s">
        <v>0</v>
      </c>
      <c r="B1" s="2" t="s">
        <v>1</v>
      </c>
    </row>
    <row r="2" spans="1:2" ht="15.75" customHeight="1" x14ac:dyDescent="0.2">
      <c r="A2" s="4" t="s">
        <v>2</v>
      </c>
      <c r="B2" s="5" t="s">
        <v>3</v>
      </c>
    </row>
    <row r="3" spans="1:2" ht="15.75" customHeight="1" x14ac:dyDescent="0.2">
      <c r="A3" s="6"/>
      <c r="B3" s="7"/>
    </row>
    <row r="4" spans="1:2" s="10" customFormat="1" ht="15.75" customHeight="1" x14ac:dyDescent="0.15">
      <c r="A4" s="8"/>
      <c r="B4" s="9" t="s">
        <v>4</v>
      </c>
    </row>
    <row r="5" spans="1:2" s="10" customFormat="1" ht="15.75" customHeight="1" x14ac:dyDescent="0.15">
      <c r="A5" s="8" t="s">
        <v>5</v>
      </c>
      <c r="B5" s="11"/>
    </row>
    <row r="6" spans="1:2" s="10" customFormat="1" ht="42" x14ac:dyDescent="0.15">
      <c r="A6" s="13" t="s">
        <v>6</v>
      </c>
      <c r="B6" s="14">
        <v>3</v>
      </c>
    </row>
    <row r="7" spans="1:2" s="10" customFormat="1" ht="42" x14ac:dyDescent="0.15">
      <c r="A7" s="13" t="s">
        <v>7</v>
      </c>
      <c r="B7" s="14">
        <v>2</v>
      </c>
    </row>
    <row r="8" spans="1:2" s="10" customFormat="1" ht="42" x14ac:dyDescent="0.15">
      <c r="A8" s="13" t="s">
        <v>8</v>
      </c>
      <c r="B8" s="14">
        <v>3</v>
      </c>
    </row>
    <row r="9" spans="1:2" s="10" customFormat="1" ht="56" x14ac:dyDescent="0.15">
      <c r="A9" s="15" t="s">
        <v>9</v>
      </c>
      <c r="B9" s="16">
        <v>2</v>
      </c>
    </row>
    <row r="10" spans="1:2" s="10" customFormat="1" ht="14" x14ac:dyDescent="0.15">
      <c r="A10" s="17" t="s">
        <v>10</v>
      </c>
      <c r="B10" s="12"/>
    </row>
    <row r="11" spans="1:2" s="10" customFormat="1" ht="28" x14ac:dyDescent="0.15">
      <c r="A11" s="17" t="s">
        <v>11</v>
      </c>
      <c r="B11" s="12"/>
    </row>
    <row r="12" spans="1:2" s="10" customFormat="1" ht="14" x14ac:dyDescent="0.15">
      <c r="A12" s="17" t="s">
        <v>12</v>
      </c>
      <c r="B12" s="12" t="s">
        <v>13</v>
      </c>
    </row>
    <row r="13" spans="1:2" s="10" customFormat="1" ht="27.75" customHeight="1" x14ac:dyDescent="0.15">
      <c r="A13" s="19" t="s">
        <v>14</v>
      </c>
      <c r="B13" s="12">
        <v>0.75</v>
      </c>
    </row>
    <row r="14" spans="1:2" s="10" customFormat="1" ht="15.75" customHeight="1" x14ac:dyDescent="0.15">
      <c r="A14" s="20" t="s">
        <v>4</v>
      </c>
      <c r="B14" s="21">
        <f>SUM(B6:B13)</f>
        <v>10.75</v>
      </c>
    </row>
    <row r="15" spans="1:2" s="10" customFormat="1" ht="15.75" customHeight="1" x14ac:dyDescent="0.15">
      <c r="A15" s="22"/>
      <c r="B15" s="16"/>
    </row>
    <row r="16" spans="1:2" s="10" customFormat="1" ht="15.75" customHeight="1" x14ac:dyDescent="0.15">
      <c r="A16" s="23" t="s">
        <v>15</v>
      </c>
      <c r="B16" s="12"/>
    </row>
    <row r="17" spans="1:2" s="10" customFormat="1" ht="70" customHeight="1" x14ac:dyDescent="0.15">
      <c r="A17" s="25" t="s">
        <v>16</v>
      </c>
      <c r="B17" s="12">
        <v>1.75</v>
      </c>
    </row>
    <row r="18" spans="1:2" s="10" customFormat="1" ht="28" x14ac:dyDescent="0.15">
      <c r="A18" s="26" t="s">
        <v>17</v>
      </c>
      <c r="B18" s="12">
        <v>1</v>
      </c>
    </row>
    <row r="19" spans="1:2" s="10" customFormat="1" ht="56" x14ac:dyDescent="0.15">
      <c r="A19" s="19" t="s">
        <v>18</v>
      </c>
      <c r="B19" s="12">
        <v>1.25</v>
      </c>
    </row>
    <row r="20" spans="1:2" s="10" customFormat="1" ht="65" customHeight="1" x14ac:dyDescent="0.15">
      <c r="A20" s="26" t="s">
        <v>19</v>
      </c>
      <c r="B20" s="12">
        <v>1.75</v>
      </c>
    </row>
    <row r="21" spans="1:2" s="10" customFormat="1" ht="65" customHeight="1" x14ac:dyDescent="0.15">
      <c r="A21" s="27" t="s">
        <v>20</v>
      </c>
      <c r="B21" s="12">
        <v>2</v>
      </c>
    </row>
    <row r="22" spans="1:2" s="10" customFormat="1" ht="70" x14ac:dyDescent="0.15">
      <c r="A22" s="28" t="s">
        <v>21</v>
      </c>
      <c r="B22" s="12">
        <v>1.75</v>
      </c>
    </row>
    <row r="23" spans="1:2" s="10" customFormat="1" ht="42" x14ac:dyDescent="0.15">
      <c r="A23" s="28" t="s">
        <v>22</v>
      </c>
      <c r="B23" s="12">
        <v>0.5</v>
      </c>
    </row>
    <row r="24" spans="1:2" s="10" customFormat="1" ht="56" x14ac:dyDescent="0.15">
      <c r="A24" s="28" t="s">
        <v>49</v>
      </c>
      <c r="B24" s="12">
        <v>0.75</v>
      </c>
    </row>
    <row r="25" spans="1:2" s="10" customFormat="1" ht="84" x14ac:dyDescent="0.15">
      <c r="A25" s="27" t="s">
        <v>23</v>
      </c>
      <c r="B25" s="12">
        <v>3</v>
      </c>
    </row>
    <row r="26" spans="1:2" s="10" customFormat="1" ht="66" customHeight="1" x14ac:dyDescent="0.15">
      <c r="A26" s="27" t="s">
        <v>24</v>
      </c>
      <c r="B26" s="12">
        <v>2.5</v>
      </c>
    </row>
    <row r="27" spans="1:2" s="10" customFormat="1" ht="68" customHeight="1" x14ac:dyDescent="0.15">
      <c r="A27" s="27" t="s">
        <v>25</v>
      </c>
      <c r="B27" s="12">
        <v>3.25</v>
      </c>
    </row>
    <row r="28" spans="1:2" s="10" customFormat="1" ht="15.75" customHeight="1" x14ac:dyDescent="0.15">
      <c r="A28" s="29" t="s">
        <v>4</v>
      </c>
      <c r="B28" s="30">
        <f>SUM(B17:B27)</f>
        <v>19.5</v>
      </c>
    </row>
    <row r="29" spans="1:2" s="10" customFormat="1" ht="15.75" customHeight="1" x14ac:dyDescent="0.15">
      <c r="A29" s="31"/>
      <c r="B29" s="12"/>
    </row>
    <row r="30" spans="1:2" s="10" customFormat="1" ht="15.75" customHeight="1" x14ac:dyDescent="0.15">
      <c r="A30" s="32" t="s">
        <v>26</v>
      </c>
      <c r="B30" s="24"/>
    </row>
    <row r="31" spans="1:2" s="10" customFormat="1" ht="70" x14ac:dyDescent="0.15">
      <c r="A31" s="33" t="s">
        <v>27</v>
      </c>
      <c r="B31" s="12">
        <v>4</v>
      </c>
    </row>
    <row r="32" spans="1:2" s="10" customFormat="1" ht="56" x14ac:dyDescent="0.15">
      <c r="A32" s="33" t="s">
        <v>28</v>
      </c>
      <c r="B32" s="12">
        <v>1</v>
      </c>
    </row>
    <row r="33" spans="1:2" s="10" customFormat="1" ht="28" x14ac:dyDescent="0.15">
      <c r="A33" s="33" t="s">
        <v>29</v>
      </c>
      <c r="B33" s="12">
        <v>2</v>
      </c>
    </row>
    <row r="34" spans="1:2" s="10" customFormat="1" ht="98" x14ac:dyDescent="0.15">
      <c r="A34" s="34" t="s">
        <v>30</v>
      </c>
      <c r="B34" s="18">
        <v>2</v>
      </c>
    </row>
    <row r="35" spans="1:2" s="10" customFormat="1" ht="15.75" customHeight="1" x14ac:dyDescent="0.15">
      <c r="A35" s="35" t="s">
        <v>4</v>
      </c>
      <c r="B35" s="36">
        <f>SUM(B30:B34)</f>
        <v>9</v>
      </c>
    </row>
    <row r="36" spans="1:2" s="10" customFormat="1" ht="15.75" customHeight="1" x14ac:dyDescent="0.15">
      <c r="A36" s="37"/>
      <c r="B36" s="14"/>
    </row>
    <row r="37" spans="1:2" s="10" customFormat="1" ht="15.75" customHeight="1" x14ac:dyDescent="0.15">
      <c r="A37" s="38" t="s">
        <v>50</v>
      </c>
      <c r="B37" s="14"/>
    </row>
    <row r="38" spans="1:2" s="10" customFormat="1" ht="70" x14ac:dyDescent="0.15">
      <c r="A38" s="15" t="s">
        <v>31</v>
      </c>
      <c r="B38" s="16">
        <v>3.75</v>
      </c>
    </row>
    <row r="39" spans="1:2" s="10" customFormat="1" ht="70" x14ac:dyDescent="0.15">
      <c r="A39" s="15" t="s">
        <v>51</v>
      </c>
      <c r="B39" s="16">
        <v>4.5</v>
      </c>
    </row>
    <row r="40" spans="1:2" s="10" customFormat="1" ht="84" x14ac:dyDescent="0.15">
      <c r="A40" s="15" t="s">
        <v>32</v>
      </c>
      <c r="B40" s="16">
        <v>3</v>
      </c>
    </row>
    <row r="41" spans="1:2" s="10" customFormat="1" ht="98" x14ac:dyDescent="0.15">
      <c r="A41" s="15" t="s">
        <v>33</v>
      </c>
      <c r="B41" s="16">
        <v>4</v>
      </c>
    </row>
    <row r="42" spans="1:2" s="10" customFormat="1" ht="70" x14ac:dyDescent="0.15">
      <c r="A42" s="15" t="s">
        <v>34</v>
      </c>
      <c r="B42" s="16">
        <v>2.5</v>
      </c>
    </row>
    <row r="43" spans="1:2" s="10" customFormat="1" ht="84" x14ac:dyDescent="0.15">
      <c r="A43" s="15" t="s">
        <v>35</v>
      </c>
      <c r="B43" s="16">
        <v>4.25</v>
      </c>
    </row>
    <row r="44" spans="1:2" s="10" customFormat="1" ht="42" x14ac:dyDescent="0.15">
      <c r="A44" s="15" t="s">
        <v>36</v>
      </c>
      <c r="B44" s="16">
        <v>2.5</v>
      </c>
    </row>
    <row r="45" spans="1:2" s="10" customFormat="1" ht="15.75" customHeight="1" x14ac:dyDescent="0.15">
      <c r="A45" s="39" t="s">
        <v>4</v>
      </c>
      <c r="B45" s="40">
        <f>SUM(B38:B44)</f>
        <v>24.5</v>
      </c>
    </row>
    <row r="46" spans="1:2" s="10" customFormat="1" ht="15.75" customHeight="1" x14ac:dyDescent="0.15">
      <c r="A46" s="41"/>
      <c r="B46" s="14"/>
    </row>
    <row r="47" spans="1:2" s="10" customFormat="1" ht="15.75" customHeight="1" x14ac:dyDescent="0.15">
      <c r="A47" s="38" t="s">
        <v>37</v>
      </c>
      <c r="B47" s="14"/>
    </row>
    <row r="48" spans="1:2" s="10" customFormat="1" ht="56" x14ac:dyDescent="0.15">
      <c r="A48" s="15" t="s">
        <v>38</v>
      </c>
      <c r="B48" s="16">
        <v>3.25</v>
      </c>
    </row>
    <row r="49" spans="1:2" s="10" customFormat="1" ht="60" customHeight="1" x14ac:dyDescent="0.15">
      <c r="A49" s="15" t="s">
        <v>39</v>
      </c>
      <c r="B49" s="14">
        <v>3</v>
      </c>
    </row>
    <row r="50" spans="1:2" s="10" customFormat="1" ht="15.75" customHeight="1" x14ac:dyDescent="0.15">
      <c r="A50" s="39" t="s">
        <v>4</v>
      </c>
      <c r="B50" s="40">
        <f>SUM(B48:B49)</f>
        <v>6.25</v>
      </c>
    </row>
    <row r="51" spans="1:2" s="10" customFormat="1" ht="15.75" customHeight="1" x14ac:dyDescent="0.15">
      <c r="A51" s="41"/>
      <c r="B51" s="14"/>
    </row>
    <row r="52" spans="1:2" s="10" customFormat="1" ht="15.75" customHeight="1" x14ac:dyDescent="0.15">
      <c r="A52" s="23" t="s">
        <v>40</v>
      </c>
      <c r="B52" s="12"/>
    </row>
    <row r="53" spans="1:2" customFormat="1" ht="98" x14ac:dyDescent="0.2">
      <c r="A53" s="19" t="s">
        <v>41</v>
      </c>
      <c r="B53" s="12">
        <v>2.25</v>
      </c>
    </row>
    <row r="54" spans="1:2" customFormat="1" ht="84" x14ac:dyDescent="0.2">
      <c r="A54" s="19" t="s">
        <v>42</v>
      </c>
      <c r="B54" s="12">
        <v>2.5</v>
      </c>
    </row>
    <row r="55" spans="1:2" s="10" customFormat="1" ht="42" x14ac:dyDescent="0.15">
      <c r="A55" s="19" t="s">
        <v>43</v>
      </c>
      <c r="B55" s="12">
        <v>0.25</v>
      </c>
    </row>
    <row r="56" spans="1:2" s="10" customFormat="1" ht="28" x14ac:dyDescent="0.15">
      <c r="A56" s="19" t="s">
        <v>44</v>
      </c>
      <c r="B56" s="12">
        <v>3.25</v>
      </c>
    </row>
    <row r="57" spans="1:2" s="10" customFormat="1" ht="15.75" customHeight="1" x14ac:dyDescent="0.15">
      <c r="A57" s="42" t="s">
        <v>4</v>
      </c>
      <c r="B57" s="36">
        <f>SUM(B53:B56)</f>
        <v>8.25</v>
      </c>
    </row>
    <row r="58" spans="1:2" s="10" customFormat="1" ht="15.75" customHeight="1" x14ac:dyDescent="0.15">
      <c r="A58" s="43"/>
      <c r="B58" s="18"/>
    </row>
    <row r="59" spans="1:2" s="10" customFormat="1" ht="16.5" customHeight="1" thickBot="1" x14ac:dyDescent="0.2">
      <c r="A59" s="44" t="s">
        <v>45</v>
      </c>
      <c r="B59" s="45">
        <f>SUM(B57+B50+B35+B28+B14)</f>
        <v>53.75</v>
      </c>
    </row>
    <row r="60" spans="1:2" s="10" customFormat="1" ht="16.5" customHeight="1" thickBot="1" x14ac:dyDescent="0.2">
      <c r="A60" s="44" t="s">
        <v>46</v>
      </c>
      <c r="B60" s="45" t="s">
        <v>47</v>
      </c>
    </row>
    <row r="61" spans="1:2" ht="15.75" customHeight="1" x14ac:dyDescent="0.2">
      <c r="A61" s="10"/>
      <c r="B61" s="10"/>
    </row>
    <row r="62" spans="1:2" ht="15.75" customHeight="1" x14ac:dyDescent="0.2">
      <c r="A62" s="46" t="s">
        <v>48</v>
      </c>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10"/>
      <c r="B112" s="10"/>
    </row>
    <row r="113" spans="1:2" ht="15.75" customHeight="1" x14ac:dyDescent="0.2">
      <c r="A113" s="10"/>
      <c r="B113" s="10"/>
    </row>
    <row r="114" spans="1:2" ht="15.75" customHeight="1" x14ac:dyDescent="0.2">
      <c r="A114" s="10"/>
      <c r="B114" s="10"/>
    </row>
    <row r="115" spans="1:2" ht="15.75" customHeight="1" x14ac:dyDescent="0.2">
      <c r="A115" s="10"/>
      <c r="B115" s="10"/>
    </row>
    <row r="116" spans="1:2" ht="15.75" customHeight="1" x14ac:dyDescent="0.2">
      <c r="A116" s="10"/>
      <c r="B116" s="10"/>
    </row>
    <row r="117" spans="1:2" ht="15.75" customHeight="1" x14ac:dyDescent="0.2">
      <c r="A117" s="10"/>
      <c r="B117" s="10"/>
    </row>
    <row r="118" spans="1:2" ht="15.75" customHeight="1" x14ac:dyDescent="0.2">
      <c r="A118" s="10"/>
      <c r="B118" s="10"/>
    </row>
    <row r="119" spans="1:2" ht="15.75" customHeight="1" x14ac:dyDescent="0.2">
      <c r="A119" s="10"/>
      <c r="B119" s="10"/>
    </row>
    <row r="120" spans="1:2" ht="15.75" customHeight="1" x14ac:dyDescent="0.2">
      <c r="A120" s="10"/>
      <c r="B120" s="10"/>
    </row>
    <row r="121" spans="1:2" ht="15.75" customHeight="1" x14ac:dyDescent="0.2">
      <c r="A121" s="10"/>
      <c r="B121" s="10"/>
    </row>
    <row r="122" spans="1:2" ht="15.75" customHeight="1" x14ac:dyDescent="0.2">
      <c r="A122" s="10"/>
      <c r="B122" s="10"/>
    </row>
    <row r="123" spans="1:2" ht="15.75" customHeight="1" x14ac:dyDescent="0.2">
      <c r="A123" s="10"/>
      <c r="B123" s="10"/>
    </row>
    <row r="124" spans="1:2" ht="15.75" customHeight="1" x14ac:dyDescent="0.2">
      <c r="A124" s="10"/>
      <c r="B124" s="10"/>
    </row>
    <row r="125" spans="1:2" ht="15.75" customHeight="1" x14ac:dyDescent="0.2">
      <c r="A125" s="10"/>
      <c r="B125" s="10"/>
    </row>
    <row r="126" spans="1:2" ht="15.75" customHeight="1" x14ac:dyDescent="0.2"/>
    <row r="127" spans="1:2" ht="15.75" customHeight="1" x14ac:dyDescent="0.2"/>
    <row r="128" spans="1:2"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hyperlinks>
    <hyperlink ref="A2" r:id="rId1" xr:uid="{B7CDD537-AE8B-1648-973C-ABA56FED8CB1}"/>
    <hyperlink ref="A62" r:id="rId2" display="https://www.thoxan.com/kontakt/" xr:uid="{75F5445C-CFFF-8344-88D4-F7567DE3031B}"/>
    <hyperlink ref="A10" r:id="rId3" xr:uid="{AAD6B220-9A44-E546-BD8A-01882D32D85A}"/>
    <hyperlink ref="A11" r:id="rId4" xr:uid="{623B775C-7266-0549-88F3-3648B2FFEF2D}"/>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2025-06-29T16:05:25Z</dcterms:created>
  <dcterms:modified xsi:type="dcterms:W3CDTF">2025-06-29T16:20:18Z</dcterms:modified>
</cp:coreProperties>
</file>