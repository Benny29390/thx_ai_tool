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6/"/>
    </mc:Choice>
  </mc:AlternateContent>
  <xr:revisionPtr revIDLastSave="0" documentId="8_{8FC5B4E4-7901-1B44-938C-03702C45E4FF}" xr6:coauthVersionLast="47" xr6:coauthVersionMax="47" xr10:uidLastSave="{00000000-0000-0000-0000-000000000000}"/>
  <bookViews>
    <workbookView xWindow="5480" yWindow="780" windowWidth="34360" windowHeight="25220" xr2:uid="{D301C6EB-54F1-CA42-88EA-5264F0A74B52}"/>
  </bookViews>
  <sheets>
    <sheet name="GRÜ"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 l="1"/>
  <c r="B56" i="1"/>
  <c r="B46" i="1"/>
  <c r="B39" i="1"/>
  <c r="B34" i="1"/>
  <c r="B27" i="1"/>
  <c r="B8" i="1"/>
  <c r="B63" i="1" l="1"/>
</calcChain>
</file>

<file path=xl/sharedStrings.xml><?xml version="1.0" encoding="utf-8"?>
<sst xmlns="http://schemas.openxmlformats.org/spreadsheetml/2006/main" count="60" uniqueCount="55">
  <si>
    <t>Michael Grübel GmbH &amp; Co. KG</t>
  </si>
  <si>
    <t>2. Quartal 2025</t>
  </si>
  <si>
    <t>https://www.gruebel-kg.de/</t>
  </si>
  <si>
    <t>Monatliche Optimierung</t>
  </si>
  <si>
    <t>https://www.gruebel-sv.de/</t>
  </si>
  <si>
    <t>Aufwand ca. in Std.</t>
  </si>
  <si>
    <t>1. Linkaufbau, Linkabbau, Online-PR</t>
  </si>
  <si>
    <t>---</t>
  </si>
  <si>
    <t>2. Redaktionelle Arbeiten &amp; Website-Pflege</t>
  </si>
  <si>
    <t>Zentrale Lösung für Daten wie "X Jahre Erfahrung" entwickelt und implementiert für künftige Resourcenschonung beim Anpassen von variablen Daten, Jahreszahlen durch Smarttags ausgetauscht; Map-Pins an zentrale Stelle ausgelagert; Kontaktseite erweitert, Abstimmung und Dokumentation (10.04.-06.05., RBO, TKI)</t>
  </si>
  <si>
    <t>Datenbank Optimierung nach KG-Relaunch für schnelleres Arbeiten im Backend, Entfernen von überflüssigen Codes aus dem alten System, interne Abstimmung (03.04., BKO, RBO)</t>
  </si>
  <si>
    <t>Mediathek aufräumen bei gruebel-sv.de im Rahmen des Online-Gangs, Abstimmung und Dokumentation (29.04., TKI)</t>
  </si>
  <si>
    <r>
      <t>Einrichtung eines Geschäftsführer-Sliders auf der Startseite für dynamische Darstellung verschiedener Bilder und Texte (16.04., BKO)</t>
    </r>
    <r>
      <rPr>
        <sz val="10"/>
        <color rgb="FFFF0000"/>
        <rFont val="Arial"/>
        <family val="2"/>
      </rPr>
      <t xml:space="preserve"> // o. Berechnung</t>
    </r>
  </si>
  <si>
    <t>Zufälliger Bildwechsel im Introbereich, Funktionserweiterung, Bildbearbeitung und finale Einrichtung, Abstimmung und Dokumentation (16.04., BKO)</t>
  </si>
  <si>
    <t>Logo-Weihnachtsmütze (SVG) &amp; Schneescript vorbereitet, so dass Austausch zum Jahreswechsel weiterhin möglich ist (22.04., RBO)</t>
  </si>
  <si>
    <t>Inhaltliche Abgrenzung der KG- und SV-Seite, Anpassung der Designelemente lt. Kundenwunsch und Absprache (24.04., RBO)</t>
  </si>
  <si>
    <t>Bildretusche &amp; Inhalte aktualisieren: Bücher in Portrait-Bilder unscharf maskiert, Aufkleber und Markennamen auf Geräten unkenntlichen gemacht/entfernt. Bildmaterial auf den Unterseiten ausgetauscht. (01.05., RBO)</t>
  </si>
  <si>
    <t>Falsches Datum bei Fortbildungen und Auszeichnungen - beide Seiten, SV und KG, Abstimmung und Dokumentation (07.05., BKO)</t>
  </si>
  <si>
    <t>Inhalte zu den Geschäftsführern eingepflegt: Startseiten-Slider, Unterseiten zu den GF, Überarbeitung der Seite "Unternehmen" inkl. Anpassung der Menüstruktur (07.05., RBO)</t>
  </si>
  <si>
    <t>Datenbank Optimierung nach SV-Relaunch für schnelleres Arbeiten im Backend, Entfernen von überflüssigen Codes aus dem alten System, interne Abstimmung (08.05., BKO, RBO)</t>
  </si>
  <si>
    <t>Aufbau der Unterseite "Gerätevermietung" mit ggf. zusätzlichem Custom Post Type (?), Abstimmung und Dokumentation (08.-13.05., RBO)</t>
  </si>
  <si>
    <t>Weitere Überarbeitung der Seite "Unternehmen", Abstimmung und Dokumentation (08.-09.05., RBO)</t>
  </si>
  <si>
    <t>Zertifikate der Geschäftsführer: Bearbeiten der Bilddateien, Generierung von Alt-Texten, Einpflegen der Inhalte und Anlegen der Grids (16.-19.06., RBO)</t>
  </si>
  <si>
    <t>Einführung / Anleitung für das WordPress-System zur redaktionellen Pflege, Aufnahme eines Loom-Videos, Abstimmung (19.-20.06., RBO)</t>
  </si>
  <si>
    <t>Einpflegen des Standortes "Bad Lippspringe": Inhaltserstellung mit Hilfe der KI, Anpassung der entsprechenden Stellen auf anderen Unterseiten, Interne Abstimmung, Einpflegen, Dokumentation (25.06., RBO)</t>
  </si>
  <si>
    <t>3. Technische Arbeiten, Onpage-Optimierung, ggf. Programmierung</t>
  </si>
  <si>
    <t xml:space="preserve">404-Fehler (fortlaufend):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(02.-04.04., TKI) </t>
  </si>
  <si>
    <t xml:space="preserve">404-Fehler (fortlaufend):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(28.04., TKI) </t>
  </si>
  <si>
    <t xml:space="preserve">404-Fehler (gruebel-sv.de bei Online-Gang):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(29.04., TKI) </t>
  </si>
  <si>
    <t>Thumbnails im Blog werden manchmal nicht geladen, Abstimmung (12.06., BKO)</t>
  </si>
  <si>
    <t>4. Google Ads</t>
  </si>
  <si>
    <t>Conversion-Tracking Überprüfung, Anpassung, Erweiterung nach Online-Gang, Scripte anpassen, Abstimmung und Dokumentation (03.04., JST)</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</si>
  <si>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(01.04.-30.06., JST, TKI)</t>
  </si>
  <si>
    <r>
      <t>5. Relaunch Grübel-SV</t>
    </r>
    <r>
      <rPr>
        <b/>
        <sz val="10"/>
        <color rgb="FFFF0000"/>
        <rFont val="Arial"/>
        <family val="2"/>
      </rPr>
      <t xml:space="preserve"> (separate Abrechnung)</t>
    </r>
  </si>
  <si>
    <t>Adaption des neuen Website-Templates für gruebel-sv.de: Auf Basis der finalen Website-Entwicklung bei der Michael Grübel KG (gruebel-kg.de) lassen sich die technischen Funktionen (Template, Custom Post Types, Kachelsystem, etc.) auf das Projekt gruebel-sv.de übertragen und optisch/inhaltlich entsprechend anpassen (04.-28.04., BKO, RBO)</t>
  </si>
  <si>
    <t>Einbau von vorhandenen Inhalten wie Texten und Bildern, Verteilung in die
dynamischen Bereiche // automatisierter Import der Blogartikel, ggf. notwendige Anpassungen inkl. Online-Gang (22.-30.04., RBO, BKO, TKI)</t>
  </si>
  <si>
    <t>Projektmanagement: Besprechungen (auch interne Absprachen), Präsentationen, Abstimmungen, Dokumentation (04.-30.04., RBO, TKI)</t>
  </si>
  <si>
    <t>Webspace-Bereinigung: Löschen der alten KG/SV Website-Versionen (16.06., RBO)</t>
  </si>
  <si>
    <t>Aufwand ca. in Std. // separate Abrechnung (ca. 22 Std.)</t>
  </si>
  <si>
    <r>
      <t xml:space="preserve">6. Barrierefreiheit </t>
    </r>
    <r>
      <rPr>
        <b/>
        <sz val="10"/>
        <color rgb="FFFF0000"/>
        <rFont val="Arial"/>
        <family val="2"/>
      </rPr>
      <t>(separate Abrechnung)</t>
    </r>
  </si>
  <si>
    <t>Analyse Barrierefreiheit: Manuelle Prüfung der Barrierefreiheit nach WCAG 2.2 (A+AA) anhand von 111 Kriterien. Alle Unterseiten und Funktionen werden systematisch geprüft, um mögliche Barrieren zu identifizieren und konkrete Handlungsempfehlungen zur Optimierung bereitzustellen (24.-29.04., BKO, TKI)</t>
  </si>
  <si>
    <t>Technische Umsetzung der Barrierefreiheit gemäß WCAG 2.2 (A+AA). Entwicklung und Optimierung barrierefreier Elemente wie Navigation, Menüs, Akkordeons und multimediale Inhalte (z. B. Videos mit Untertiteln und Transkripten). Sicherstellung einer zugänglichen Nutzererfahrung (26.04.-12.06., BKO)</t>
  </si>
  <si>
    <t>Barrierefreiheit Alt-Attribute: Automatisierte Erstellung von Alt-Beschreibungen für Bilder mit KI, kombiniert mit einer manuellen Prüfung zur Qualitätssicherung. Die KI-Nutzung und deren Kosten sind in der Umsetzung bereits berücksichtigt, sodass eine transparente und effiziente Lösung gewährleistet ist, Aufräumen der Mediathek, Abstimmung und Dokumentation (28.04.-23.05., TKI)</t>
  </si>
  <si>
    <t>Integration von Barrierefreiheits-Tools zur Verbesserung der Bedienbarkeit und Nutzerfreundlichkeit. Ergänzende Funktionen wie anpassbare Kontraste, Schriftgrößen oder Tastaturnavigation ermöglichen eine optimierte Nutzung für verschiedene Bedürfnisse. Nahtlose Einbindung in die bestehende Website-Struktur für eine verbesserte Zugänglichkeit. Inkl. Formular für Verbesserungsvorschlägen von Nutzern (04.06., BKO)</t>
  </si>
  <si>
    <t>Strukturierung und inhaltliche Anpassungen zur Verbesserung der Barrierefreiheit gemäß bewährter Standards. Optimierung der inhaltlichen Elemente für eine bessere Nutzerführung und Verständlichkeit – sowohl für Screenreader als auch für Personen mit kognitiven Einschränkungen. Maßnahmen umfassen unter anderem (12.-17.06., BKO)</t>
  </si>
  <si>
    <t>Erstellung, Dokumentation und Integration einer Barrierefreiheitserklärung gemäß den gesetzlichen Anforderungen. Berücksichtigung der Prüfungsergebnisse sowie klare Darstellung der bestehenden Barrieren und Maßnahmen zur Verbesserung der Barrierefreiheit. Bereitstellung in einem zugänglichen Format und Integration auf der Website über eine Unterseite (17.06., BKO)</t>
  </si>
  <si>
    <t>Projektmanagement: Besprechungen (auch interne Absprachen), Präsentationen, Abstimmungen, Dokumentation (24.04.-30.06., BKO, TKI)</t>
  </si>
  <si>
    <t>Aufwand ca. in Std. // separate Abrechnung</t>
  </si>
  <si>
    <t>7. Beratung &amp; Sonstiges</t>
  </si>
  <si>
    <t>Kurze Vorbereitung und virtuelle Abstimmung zur aktuellen Zusammenarbeit mit Alex Zeller und Frau Grübel, Website-Arbeiten, Klärung von div. Fragen 12:30-13 Uhr, anschließend Dokumentation und interne Abstimmung für die nächsten Maßnahmen (11.04., TKI)</t>
  </si>
  <si>
    <t>Organisation, Planung, Überwachung und Steuerung der Aufgaben und Ressourcen (pro Tagessatz ca. 0,5 Std., TKI)</t>
  </si>
  <si>
    <t>Aufwand ca. insgesamt in Std.</t>
  </si>
  <si>
    <t>Aufwand in Tagessätzen</t>
  </si>
  <si>
    <t>4,5 TS</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</si>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</sst>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FF0000"/>
      <name val="Arial"/>
      <family val="2"/>
    </font>
    <font>
      <b/>
      <sz val="10"/>
      <color rgb="FFFF0000"/>
      <name val="Arial"/>
      <family val="2"/>
    </font>
    <font>
      <sz val="10"/>
      <color rgb="FF808080"/>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vertical="top" wrapText="1"/>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xf numFmtId="0" fontId="5" fillId="2" borderId="3" xfId="0" applyFont="1" applyFill="1" applyBorder="1" applyAlignment="1">
      <alignment vertical="center"/>
    </xf>
    <xf numFmtId="0" fontId="5"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0" borderId="1" xfId="0" applyFont="1" applyBorder="1" applyAlignment="1">
      <alignment vertical="center"/>
    </xf>
    <xf numFmtId="0" fontId="5" fillId="0" borderId="2" xfId="0" applyFont="1" applyBorder="1" applyAlignment="1">
      <alignment horizontal="center" vertical="center"/>
    </xf>
    <xf numFmtId="0" fontId="6" fillId="0" borderId="4" xfId="0" applyFont="1" applyBorder="1" applyAlignment="1">
      <alignment wrapText="1"/>
    </xf>
    <xf numFmtId="0" fontId="5" fillId="0" borderId="5" xfId="0" applyFont="1" applyBorder="1" applyAlignment="1">
      <alignment horizontal="center" vertical="center"/>
    </xf>
    <xf numFmtId="0" fontId="6" fillId="0" borderId="3" xfId="0" applyFont="1" applyBorder="1"/>
    <xf numFmtId="0" fontId="5" fillId="0" borderId="3" xfId="0" applyFont="1" applyBorder="1" applyAlignment="1">
      <alignment vertical="top" wrapText="1"/>
    </xf>
    <xf numFmtId="0" fontId="5" fillId="2" borderId="2" xfId="0" applyFont="1" applyFill="1" applyBorder="1" applyAlignment="1">
      <alignment vertical="center"/>
    </xf>
    <xf numFmtId="0" fontId="5" fillId="0" borderId="3" xfId="0" applyFont="1" applyBorder="1" applyAlignment="1">
      <alignment vertical="center"/>
    </xf>
    <xf numFmtId="0" fontId="5" fillId="2" borderId="6" xfId="0" applyFont="1" applyFill="1" applyBorder="1" applyAlignment="1">
      <alignment vertical="center"/>
    </xf>
    <xf numFmtId="0" fontId="6" fillId="2" borderId="6" xfId="0" applyFont="1" applyFill="1" applyBorder="1" applyAlignment="1">
      <alignment horizontal="center" vertical="center"/>
    </xf>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hoxan.com/kontakt/" TargetMode="External"/><Relationship Id="rId2" Type="http://schemas.openxmlformats.org/officeDocument/2006/relationships/hyperlink" Target="https://www.gruebel-sv.de/" TargetMode="External"/><Relationship Id="rId1" Type="http://schemas.openxmlformats.org/officeDocument/2006/relationships/hyperlink" Target="https://www.gruebel-kg.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8E0D-1340-F449-8799-4305E0A78337}">
  <dimension ref="A1:B1018"/>
  <sheetViews>
    <sheetView tabSelected="1" zoomScale="150" zoomScaleNormal="150" workbookViewId="0">
      <pane ySplit="5" topLeftCell="A6" activePane="bottomLeft" state="frozen"/>
      <selection pane="bottomLeft" activeCell="D54" sqref="D54"/>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4" t="s">
        <v>4</v>
      </c>
      <c r="B3" s="6"/>
    </row>
    <row r="4" spans="1:2" ht="15.75" customHeight="1" x14ac:dyDescent="0.2">
      <c r="A4" s="7"/>
      <c r="B4" s="6"/>
    </row>
    <row r="5" spans="1:2" s="11" customFormat="1" ht="15.75" customHeight="1" x14ac:dyDescent="0.2">
      <c r="A5" s="8"/>
      <c r="B5" s="9" t="s">
        <v>5</v>
      </c>
    </row>
    <row r="6" spans="1:2" s="11" customFormat="1" ht="15.75" customHeight="1" x14ac:dyDescent="0.2">
      <c r="A6" s="8" t="s">
        <v>6</v>
      </c>
      <c r="B6" s="12"/>
    </row>
    <row r="7" spans="1:2" s="11" customFormat="1" ht="14" x14ac:dyDescent="0.2">
      <c r="A7" s="13" t="s">
        <v>7</v>
      </c>
      <c r="B7" s="14"/>
    </row>
    <row r="8" spans="1:2" s="11" customFormat="1" ht="15.75" customHeight="1" x14ac:dyDescent="0.2">
      <c r="A8" s="16" t="s">
        <v>5</v>
      </c>
      <c r="B8" s="17">
        <f>SUM(B7:B7)</f>
        <v>0</v>
      </c>
    </row>
    <row r="9" spans="1:2" s="11" customFormat="1" ht="15.75" customHeight="1" x14ac:dyDescent="0.2">
      <c r="A9" s="18"/>
      <c r="B9" s="14"/>
    </row>
    <row r="10" spans="1:2" s="11" customFormat="1" ht="15.75" customHeight="1" x14ac:dyDescent="0.2">
      <c r="A10" s="8" t="s">
        <v>8</v>
      </c>
      <c r="B10" s="14"/>
    </row>
    <row r="11" spans="1:2" s="11" customFormat="1" ht="70" x14ac:dyDescent="0.2">
      <c r="A11" s="15" t="s">
        <v>9</v>
      </c>
      <c r="B11" s="14">
        <v>2.5</v>
      </c>
    </row>
    <row r="12" spans="1:2" s="11" customFormat="1" ht="42" x14ac:dyDescent="0.2">
      <c r="A12" s="15" t="s">
        <v>10</v>
      </c>
      <c r="B12" s="14">
        <v>0.5</v>
      </c>
    </row>
    <row r="13" spans="1:2" s="11" customFormat="1" ht="28" x14ac:dyDescent="0.2">
      <c r="A13" s="15" t="s">
        <v>11</v>
      </c>
      <c r="B13" s="14">
        <v>0.5</v>
      </c>
    </row>
    <row r="14" spans="1:2" s="11" customFormat="1" ht="42" x14ac:dyDescent="0.2">
      <c r="A14" s="15" t="s">
        <v>12</v>
      </c>
      <c r="B14" s="14">
        <v>0</v>
      </c>
    </row>
    <row r="15" spans="1:2" s="11" customFormat="1" ht="42" x14ac:dyDescent="0.2">
      <c r="A15" s="15" t="s">
        <v>13</v>
      </c>
      <c r="B15" s="14">
        <v>1.5</v>
      </c>
    </row>
    <row r="16" spans="1:2" s="11" customFormat="1" ht="28" x14ac:dyDescent="0.2">
      <c r="A16" s="15" t="s">
        <v>14</v>
      </c>
      <c r="B16" s="14">
        <v>1.5</v>
      </c>
    </row>
    <row r="17" spans="1:2" s="11" customFormat="1" ht="28" x14ac:dyDescent="0.2">
      <c r="A17" s="15" t="s">
        <v>15</v>
      </c>
      <c r="B17" s="14">
        <v>2.75</v>
      </c>
    </row>
    <row r="18" spans="1:2" s="11" customFormat="1" ht="56" x14ac:dyDescent="0.2">
      <c r="A18" s="15" t="s">
        <v>16</v>
      </c>
      <c r="B18" s="14">
        <v>1.75</v>
      </c>
    </row>
    <row r="19" spans="1:2" s="11" customFormat="1" ht="28" x14ac:dyDescent="0.2">
      <c r="A19" s="15" t="s">
        <v>17</v>
      </c>
      <c r="B19" s="14">
        <v>1.5</v>
      </c>
    </row>
    <row r="20" spans="1:2" s="11" customFormat="1" ht="42" x14ac:dyDescent="0.2">
      <c r="A20" s="15" t="s">
        <v>18</v>
      </c>
      <c r="B20" s="14">
        <v>1.5</v>
      </c>
    </row>
    <row r="21" spans="1:2" s="11" customFormat="1" ht="42" x14ac:dyDescent="0.2">
      <c r="A21" s="15" t="s">
        <v>19</v>
      </c>
      <c r="B21" s="14">
        <v>0.5</v>
      </c>
    </row>
    <row r="22" spans="1:2" s="11" customFormat="1" ht="42" x14ac:dyDescent="0.2">
      <c r="A22" s="15" t="s">
        <v>20</v>
      </c>
      <c r="B22" s="14">
        <v>4.5</v>
      </c>
    </row>
    <row r="23" spans="1:2" s="11" customFormat="1" ht="28" x14ac:dyDescent="0.2">
      <c r="A23" s="15" t="s">
        <v>21</v>
      </c>
      <c r="B23" s="14">
        <v>2.25</v>
      </c>
    </row>
    <row r="24" spans="1:2" s="11" customFormat="1" ht="42" x14ac:dyDescent="0.2">
      <c r="A24" s="15" t="s">
        <v>22</v>
      </c>
      <c r="B24" s="14">
        <v>2.75</v>
      </c>
    </row>
    <row r="25" spans="1:2" s="11" customFormat="1" ht="28" x14ac:dyDescent="0.2">
      <c r="A25" s="15" t="s">
        <v>23</v>
      </c>
      <c r="B25" s="14">
        <v>1.5</v>
      </c>
    </row>
    <row r="26" spans="1:2" s="11" customFormat="1" ht="56" x14ac:dyDescent="0.2">
      <c r="A26" s="15" t="s">
        <v>24</v>
      </c>
      <c r="B26" s="14">
        <v>2</v>
      </c>
    </row>
    <row r="27" spans="1:2" s="11" customFormat="1" ht="15.75" customHeight="1" x14ac:dyDescent="0.2">
      <c r="A27" s="19" t="s">
        <v>5</v>
      </c>
      <c r="B27" s="20">
        <f>SUM(B10:B26)</f>
        <v>27.5</v>
      </c>
    </row>
    <row r="28" spans="1:2" s="11" customFormat="1" ht="15.75" customHeight="1" x14ac:dyDescent="0.2">
      <c r="A28" s="22"/>
      <c r="B28" s="14"/>
    </row>
    <row r="29" spans="1:2" s="10" customFormat="1" ht="15.75" customHeight="1" x14ac:dyDescent="0.15">
      <c r="A29" s="8" t="s">
        <v>25</v>
      </c>
      <c r="B29" s="14"/>
    </row>
    <row r="30" spans="1:2" s="11" customFormat="1" ht="98" x14ac:dyDescent="0.2">
      <c r="A30" s="15" t="s">
        <v>26</v>
      </c>
      <c r="B30" s="14">
        <v>1.75</v>
      </c>
    </row>
    <row r="31" spans="1:2" s="11" customFormat="1" ht="98" x14ac:dyDescent="0.2">
      <c r="A31" s="15" t="s">
        <v>27</v>
      </c>
      <c r="B31" s="14">
        <v>0.5</v>
      </c>
    </row>
    <row r="32" spans="1:2" s="11" customFormat="1" ht="98" x14ac:dyDescent="0.2">
      <c r="A32" s="15" t="s">
        <v>28</v>
      </c>
      <c r="B32" s="14">
        <v>1</v>
      </c>
    </row>
    <row r="33" spans="1:2" s="11" customFormat="1" ht="28" x14ac:dyDescent="0.2">
      <c r="A33" s="15" t="s">
        <v>29</v>
      </c>
      <c r="B33" s="14">
        <v>0.25</v>
      </c>
    </row>
    <row r="34" spans="1:2" s="11" customFormat="1" ht="15.75" customHeight="1" x14ac:dyDescent="0.2">
      <c r="A34" s="16" t="s">
        <v>5</v>
      </c>
      <c r="B34" s="17">
        <f>SUM(B30:B33)</f>
        <v>3.5</v>
      </c>
    </row>
    <row r="35" spans="1:2" s="11" customFormat="1" ht="15.75" customHeight="1" x14ac:dyDescent="0.2">
      <c r="A35" s="22"/>
      <c r="B35" s="14"/>
    </row>
    <row r="36" spans="1:2" s="11" customFormat="1" ht="15.75" customHeight="1" x14ac:dyDescent="0.2">
      <c r="A36" s="8" t="s">
        <v>30</v>
      </c>
      <c r="B36" s="14"/>
    </row>
    <row r="37" spans="1:2" s="11" customFormat="1" ht="42" x14ac:dyDescent="0.2">
      <c r="A37" s="15" t="s">
        <v>31</v>
      </c>
      <c r="B37" s="14">
        <v>1.5</v>
      </c>
    </row>
    <row r="38" spans="1:2" s="11" customFormat="1" ht="70" x14ac:dyDescent="0.2">
      <c r="A38" s="15" t="s">
        <v>32</v>
      </c>
      <c r="B38" s="14">
        <v>3</v>
      </c>
    </row>
    <row r="39" spans="1:2" s="11" customFormat="1" ht="15.75" customHeight="1" x14ac:dyDescent="0.2">
      <c r="A39" s="16" t="s">
        <v>5</v>
      </c>
      <c r="B39" s="17">
        <f>SUM(B37:B38)</f>
        <v>4.5</v>
      </c>
    </row>
    <row r="40" spans="1:2" s="11" customFormat="1" ht="15.75" customHeight="1" x14ac:dyDescent="0.2">
      <c r="A40" s="24"/>
      <c r="B40" s="25"/>
    </row>
    <row r="41" spans="1:2" s="11" customFormat="1" ht="15.75" customHeight="1" x14ac:dyDescent="0.2">
      <c r="A41" s="8" t="s">
        <v>33</v>
      </c>
      <c r="B41" s="14"/>
    </row>
    <row r="42" spans="1:2" s="11" customFormat="1" ht="70" x14ac:dyDescent="0.2">
      <c r="A42" s="15" t="s">
        <v>34</v>
      </c>
      <c r="B42" s="14">
        <v>6</v>
      </c>
    </row>
    <row r="43" spans="1:2" s="11" customFormat="1" ht="46" customHeight="1" x14ac:dyDescent="0.2">
      <c r="A43" s="15" t="s">
        <v>35</v>
      </c>
      <c r="B43" s="14">
        <v>19.75</v>
      </c>
    </row>
    <row r="44" spans="1:2" s="11" customFormat="1" ht="28" x14ac:dyDescent="0.2">
      <c r="A44" s="15" t="s">
        <v>36</v>
      </c>
      <c r="B44" s="14">
        <v>1.5</v>
      </c>
    </row>
    <row r="45" spans="1:2" s="11" customFormat="1" ht="28" x14ac:dyDescent="0.2">
      <c r="A45" s="15" t="s">
        <v>37</v>
      </c>
      <c r="B45" s="14">
        <v>0.25</v>
      </c>
    </row>
    <row r="46" spans="1:2" s="11" customFormat="1" ht="15.75" customHeight="1" x14ac:dyDescent="0.2">
      <c r="A46" s="16" t="s">
        <v>38</v>
      </c>
      <c r="B46" s="17">
        <f>SUM(B42:B45)</f>
        <v>27.5</v>
      </c>
    </row>
    <row r="47" spans="1:2" s="11" customFormat="1" ht="15.75" customHeight="1" x14ac:dyDescent="0.2">
      <c r="A47" s="24"/>
      <c r="B47" s="25"/>
    </row>
    <row r="48" spans="1:2" s="11" customFormat="1" ht="15.75" customHeight="1" x14ac:dyDescent="0.2">
      <c r="A48" s="8" t="s">
        <v>39</v>
      </c>
      <c r="B48" s="14"/>
    </row>
    <row r="49" spans="1:2" s="11" customFormat="1" ht="70" x14ac:dyDescent="0.2">
      <c r="A49" s="15" t="s">
        <v>40</v>
      </c>
      <c r="B49" s="14">
        <v>5</v>
      </c>
    </row>
    <row r="50" spans="1:2" s="11" customFormat="1" ht="70" x14ac:dyDescent="0.2">
      <c r="A50" s="15" t="s">
        <v>41</v>
      </c>
      <c r="B50" s="14">
        <v>4.5</v>
      </c>
    </row>
    <row r="51" spans="1:2" s="11" customFormat="1" ht="84" x14ac:dyDescent="0.2">
      <c r="A51" s="15" t="s">
        <v>42</v>
      </c>
      <c r="B51" s="14">
        <v>12</v>
      </c>
    </row>
    <row r="52" spans="1:2" s="11" customFormat="1" ht="98" x14ac:dyDescent="0.2">
      <c r="A52" s="15" t="s">
        <v>43</v>
      </c>
      <c r="B52" s="14">
        <v>4</v>
      </c>
    </row>
    <row r="53" spans="1:2" s="11" customFormat="1" ht="84" x14ac:dyDescent="0.2">
      <c r="A53" s="15" t="s">
        <v>44</v>
      </c>
      <c r="B53" s="14">
        <v>4.5</v>
      </c>
    </row>
    <row r="54" spans="1:2" s="11" customFormat="1" ht="84" x14ac:dyDescent="0.2">
      <c r="A54" s="15" t="s">
        <v>45</v>
      </c>
      <c r="B54" s="14">
        <v>4.25</v>
      </c>
    </row>
    <row r="55" spans="1:2" s="11" customFormat="1" ht="42" x14ac:dyDescent="0.2">
      <c r="A55" s="15" t="s">
        <v>46</v>
      </c>
      <c r="B55" s="14">
        <v>4</v>
      </c>
    </row>
    <row r="56" spans="1:2" s="11" customFormat="1" ht="15.75" customHeight="1" x14ac:dyDescent="0.2">
      <c r="A56" s="16" t="s">
        <v>47</v>
      </c>
      <c r="B56" s="17">
        <f>SUM(B49:B55)</f>
        <v>38.25</v>
      </c>
    </row>
    <row r="57" spans="1:2" s="11" customFormat="1" ht="15.75" customHeight="1" x14ac:dyDescent="0.2">
      <c r="A57" s="24"/>
      <c r="B57" s="25"/>
    </row>
    <row r="58" spans="1:2" s="11" customFormat="1" ht="15.75" customHeight="1" x14ac:dyDescent="0.2">
      <c r="A58" s="26" t="s">
        <v>48</v>
      </c>
      <c r="B58" s="23"/>
    </row>
    <row r="59" spans="1:2" s="11" customFormat="1" ht="56" x14ac:dyDescent="0.2">
      <c r="A59" s="15" t="s">
        <v>49</v>
      </c>
      <c r="B59" s="23">
        <v>0.75</v>
      </c>
    </row>
    <row r="60" spans="1:2" s="11" customFormat="1" ht="28" x14ac:dyDescent="0.2">
      <c r="A60" s="27" t="s">
        <v>50</v>
      </c>
      <c r="B60" s="23">
        <v>2.25</v>
      </c>
    </row>
    <row r="61" spans="1:2" s="11" customFormat="1" ht="15.75" customHeight="1" x14ac:dyDescent="0.2">
      <c r="A61" s="28" t="s">
        <v>5</v>
      </c>
      <c r="B61" s="21">
        <f>SUM(B59:B60)</f>
        <v>3</v>
      </c>
    </row>
    <row r="62" spans="1:2" s="11" customFormat="1" ht="15.75" customHeight="1" x14ac:dyDescent="0.2">
      <c r="A62" s="29"/>
      <c r="B62" s="23"/>
    </row>
    <row r="63" spans="1:2" s="11" customFormat="1" ht="16.5" customHeight="1" thickBot="1" x14ac:dyDescent="0.25">
      <c r="A63" s="30" t="s">
        <v>51</v>
      </c>
      <c r="B63" s="31">
        <f>SUM(B8+B27+B34+B39+B61)</f>
        <v>38.5</v>
      </c>
    </row>
    <row r="64" spans="1:2" s="11" customFormat="1" ht="16.5" customHeight="1" thickBot="1" x14ac:dyDescent="0.25">
      <c r="A64" s="30" t="s">
        <v>52</v>
      </c>
      <c r="B64" s="31" t="s">
        <v>53</v>
      </c>
    </row>
    <row r="65" spans="1:2" ht="15.75" customHeight="1" x14ac:dyDescent="0.2">
      <c r="A65" s="10"/>
      <c r="B65" s="10"/>
    </row>
    <row r="66" spans="1:2" ht="15.75" customHeight="1" x14ac:dyDescent="0.2">
      <c r="A66" s="32" t="s">
        <v>54</v>
      </c>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10"/>
      <c r="B117" s="10"/>
    </row>
    <row r="118" spans="1:2" ht="15.75" customHeight="1" x14ac:dyDescent="0.2">
      <c r="A118" s="10"/>
      <c r="B118" s="10"/>
    </row>
    <row r="119" spans="1:2" ht="15.75" customHeight="1" x14ac:dyDescent="0.2">
      <c r="A119" s="10"/>
      <c r="B119" s="10"/>
    </row>
    <row r="120" spans="1:2" ht="15.75" customHeight="1" x14ac:dyDescent="0.2">
      <c r="A120" s="10"/>
      <c r="B120" s="10"/>
    </row>
    <row r="121" spans="1:2" ht="15.75" customHeight="1" x14ac:dyDescent="0.2">
      <c r="A121" s="10"/>
      <c r="B121" s="10"/>
    </row>
    <row r="122" spans="1:2" ht="15.75" customHeight="1" x14ac:dyDescent="0.2">
      <c r="A122" s="10"/>
      <c r="B122" s="10"/>
    </row>
    <row r="123" spans="1:2" ht="15.75" customHeight="1" x14ac:dyDescent="0.2">
      <c r="A123" s="10"/>
      <c r="B123" s="10"/>
    </row>
    <row r="124" spans="1:2" ht="15.75" customHeight="1" x14ac:dyDescent="0.2">
      <c r="A124" s="10"/>
      <c r="B124" s="10"/>
    </row>
    <row r="125" spans="1:2" ht="15.75" customHeight="1" x14ac:dyDescent="0.2">
      <c r="A125" s="10"/>
      <c r="B125" s="10"/>
    </row>
    <row r="126" spans="1:2" ht="15.75" customHeight="1" x14ac:dyDescent="0.2">
      <c r="A126" s="10"/>
      <c r="B126" s="10"/>
    </row>
    <row r="127" spans="1:2" ht="15.75" customHeight="1" x14ac:dyDescent="0.2">
      <c r="A127" s="10"/>
      <c r="B127" s="10"/>
    </row>
    <row r="128" spans="1:2" ht="15.75" customHeight="1" x14ac:dyDescent="0.2">
      <c r="A128" s="10"/>
      <c r="B128" s="10"/>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row r="1012" spans="1:2" ht="15.75" customHeight="1" x14ac:dyDescent="0.2">
      <c r="A1012" s="3"/>
      <c r="B1012" s="3"/>
    </row>
    <row r="1013" spans="1:2" ht="15.75" customHeight="1" x14ac:dyDescent="0.2">
      <c r="A1013" s="3"/>
      <c r="B1013" s="3"/>
    </row>
    <row r="1014" spans="1:2" ht="15.75" customHeight="1" x14ac:dyDescent="0.2">
      <c r="A1014" s="3"/>
      <c r="B1014" s="3"/>
    </row>
    <row r="1015" spans="1:2" ht="15.75" customHeight="1" x14ac:dyDescent="0.2">
      <c r="A1015" s="3"/>
      <c r="B1015" s="3"/>
    </row>
    <row r="1016" spans="1:2" ht="15.75" customHeight="1" x14ac:dyDescent="0.2">
      <c r="A1016" s="3"/>
      <c r="B1016" s="3"/>
    </row>
    <row r="1017" spans="1:2" ht="15.75" customHeight="1" x14ac:dyDescent="0.2">
      <c r="A1017" s="3"/>
      <c r="B1017" s="3"/>
    </row>
    <row r="1018" spans="1:2" ht="15.75" customHeight="1" x14ac:dyDescent="0.2">
      <c r="A1018" s="3"/>
      <c r="B1018" s="3"/>
    </row>
  </sheetData>
  <hyperlinks>
    <hyperlink ref="A2" r:id="rId1" xr:uid="{B7B17204-BFFC-9444-A11D-EC092D75F9E2}"/>
    <hyperlink ref="A3" r:id="rId2" xr:uid="{340F2419-3D1F-5F43-A0A6-067D7337CA43}"/>
    <hyperlink ref="A66" r:id="rId3" display="https://www.thoxan.com/kontakt/" xr:uid="{86199157-88CD-864F-9084-99D60309B8AC}"/>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GRÜ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2025-06-30T14:02:09Z</dcterms:created>
  <dcterms:modified xsi:type="dcterms:W3CDTF">2025-06-30T14:03:24Z</dcterms:modified>
</cp:coreProperties>
</file>