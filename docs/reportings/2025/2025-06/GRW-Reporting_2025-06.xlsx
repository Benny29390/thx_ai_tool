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5-06/"/>
    </mc:Choice>
  </mc:AlternateContent>
  <xr:revisionPtr revIDLastSave="0" documentId="8_{3BAC535F-701C-E140-B74A-D56D6F61683A}" xr6:coauthVersionLast="47" xr6:coauthVersionMax="47" xr10:uidLastSave="{00000000-0000-0000-0000-000000000000}"/>
  <bookViews>
    <workbookView xWindow="8720" yWindow="1620" windowWidth="34740" windowHeight="23960" xr2:uid="{6C04326C-F424-664C-88EE-C370605802C4}"/>
  </bookViews>
  <sheets>
    <sheet name="GRW"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0" i="1" l="1"/>
  <c r="B45" i="1"/>
  <c r="B38" i="1"/>
  <c r="B31" i="1"/>
  <c r="B27" i="1"/>
  <c r="B18" i="1"/>
  <c r="B7" i="1"/>
  <c r="B52" i="1" s="1"/>
</calcChain>
</file>

<file path=xl/sharedStrings.xml><?xml version="1.0" encoding="utf-8"?>
<sst xmlns="http://schemas.openxmlformats.org/spreadsheetml/2006/main" count="51" uniqueCount="44">
  <si>
    <t>Grow Andre Rasche Consulting GmbH</t>
  </si>
  <si>
    <t>2. Quartal 2025</t>
  </si>
  <si>
    <t>https://www.grow-medical.de</t>
  </si>
  <si>
    <t>Monatliche Optimierung</t>
  </si>
  <si>
    <t>https://www.bio-kat.de</t>
  </si>
  <si>
    <t>Aufwand ca. in Std.</t>
  </si>
  <si>
    <t>1. Linkaufbau, Linkabbau, Online-PR</t>
  </si>
  <si>
    <t>---</t>
  </si>
  <si>
    <t>2. Redaktionelle Arbeiten &amp; Website-Pflege</t>
  </si>
  <si>
    <t>Prüfung der kompletten GROW-Website mit allen Unterseiten und Austausch der Firmierung in GROW medical GmbH, Anpassung der Bildquellen, Footer und Kontaktbereiche, Abstimmung und Dokumentation (31.03., TKI)</t>
  </si>
  <si>
    <t>Textarbeiten via inventa: Abstimmung, Briefing und inhaltliche Konzeption, Recherche und Zusammentragen der Informationen, Texterstellung, Keyword-Optimierung nach WDF*IDF, Ergänzungen und kl. Anpassungen, Lektorat und finale Bearbeitung, Versand an Kunden und Dokumentation (02.-03.04., GBO, TKI)</t>
  </si>
  <si>
    <t>Einpflegen via inventa: Finale Textkorrektur nach Freigabe,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(14.04., TKI)</t>
  </si>
  <si>
    <t>Content-Planung Web-Unterseiten sowie Bioresonanztherapie-Broschüre (Seitenaufbau, Scribbles): Recherche vorhandener Seitenelemente auf bisherigen Unterseiten, Sammeln und Priorisieren der sinnvollsten Elemente und erste Scribbles, Zusammentragen der Daten und Aufarbeitung der Seitenplanung nach AIDA-Formel, Planung der Inhaltselemente und des Wortumfangs, Aufbereiten der Daten für die Redaktion, Dokumentation und Abstimmung (17.-28.04., GBO)</t>
  </si>
  <si>
    <t>Einpflegen der BioKat-Sports Texte und der neuen Fotos, Bildbearbeitung, Übertragung der finalen Texte aus der Broschüre, abwechslungsreicher Seitenaufbau mit verschiedenen Elementen, Integration von neuen Absätzen und Fallbeispielen, Galerien, etc., Abstimmung und Dokumentation (19.-20.05., TKI)</t>
  </si>
  <si>
    <t>Weitere Textarbeiten für Bioresonanztherapie (Methode), Anpassungen nach Abgleich der Inhalte für BioKat M V und BioKat Sports, Löschen von "Informations-Overkill", einheitlicher Aufbau und Übernahme von passenden Inhalten aus der M V Broschüre, Abstimmung und Dokumentation (20.-23.05., TKI)</t>
  </si>
  <si>
    <t>Einpflegen von fünf Fallbeispielen im Ratgeber-Bereich der Website, Bildrecherche und -bearbeitung, kl. Anpassungen, Abstimmung und Dokumentation (02.06., TKI)</t>
  </si>
  <si>
    <t>Finale Überarbeitung der Texte für BIT und BioKat M V, starkes Einkürzen der gelieferten Fallbeispiele, weitere kl. Anpassungen, Abstimmung und Dokumentation (02.06., TKI)</t>
  </si>
  <si>
    <r>
      <t>3. Grafikdesign, Broschüren, etc.</t>
    </r>
    <r>
      <rPr>
        <b/>
        <sz val="10"/>
        <color rgb="FFFF0000"/>
        <rFont val="Arial"/>
        <family val="2"/>
      </rPr>
      <t xml:space="preserve"> (separate Abrechnung)</t>
    </r>
  </si>
  <si>
    <t>Abstimmung und Briefing, Entwurf einer Produkt-Info-Broschüre für  BioKat Sports (28.03.-01.04., RBO, TKI)</t>
  </si>
  <si>
    <t>Textarbeiten BioKat Sports: Abstimmung, Briefing und inhaltliche Konzeption, Recherche und Zusammentragen der Informationen aus Website, alter Broschüre, gelieferten Falldokumentationen, Texterstellung, Ergänzungen und kl. Anpassungen, Lektorat und finale Bearbeitung, Versand an Kunden und Dokumentation (03-11.04., 14.04., TKI)</t>
  </si>
  <si>
    <t>Weitere Textarbeiten für BioKat-Sports, Anpassungen nach Abgleich der Inhalte für BioKat M V und Bioresonanztherapie, Abstimmung und Dokumentation (01.-06.05., TKI)</t>
  </si>
  <si>
    <t>Grafikdesign: Umsetzung Produkt-PDF BioKat Sports mit finalem Inhalt (12.-14.05., RBO)</t>
  </si>
  <si>
    <t>Textarbeiten BioKat M V: Abstimmung, Briefing und inhaltliche Konzeption, Recherche und Zusammentragen der Informationen aus Website, alter Broschüre, Texterstellung, Ergänzungen und kl. Anpassungen, Lektorat und finale Bearbeitung, Versand an Kunden und Dokumentation (01.-02.05., 20.-23.05., TKI)</t>
  </si>
  <si>
    <t>Grafikdesign: Umsetzung Produkt-PDF BioKat MV mit finalem Inhalt (11.-13.06., RBO)</t>
  </si>
  <si>
    <t>ON HOLD</t>
  </si>
  <si>
    <t>3. Technische Arbeiten, Onpage-Optimierung, ggf. Programmierung</t>
  </si>
  <si>
    <t>Strato-Accounts gecheckt. Alle FTP-Zugänge, Datenbanken und Daten auf dem Webspace gelöscht, Kommunikation, Dokumentation (22.04., RBO, BKO)</t>
  </si>
  <si>
    <t>4. Google Ads</t>
  </si>
  <si>
    <t>Google Ads (Monitoring April 2025): Fortlaufendes Monitoring der eingerichteten Kampagnen und Anzeigengruppen sowie des Remarketings, Aktualisierung von Anzeigentexten, Gebote anpassen, Ergänzung und Ausschluss von passenden / unpassenden Keywords, kl. Anpassungen für optimale Kontozustandsbewertung, allgemeine Durchsicht und bedarfsgerechte Auswertung, Abstimmung und Dokumentation (01.-30.04., JST, DHE, TKI)</t>
  </si>
  <si>
    <t>Google Ads (Erweiterung): Abstimmung, Einrichtung weiterer Google Ads Kampagnen für die Elektriker-Stelle, Anzeigengruppen erstellt, Keywords recherchiert und hinzugefügt, Anzeigentexte für die verschiedenen Kampagnen erstellt, Anzeigenerweiterungen und Sitelinks erstellt, Zielgruppen sowie weiteres Bildmaterial fürs Remarketing hinzugefügt, Budgets angepasst, weitere kl. Anpassungen im Google Ads Konto, Dokumentation und Abstimmung (08.05., JST, DHE, TKI)</t>
  </si>
  <si>
    <t>Google Ads (Monitoring Mai 2025): Fortlaufendes Monitoring der eingerichteten Kampagnen und Anzeigengruppen sowie des Remarketings, Aktualisierung von Anzeigentexten, Gebote anpassen, Ergänzung und Ausschluss von passenden / unpassenden Keywords, kl. Anpassungen für optimale Kontozustandsbewertung, allgemeine Durchsicht und bedarfsgerechte Auswertung, Abstimmung und Dokumentation (01.-31.05., JST, DHE, TKI)</t>
  </si>
  <si>
    <t>Google Ads (Monitoring Juni 2025): Fortlaufendes Monitoring der eingerichteten Kampagnen und Anzeigengruppen sowie des Remarketings, Aktualisierung von Anzeigentexten, Gebote anpassen, Ergänzung und Ausschluss von passenden / unpassenden Keywords, kl. Anpassungen für optimale Kontozustandsbewertung, allgemeine Durchsicht und bedarfsgerechte Auswertung, Abstimmung und Dokumentation (01.-10.06., JST, DHE, TKI)</t>
  </si>
  <si>
    <t>5. Social Ads (Meta)</t>
  </si>
  <si>
    <t>Einrichten von weiteren Werbekampagnen für Facebook und Instagram über den Businessmanager, u.a. Anpassen von Zielgruppen, Einrichten der Text- und Bild-Anzeigen und des Budgets, ggf. weitere Abstimmungen und finale Anpassungen zur Online-Schaltung (17.04., JST, DHE, TKI)</t>
  </si>
  <si>
    <t>Social Ads (Monitoring April 2025): Monatliches Monitoring der Werbekampagnen bei Facebook und Instagram, Anpassen der Werbeanzeigen, Verfeinern der Zielgruppe, kl. Arbeiten am Werbekonto, Abstimmung und Dokumentation (01.-30.04., JST, DHE, TKI)</t>
  </si>
  <si>
    <t>Social Ads (Monitoring Mai 2025): Monatliches Monitoring der Werbekampagnen bei Facebook und Instagram, Anpassen der Werbeanzeigen, Verfeinern der Zielgruppe, kl. Arbeiten am Werbekonto, Abstimmung und Dokumentation (01.-31.05., JST, DHE, TKI)</t>
  </si>
  <si>
    <t>Social Ads (Monitoring Juni 2025): Monatliches Monitoring der Werbekampagnen bei Facebook und Instagram, Anpassen der Werbeanzeigen, Verfeinern der Zielgruppe, kl. Arbeiten am Werbekonto, Abstimmung und Dokumentation (01.-10.06., JST, DHE, TKI)</t>
  </si>
  <si>
    <t>6. Beratung &amp; Sonstiges</t>
  </si>
  <si>
    <t>Kurze Prüfung provenexpert, Abstimmung (27.06., TKI)</t>
  </si>
  <si>
    <t>Organisation, Planung, Überwachung und Steuerung der Aufgaben und Ressourcen (pro Tagessatz ca. 0,5 Std., TKI)</t>
  </si>
  <si>
    <t>Aufwand ca. insgesamt in Std.</t>
  </si>
  <si>
    <t>Aufwand in Tagessätzen</t>
  </si>
  <si>
    <t>4 TS</t>
  </si>
  <si>
    <t>Noch Rückfragen? Kontakt zur Thoxan Communications GmbH unter https://www.thoxan.com/kontakt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</si>
</sst>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font>
    <font>
      <b/>
      <sz val="16"/>
      <color theme="1"/>
      <name val="Arial"/>
      <family val="2"/>
    </font>
    <font>
      <sz val="12"/>
      <color theme="1"/>
      <name val="Arial"/>
      <family val="2"/>
    </font>
    <font>
      <u/>
      <sz val="12"/>
      <color theme="10"/>
      <name val="Calibri"/>
      <family val="2"/>
    </font>
    <font>
      <u/>
      <sz val="10"/>
      <color theme="10"/>
      <name val="Arial"/>
      <family val="2"/>
    </font>
    <font>
      <sz val="10"/>
      <color theme="1"/>
      <name val="Arial"/>
      <family val="2"/>
    </font>
    <font>
      <b/>
      <sz val="10"/>
      <color theme="1"/>
      <name val="Arial"/>
      <family val="2"/>
    </font>
    <font>
      <sz val="10"/>
      <color theme="1"/>
      <name val="Calibri"/>
      <family val="2"/>
    </font>
    <font>
      <sz val="10"/>
      <color theme="0" tint="-0.249977111117893"/>
      <name val="Arial"/>
      <family val="2"/>
    </font>
    <font>
      <b/>
      <sz val="10"/>
      <color rgb="FFFF0000"/>
      <name val="Arial"/>
      <family val="2"/>
    </font>
    <font>
      <sz val="10"/>
      <color rgb="FF808080"/>
      <name val="Arial"/>
      <family val="2"/>
    </font>
  </fonts>
  <fills count="5">
    <fill>
      <patternFill patternType="none"/>
    </fill>
    <fill>
      <patternFill patternType="gray125"/>
    </fill>
    <fill>
      <patternFill patternType="solid">
        <fgColor rgb="FFD8D8D8"/>
        <bgColor rgb="FFD8D8D8"/>
      </patternFill>
    </fill>
    <fill>
      <patternFill patternType="solid">
        <fgColor theme="0"/>
        <bgColor theme="0"/>
      </patternFill>
    </fill>
    <fill>
      <patternFill patternType="solid">
        <fgColor rgb="FFFFC000"/>
        <bgColor theme="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3" fillId="0" borderId="0" applyNumberFormat="0" applyFill="0" applyBorder="0" applyAlignment="0" applyProtection="0"/>
  </cellStyleXfs>
  <cellXfs count="36">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4" fillId="0" borderId="0" xfId="1" applyNumberFormat="1" applyFont="1" applyAlignment="1">
      <alignment horizontal="left"/>
    </xf>
    <xf numFmtId="49" fontId="5" fillId="0" borderId="0" xfId="0" applyNumberFormat="1" applyFont="1" applyAlignment="1">
      <alignment horizontal="right"/>
    </xf>
    <xf numFmtId="49" fontId="5" fillId="0" borderId="0" xfId="0" applyNumberFormat="1" applyFont="1" applyAlignment="1">
      <alignment horizontal="left"/>
    </xf>
    <xf numFmtId="0" fontId="4" fillId="0" borderId="0" xfId="1" applyFont="1"/>
    <xf numFmtId="0" fontId="6" fillId="0" borderId="1" xfId="0" applyFont="1" applyBorder="1"/>
    <xf numFmtId="0" fontId="6" fillId="2" borderId="1" xfId="0" applyFont="1" applyFill="1" applyBorder="1" applyAlignment="1">
      <alignment horizontal="center" vertical="center"/>
    </xf>
    <xf numFmtId="0" fontId="5" fillId="0" borderId="0" xfId="0" applyFont="1"/>
    <xf numFmtId="0" fontId="7" fillId="0" borderId="0" xfId="0" applyFont="1"/>
    <xf numFmtId="0" fontId="6" fillId="0" borderId="1" xfId="0" applyFont="1" applyBorder="1" applyAlignment="1">
      <alignment horizontal="center" vertical="center"/>
    </xf>
    <xf numFmtId="0" fontId="5" fillId="0" borderId="1" xfId="0" quotePrefix="1" applyFont="1" applyBorder="1" applyAlignment="1">
      <alignment vertical="top" wrapText="1"/>
    </xf>
    <xf numFmtId="0" fontId="5" fillId="0" borderId="1" xfId="0" applyFont="1" applyBorder="1" applyAlignment="1">
      <alignment horizontal="center" vertical="center"/>
    </xf>
    <xf numFmtId="0" fontId="5" fillId="2" borderId="2" xfId="0" applyFont="1" applyFill="1" applyBorder="1" applyAlignment="1">
      <alignment vertical="center"/>
    </xf>
    <xf numFmtId="0" fontId="5" fillId="2" borderId="2" xfId="0" applyFont="1" applyFill="1" applyBorder="1" applyAlignment="1">
      <alignment horizontal="center" vertical="center"/>
    </xf>
    <xf numFmtId="0" fontId="5" fillId="0" borderId="3" xfId="0" applyFont="1" applyBorder="1"/>
    <xf numFmtId="0" fontId="5" fillId="0" borderId="2" xfId="0" applyFont="1" applyBorder="1" applyAlignment="1">
      <alignment horizontal="center" vertical="center"/>
    </xf>
    <xf numFmtId="0" fontId="6" fillId="0" borderId="3" xfId="0" applyFont="1" applyBorder="1"/>
    <xf numFmtId="0" fontId="5" fillId="0" borderId="3" xfId="0" applyFont="1" applyBorder="1" applyAlignment="1">
      <alignment vertical="top" wrapText="1"/>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5" fillId="0" borderId="3" xfId="0" applyFont="1" applyBorder="1" applyAlignment="1">
      <alignment horizontal="center" vertical="center"/>
    </xf>
    <xf numFmtId="0" fontId="8" fillId="0" borderId="3" xfId="0" applyFont="1" applyBorder="1" applyAlignment="1">
      <alignment vertical="top" wrapText="1"/>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5" fillId="0" borderId="1" xfId="0" applyFont="1" applyBorder="1" applyAlignment="1">
      <alignment vertical="center"/>
    </xf>
    <xf numFmtId="0" fontId="5" fillId="4" borderId="2" xfId="0" applyFont="1" applyFill="1" applyBorder="1" applyAlignment="1">
      <alignment horizontal="center" vertical="center"/>
    </xf>
    <xf numFmtId="0" fontId="6" fillId="0" borderId="1" xfId="0" applyFont="1" applyBorder="1" applyAlignment="1">
      <alignment wrapText="1"/>
    </xf>
    <xf numFmtId="0" fontId="5" fillId="0" borderId="1" xfId="0" applyFont="1" applyBorder="1" applyAlignment="1">
      <alignment vertical="top" wrapText="1"/>
    </xf>
    <xf numFmtId="0" fontId="5" fillId="0" borderId="3" xfId="0" applyFont="1" applyBorder="1" applyAlignment="1">
      <alignment vertical="center"/>
    </xf>
    <xf numFmtId="0" fontId="5" fillId="2" borderId="4" xfId="0" applyFont="1" applyFill="1" applyBorder="1" applyAlignment="1">
      <alignment vertical="center"/>
    </xf>
    <xf numFmtId="0" fontId="6" fillId="2" borderId="4" xfId="0" applyFont="1" applyFill="1" applyBorder="1" applyAlignment="1">
      <alignment horizontal="center" vertical="center"/>
    </xf>
    <xf numFmtId="0" fontId="10" fillId="0" borderId="0" xfId="0" applyFont="1"/>
    <xf numFmtId="0" fontId="8" fillId="3" borderId="2" xfId="0" applyFont="1" applyFill="1" applyBorder="1" applyAlignment="1">
      <alignment horizontal="center" vertical="center"/>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row-medical.de/" TargetMode="External"/><Relationship Id="rId2" Type="http://schemas.openxmlformats.org/officeDocument/2006/relationships/hyperlink" Target="https://www.bio-kat.de/" TargetMode="External"/><Relationship Id="rId1" Type="http://schemas.openxmlformats.org/officeDocument/2006/relationships/hyperlink" Target="https://www.thoxan.com/kontak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52B4-7587-B440-8BAB-2BDC0D05FE91}">
  <dimension ref="A1:B1007"/>
  <sheetViews>
    <sheetView tabSelected="1" zoomScale="140" zoomScaleNormal="140" workbookViewId="0">
      <pane ySplit="4" topLeftCell="A5" activePane="bottomLeft" state="frozen"/>
      <selection pane="bottomLeft" activeCell="F22" sqref="F22"/>
    </sheetView>
  </sheetViews>
  <sheetFormatPr baseColWidth="10" defaultColWidth="11.1640625" defaultRowHeight="15" customHeight="1" x14ac:dyDescent="0.2"/>
  <cols>
    <col min="1" max="1" width="57.5" customWidth="1"/>
    <col min="2" max="2" width="25.33203125" customWidth="1"/>
  </cols>
  <sheetData>
    <row r="1" spans="1:2" ht="21" customHeight="1" x14ac:dyDescent="0.2">
      <c r="A1" s="1" t="s">
        <v>0</v>
      </c>
      <c r="B1" s="2" t="s">
        <v>1</v>
      </c>
    </row>
    <row r="2" spans="1:2" ht="15.75" customHeight="1" x14ac:dyDescent="0.2">
      <c r="A2" s="4" t="s">
        <v>2</v>
      </c>
      <c r="B2" s="5" t="s">
        <v>3</v>
      </c>
    </row>
    <row r="3" spans="1:2" ht="15.75" customHeight="1" x14ac:dyDescent="0.2">
      <c r="A3" s="7" t="s">
        <v>4</v>
      </c>
      <c r="B3" s="6"/>
    </row>
    <row r="4" spans="1:2" s="11" customFormat="1" ht="15.75" customHeight="1" x14ac:dyDescent="0.2">
      <c r="A4" s="8"/>
      <c r="B4" s="9" t="s">
        <v>5</v>
      </c>
    </row>
    <row r="5" spans="1:2" s="11" customFormat="1" ht="15.75" customHeight="1" x14ac:dyDescent="0.2">
      <c r="A5" s="8" t="s">
        <v>6</v>
      </c>
      <c r="B5" s="12"/>
    </row>
    <row r="6" spans="1:2" s="11" customFormat="1" ht="14" x14ac:dyDescent="0.2">
      <c r="A6" s="13" t="s">
        <v>7</v>
      </c>
      <c r="B6" s="14"/>
    </row>
    <row r="7" spans="1:2" s="11" customFormat="1" ht="15.75" customHeight="1" x14ac:dyDescent="0.2">
      <c r="A7" s="15" t="s">
        <v>5</v>
      </c>
      <c r="B7" s="16">
        <f>SUM(B6:B6)</f>
        <v>0</v>
      </c>
    </row>
    <row r="8" spans="1:2" s="11" customFormat="1" ht="15.75" customHeight="1" x14ac:dyDescent="0.2">
      <c r="A8" s="17"/>
      <c r="B8" s="18"/>
    </row>
    <row r="9" spans="1:2" s="11" customFormat="1" ht="15.75" customHeight="1" x14ac:dyDescent="0.2">
      <c r="A9" s="19" t="s">
        <v>8</v>
      </c>
      <c r="B9" s="18"/>
    </row>
    <row r="10" spans="1:2" s="11" customFormat="1" ht="56" x14ac:dyDescent="0.2">
      <c r="A10" s="20" t="s">
        <v>9</v>
      </c>
      <c r="B10" s="21">
        <v>0.75</v>
      </c>
    </row>
    <row r="11" spans="1:2" s="11" customFormat="1" ht="70" x14ac:dyDescent="0.2">
      <c r="A11" s="20" t="s">
        <v>10</v>
      </c>
      <c r="B11" s="21">
        <v>1.25</v>
      </c>
    </row>
    <row r="12" spans="1:2" s="11" customFormat="1" ht="84" x14ac:dyDescent="0.2">
      <c r="A12" s="20" t="s">
        <v>11</v>
      </c>
      <c r="B12" s="22">
        <v>1</v>
      </c>
    </row>
    <row r="13" spans="1:2" s="11" customFormat="1" ht="112" x14ac:dyDescent="0.2">
      <c r="A13" s="20" t="s">
        <v>12</v>
      </c>
      <c r="B13" s="22">
        <v>7</v>
      </c>
    </row>
    <row r="14" spans="1:2" s="11" customFormat="1" ht="70" x14ac:dyDescent="0.2">
      <c r="A14" s="20" t="s">
        <v>13</v>
      </c>
      <c r="B14" s="23">
        <v>2.25</v>
      </c>
    </row>
    <row r="15" spans="1:2" s="11" customFormat="1" ht="70" x14ac:dyDescent="0.2">
      <c r="A15" s="20" t="s">
        <v>14</v>
      </c>
      <c r="B15" s="23">
        <v>5.5</v>
      </c>
    </row>
    <row r="16" spans="1:2" s="11" customFormat="1" ht="42" x14ac:dyDescent="0.2">
      <c r="A16" s="20" t="s">
        <v>15</v>
      </c>
      <c r="B16" s="23">
        <v>1.25</v>
      </c>
    </row>
    <row r="17" spans="1:2" s="11" customFormat="1" ht="42" x14ac:dyDescent="0.2">
      <c r="A17" s="20" t="s">
        <v>16</v>
      </c>
      <c r="B17" s="23">
        <v>1</v>
      </c>
    </row>
    <row r="18" spans="1:2" s="11" customFormat="1" ht="15.75" customHeight="1" x14ac:dyDescent="0.2">
      <c r="A18" s="25" t="s">
        <v>5</v>
      </c>
      <c r="B18" s="26">
        <f>SUM(B9:B17)</f>
        <v>20</v>
      </c>
    </row>
    <row r="19" spans="1:2" s="11" customFormat="1" ht="15.75" customHeight="1" x14ac:dyDescent="0.2">
      <c r="A19" s="27"/>
      <c r="B19" s="14"/>
    </row>
    <row r="20" spans="1:2" s="11" customFormat="1" ht="15.75" customHeight="1" x14ac:dyDescent="0.2">
      <c r="A20" s="19" t="s">
        <v>17</v>
      </c>
      <c r="B20" s="18"/>
    </row>
    <row r="21" spans="1:2" s="11" customFormat="1" ht="28" x14ac:dyDescent="0.2">
      <c r="A21" s="24" t="s">
        <v>18</v>
      </c>
      <c r="B21" s="35">
        <v>3</v>
      </c>
    </row>
    <row r="22" spans="1:2" s="11" customFormat="1" ht="84" x14ac:dyDescent="0.2">
      <c r="A22" s="24" t="s">
        <v>19</v>
      </c>
      <c r="B22" s="35">
        <v>2.5</v>
      </c>
    </row>
    <row r="23" spans="1:2" s="11" customFormat="1" ht="42" x14ac:dyDescent="0.2">
      <c r="A23" s="24" t="s">
        <v>20</v>
      </c>
      <c r="B23" s="35">
        <v>2</v>
      </c>
    </row>
    <row r="24" spans="1:2" s="11" customFormat="1" ht="28" x14ac:dyDescent="0.2">
      <c r="A24" s="24" t="s">
        <v>21</v>
      </c>
      <c r="B24" s="35">
        <v>6</v>
      </c>
    </row>
    <row r="25" spans="1:2" s="11" customFormat="1" ht="70" x14ac:dyDescent="0.2">
      <c r="A25" s="20" t="s">
        <v>22</v>
      </c>
      <c r="B25" s="28">
        <v>2.5</v>
      </c>
    </row>
    <row r="26" spans="1:2" s="11" customFormat="1" ht="28" x14ac:dyDescent="0.2">
      <c r="A26" s="20" t="s">
        <v>23</v>
      </c>
      <c r="B26" s="28" t="s">
        <v>24</v>
      </c>
    </row>
    <row r="27" spans="1:2" s="11" customFormat="1" ht="15.75" customHeight="1" x14ac:dyDescent="0.2">
      <c r="A27" s="25" t="s">
        <v>5</v>
      </c>
      <c r="B27" s="26">
        <f>SUM(B20:B26)</f>
        <v>16</v>
      </c>
    </row>
    <row r="28" spans="1:2" s="11" customFormat="1" ht="15.75" customHeight="1" x14ac:dyDescent="0.2">
      <c r="A28" s="27"/>
      <c r="B28" s="14"/>
    </row>
    <row r="29" spans="1:2" s="10" customFormat="1" ht="15.75" customHeight="1" x14ac:dyDescent="0.15">
      <c r="A29" s="8" t="s">
        <v>25</v>
      </c>
      <c r="B29" s="14"/>
    </row>
    <row r="30" spans="1:2" s="11" customFormat="1" ht="42" x14ac:dyDescent="0.2">
      <c r="A30" s="13" t="s">
        <v>26</v>
      </c>
      <c r="B30" s="14">
        <v>2</v>
      </c>
    </row>
    <row r="31" spans="1:2" s="11" customFormat="1" ht="15.75" customHeight="1" x14ac:dyDescent="0.2">
      <c r="A31" s="25" t="s">
        <v>5</v>
      </c>
      <c r="B31" s="26">
        <f>SUM(B29:B30)</f>
        <v>2</v>
      </c>
    </row>
    <row r="32" spans="1:2" s="11" customFormat="1" ht="15.75" customHeight="1" x14ac:dyDescent="0.2">
      <c r="A32" s="27"/>
      <c r="B32" s="14"/>
    </row>
    <row r="33" spans="1:2" s="11" customFormat="1" ht="15.75" customHeight="1" x14ac:dyDescent="0.2">
      <c r="A33" s="8" t="s">
        <v>27</v>
      </c>
      <c r="B33" s="14"/>
    </row>
    <row r="34" spans="1:2" s="11" customFormat="1" ht="98" x14ac:dyDescent="0.2">
      <c r="A34" s="13" t="s">
        <v>28</v>
      </c>
      <c r="B34" s="14">
        <v>1</v>
      </c>
    </row>
    <row r="35" spans="1:2" s="11" customFormat="1" ht="112" x14ac:dyDescent="0.2">
      <c r="A35" s="13" t="s">
        <v>29</v>
      </c>
      <c r="B35" s="14">
        <v>1.75</v>
      </c>
    </row>
    <row r="36" spans="1:2" s="11" customFormat="1" ht="98" x14ac:dyDescent="0.2">
      <c r="A36" s="13" t="s">
        <v>30</v>
      </c>
      <c r="B36" s="14">
        <v>1.25</v>
      </c>
    </row>
    <row r="37" spans="1:2" s="11" customFormat="1" ht="98" x14ac:dyDescent="0.2">
      <c r="A37" s="13" t="s">
        <v>31</v>
      </c>
      <c r="B37" s="14">
        <v>0.5</v>
      </c>
    </row>
    <row r="38" spans="1:2" s="11" customFormat="1" ht="15.75" customHeight="1" x14ac:dyDescent="0.2">
      <c r="A38" s="25" t="s">
        <v>5</v>
      </c>
      <c r="B38" s="16">
        <f>SUM(B34:B37)</f>
        <v>4.5</v>
      </c>
    </row>
    <row r="39" spans="1:2" s="11" customFormat="1" ht="15.75" customHeight="1" x14ac:dyDescent="0.2">
      <c r="A39" s="29"/>
      <c r="B39" s="14"/>
    </row>
    <row r="40" spans="1:2" s="11" customFormat="1" ht="15.75" customHeight="1" x14ac:dyDescent="0.2">
      <c r="A40" s="8" t="s">
        <v>32</v>
      </c>
      <c r="B40" s="14"/>
    </row>
    <row r="41" spans="1:2" s="11" customFormat="1" ht="70" x14ac:dyDescent="0.2">
      <c r="A41" s="13" t="s">
        <v>33</v>
      </c>
      <c r="B41" s="14">
        <v>1</v>
      </c>
    </row>
    <row r="42" spans="1:2" s="11" customFormat="1" ht="70" x14ac:dyDescent="0.2">
      <c r="A42" s="13" t="s">
        <v>34</v>
      </c>
      <c r="B42" s="14">
        <v>1.5</v>
      </c>
    </row>
    <row r="43" spans="1:2" s="11" customFormat="1" ht="70" x14ac:dyDescent="0.2">
      <c r="A43" s="13" t="s">
        <v>35</v>
      </c>
      <c r="B43" s="14">
        <v>1</v>
      </c>
    </row>
    <row r="44" spans="1:2" s="11" customFormat="1" ht="70" x14ac:dyDescent="0.2">
      <c r="A44" s="13" t="s">
        <v>36</v>
      </c>
      <c r="B44" s="14">
        <v>0.75</v>
      </c>
    </row>
    <row r="45" spans="1:2" s="11" customFormat="1" ht="15.75" customHeight="1" x14ac:dyDescent="0.2">
      <c r="A45" s="25" t="s">
        <v>5</v>
      </c>
      <c r="B45" s="26">
        <f>SUM(B41:B44)</f>
        <v>4.25</v>
      </c>
    </row>
    <row r="46" spans="1:2" s="11" customFormat="1" ht="15.75" customHeight="1" x14ac:dyDescent="0.2">
      <c r="A46" s="29"/>
      <c r="B46" s="14"/>
    </row>
    <row r="47" spans="1:2" s="11" customFormat="1" ht="15.75" customHeight="1" x14ac:dyDescent="0.2">
      <c r="A47" s="8" t="s">
        <v>37</v>
      </c>
      <c r="B47" s="14"/>
    </row>
    <row r="48" spans="1:2" s="11" customFormat="1" ht="14" x14ac:dyDescent="0.2">
      <c r="A48" s="30" t="s">
        <v>38</v>
      </c>
      <c r="B48" s="18">
        <v>0.25</v>
      </c>
    </row>
    <row r="49" spans="1:2" s="11" customFormat="1" ht="28" x14ac:dyDescent="0.2">
      <c r="A49" s="20" t="s">
        <v>39</v>
      </c>
      <c r="B49" s="18">
        <v>2</v>
      </c>
    </row>
    <row r="50" spans="1:2" s="11" customFormat="1" ht="15.75" customHeight="1" x14ac:dyDescent="0.2">
      <c r="A50" s="15" t="s">
        <v>5</v>
      </c>
      <c r="B50" s="16">
        <f>SUM(B48:B49)</f>
        <v>2.25</v>
      </c>
    </row>
    <row r="51" spans="1:2" s="11" customFormat="1" ht="15.75" customHeight="1" x14ac:dyDescent="0.2">
      <c r="A51" s="31"/>
      <c r="B51" s="18"/>
    </row>
    <row r="52" spans="1:2" s="11" customFormat="1" ht="16.5" customHeight="1" thickBot="1" x14ac:dyDescent="0.25">
      <c r="A52" s="32" t="s">
        <v>40</v>
      </c>
      <c r="B52" s="33">
        <f>SUM(B7+B18+B31+B38+B45+B50)</f>
        <v>33</v>
      </c>
    </row>
    <row r="53" spans="1:2" s="11" customFormat="1" ht="16.5" customHeight="1" thickBot="1" x14ac:dyDescent="0.25">
      <c r="A53" s="32" t="s">
        <v>41</v>
      </c>
      <c r="B53" s="33" t="s">
        <v>42</v>
      </c>
    </row>
    <row r="54" spans="1:2" ht="15.75" customHeight="1" x14ac:dyDescent="0.2">
      <c r="A54" s="10"/>
      <c r="B54" s="10"/>
    </row>
    <row r="55" spans="1:2" ht="15.75" customHeight="1" x14ac:dyDescent="0.2">
      <c r="A55" s="34" t="s">
        <v>43</v>
      </c>
      <c r="B55" s="10"/>
    </row>
    <row r="56" spans="1:2" ht="15.75" customHeight="1" x14ac:dyDescent="0.2">
      <c r="A56" s="10"/>
      <c r="B56" s="10"/>
    </row>
    <row r="57" spans="1:2" ht="15.75" customHeight="1" x14ac:dyDescent="0.2">
      <c r="A57" s="10"/>
      <c r="B57" s="10"/>
    </row>
    <row r="58" spans="1:2" ht="15.75" customHeight="1" x14ac:dyDescent="0.2">
      <c r="A58" s="10"/>
      <c r="B58" s="10"/>
    </row>
    <row r="59" spans="1:2" ht="15.75" customHeight="1" x14ac:dyDescent="0.2">
      <c r="A59" s="10"/>
      <c r="B59" s="10"/>
    </row>
    <row r="60" spans="1:2" ht="15.75" customHeight="1" x14ac:dyDescent="0.2">
      <c r="A60" s="10"/>
      <c r="B60" s="10"/>
    </row>
    <row r="61" spans="1:2" ht="15.75" customHeight="1" x14ac:dyDescent="0.2">
      <c r="A61" s="10"/>
      <c r="B61" s="10"/>
    </row>
    <row r="62" spans="1:2" ht="15.75" customHeight="1" x14ac:dyDescent="0.2">
      <c r="A62" s="10"/>
      <c r="B62" s="10"/>
    </row>
    <row r="63" spans="1:2" ht="15.75" customHeight="1" x14ac:dyDescent="0.2">
      <c r="A63" s="10"/>
      <c r="B63" s="10"/>
    </row>
    <row r="64" spans="1:2" ht="15.75" customHeight="1" x14ac:dyDescent="0.2">
      <c r="A64" s="10"/>
      <c r="B64" s="10"/>
    </row>
    <row r="65" spans="1:2" ht="15.75" customHeight="1" x14ac:dyDescent="0.2">
      <c r="A65" s="10"/>
      <c r="B65" s="10"/>
    </row>
    <row r="66" spans="1:2" ht="15.75" customHeight="1" x14ac:dyDescent="0.2">
      <c r="A66" s="10"/>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10"/>
      <c r="B95" s="10"/>
    </row>
    <row r="96" spans="1:2" ht="15.75" customHeight="1" x14ac:dyDescent="0.2">
      <c r="A96" s="10"/>
      <c r="B96" s="10"/>
    </row>
    <row r="97" spans="1:2" ht="15.75" customHeight="1" x14ac:dyDescent="0.2">
      <c r="A97" s="10"/>
      <c r="B97" s="10"/>
    </row>
    <row r="98" spans="1:2" ht="15.75" customHeight="1" x14ac:dyDescent="0.2">
      <c r="A98" s="10"/>
      <c r="B98" s="10"/>
    </row>
    <row r="99" spans="1:2" ht="15.75" customHeight="1" x14ac:dyDescent="0.2">
      <c r="A99" s="10"/>
      <c r="B99" s="10"/>
    </row>
    <row r="100" spans="1:2" ht="15.75" customHeight="1" x14ac:dyDescent="0.2">
      <c r="A100" s="10"/>
      <c r="B100" s="10"/>
    </row>
    <row r="101" spans="1:2" ht="15.75" customHeight="1" x14ac:dyDescent="0.2">
      <c r="A101" s="10"/>
      <c r="B101" s="10"/>
    </row>
    <row r="102" spans="1:2" ht="15.75" customHeight="1" x14ac:dyDescent="0.2">
      <c r="A102" s="10"/>
      <c r="B102" s="10"/>
    </row>
    <row r="103" spans="1:2" ht="15.75" customHeight="1" x14ac:dyDescent="0.2">
      <c r="A103" s="10"/>
      <c r="B103" s="10"/>
    </row>
    <row r="104" spans="1:2" ht="15.75" customHeight="1" x14ac:dyDescent="0.2">
      <c r="A104" s="10"/>
      <c r="B104" s="10"/>
    </row>
    <row r="105" spans="1:2" ht="15.75" customHeight="1" x14ac:dyDescent="0.2">
      <c r="A105" s="10"/>
      <c r="B105" s="10"/>
    </row>
    <row r="106" spans="1:2" ht="15.75" customHeight="1" x14ac:dyDescent="0.2">
      <c r="A106" s="10"/>
      <c r="B106" s="10"/>
    </row>
    <row r="107" spans="1:2" ht="15.75" customHeight="1" x14ac:dyDescent="0.2">
      <c r="A107" s="10"/>
      <c r="B107" s="10"/>
    </row>
    <row r="108" spans="1:2" ht="15.75" customHeight="1" x14ac:dyDescent="0.2">
      <c r="A108" s="10"/>
      <c r="B108" s="10"/>
    </row>
    <row r="109" spans="1:2" ht="15.75" customHeight="1" x14ac:dyDescent="0.2">
      <c r="A109" s="10"/>
      <c r="B109" s="10"/>
    </row>
    <row r="110" spans="1:2" ht="15.75" customHeight="1" x14ac:dyDescent="0.2">
      <c r="A110" s="10"/>
      <c r="B110" s="10"/>
    </row>
    <row r="111" spans="1:2" ht="15.75" customHeight="1" x14ac:dyDescent="0.2">
      <c r="A111" s="10"/>
      <c r="B111" s="10"/>
    </row>
    <row r="112" spans="1:2" ht="15.75" customHeight="1" x14ac:dyDescent="0.2">
      <c r="A112" s="10"/>
      <c r="B112" s="10"/>
    </row>
    <row r="113" spans="1:2" ht="15.75" customHeight="1" x14ac:dyDescent="0.2">
      <c r="A113" s="10"/>
      <c r="B113" s="10"/>
    </row>
    <row r="114" spans="1:2" ht="15.75" customHeight="1" x14ac:dyDescent="0.2">
      <c r="A114" s="10"/>
      <c r="B114" s="10"/>
    </row>
    <row r="115" spans="1:2" ht="15.75" customHeight="1" x14ac:dyDescent="0.2">
      <c r="A115" s="10"/>
      <c r="B115" s="10"/>
    </row>
    <row r="116" spans="1:2" ht="15.75" customHeight="1" x14ac:dyDescent="0.2">
      <c r="A116" s="10"/>
      <c r="B116" s="10"/>
    </row>
    <row r="117" spans="1:2" ht="15.75" customHeight="1" x14ac:dyDescent="0.2">
      <c r="A117" s="10"/>
      <c r="B117" s="10"/>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row r="1001" spans="1:2" ht="15.75" customHeight="1" x14ac:dyDescent="0.2">
      <c r="A1001" s="3"/>
      <c r="B1001" s="3"/>
    </row>
    <row r="1002" spans="1:2" ht="15.75" customHeight="1" x14ac:dyDescent="0.2">
      <c r="A1002" s="3"/>
      <c r="B1002" s="3"/>
    </row>
    <row r="1003" spans="1:2" ht="15.75" customHeight="1" x14ac:dyDescent="0.2">
      <c r="A1003" s="3"/>
      <c r="B1003" s="3"/>
    </row>
    <row r="1004" spans="1:2" ht="15.75" customHeight="1" x14ac:dyDescent="0.2">
      <c r="A1004" s="3"/>
      <c r="B1004" s="3"/>
    </row>
    <row r="1005" spans="1:2" ht="15.75" customHeight="1" x14ac:dyDescent="0.2">
      <c r="A1005" s="3"/>
      <c r="B1005" s="3"/>
    </row>
    <row r="1006" spans="1:2" ht="15.75" customHeight="1" x14ac:dyDescent="0.2">
      <c r="A1006" s="3"/>
      <c r="B1006" s="3"/>
    </row>
    <row r="1007" spans="1:2" ht="15.75" customHeight="1" x14ac:dyDescent="0.2">
      <c r="A1007" s="3"/>
      <c r="B1007" s="3"/>
    </row>
  </sheetData>
  <hyperlinks>
    <hyperlink ref="A55" r:id="rId1" display="https://www.thoxan.com/kontakt/" xr:uid="{BA5978A9-9968-C64B-BE6E-3296F90028D4}"/>
    <hyperlink ref="A3" r:id="rId2" xr:uid="{C7592FC0-FA37-AA4F-8591-A912B1553916}"/>
    <hyperlink ref="A2" r:id="rId3" xr:uid="{03F5ACB3-4C80-FE42-860E-EDE1E1628614}"/>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GRW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2025-06-27T12:54:21Z</dcterms:created>
  <dcterms:modified xsi:type="dcterms:W3CDTF">2025-06-27T12:55:34Z</dcterms:modified>
</cp:coreProperties>
</file>