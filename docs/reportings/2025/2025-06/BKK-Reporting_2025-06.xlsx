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6/"/>
    </mc:Choice>
  </mc:AlternateContent>
  <xr:revisionPtr revIDLastSave="0" documentId="13_ncr:1_{A1DF4678-D21A-B14D-9893-2FBD1B34C7D5}" xr6:coauthVersionLast="47" xr6:coauthVersionMax="47" xr10:uidLastSave="{00000000-0000-0000-0000-000000000000}"/>
  <bookViews>
    <workbookView xWindow="57680" yWindow="500" windowWidth="38220" windowHeight="26900" xr2:uid="{05DA2081-B690-B747-9147-C764799096E3}"/>
  </bookViews>
  <sheets>
    <sheet name="BK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1" l="1"/>
  <c r="B62" i="1"/>
  <c r="B52" i="1"/>
  <c r="B46" i="1"/>
  <c r="B40" i="1"/>
  <c r="B32" i="1"/>
  <c r="B72" i="1" l="1"/>
</calcChain>
</file>

<file path=xl/sharedStrings.xml><?xml version="1.0" encoding="utf-8"?>
<sst xmlns="http://schemas.openxmlformats.org/spreadsheetml/2006/main" count="70" uniqueCount="64">
  <si>
    <t>BKK GILDEMEISTER SEIDENSTICKER</t>
  </si>
  <si>
    <t>Mai / Juni 2025</t>
  </si>
  <si>
    <t>www.bkkgs.de</t>
  </si>
  <si>
    <t>Monatliche Optimierung</t>
  </si>
  <si>
    <t>Aufwand ca. in Std.</t>
  </si>
  <si>
    <t>1. Linkaufbau, Online-PR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</si>
  <si>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(15.05.-13.06., TKI)</t>
  </si>
  <si>
    <t>Prüfung der Kennzahlen aller (ca. 150) bereits veröffentlichten Beiträge aus 2021-2025 zur erneuten Kontaktaufnahme Vermarktung Lead-Magnet bei lohnenswerten Plattformen, Dokumentation (12.-13.06.,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</si>
  <si>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(02.-18.06., TKI)</t>
  </si>
  <si>
    <t>Planung der Linkaufbau-Arbeiten im zweiten Halbjahr, weitere Rückläufer bearbeitet und abgestimmt, Linkaufbau-Organisation für Juli und August vorbereitet, Abstimmung und Dokumentation (25.-26.06., TKI)</t>
  </si>
  <si>
    <t>Textarbeiten (Gastartikel): Briefing und Recherche, Texterstellung für Gastbeitrag auf moms.de, Lektorat, Abstimmung und Vorbereitung zur Veröffentlichung (02.05., EXT, TKI)</t>
  </si>
  <si>
    <t>Textarbeiten (Gastartikel): Briefing und Recherche, Texterstellung für Gastbeitrag auf idee-fuer-mich.de, Lektorat, Abstimmung und Vorbereitung zur Veröffentlichung (06.05., EXT, TKI)</t>
  </si>
  <si>
    <t>Textarbeiten (Gastartikel): Briefing und Recherche, Texterstellung für Gastbeitrag auf fruchtbare-tage.com, Lektorat, Abstimmung und Vorbereitung zur Veröffentlichung (16.05., EXT, TKI)</t>
  </si>
  <si>
    <t>Textarbeiten (Gastartikel): Briefing und Recherche, Texterstellung für Gastbeitrag auf forum-fuer-senioren.de, Lektorat, Abstimmung und Vorbereitung zur Veröffentlichung (22.05., EXT, TKI)</t>
  </si>
  <si>
    <t>Textarbeiten (Gastartikel): Briefing und Recherche, Texterstellung für Gastbeitrag auf theralupa.de, Lektorat, Abstimmung und Vorbereitung zur Veröffentlichung (10.06., EXT, TKI)</t>
  </si>
  <si>
    <t>Textarbeiten (Gastartikel): Briefing und Recherche, Texterstellung für Gastbeitrag auf outdoor-sport.de, Lektorat, Abstimmung und Vorbereitung zur Veröffentlichung (11.06., EXT, TKI)</t>
  </si>
  <si>
    <t>Linkaufbau-Organisation und Abstimmung mit den Seitenbetreibern zur Veröffentlichung der vorbereiteten Gastartikel, Prüfung der Link-Integration, Abrechnung der Linkaufbau-Auslagen, Abstimmung und Dokumentation  (02.05.-25.06., TKI)</t>
  </si>
  <si>
    <t>https://www.babysnatur.de/blog/gesund-durch-die-babyzeit-fruehe-hilfen/</t>
  </si>
  <si>
    <t>(Aus April 2025)</t>
  </si>
  <si>
    <t>https://www.moms.de/magazin/abnehmen-nach-schwangerschaft-der-expertenleitfaden-fur-junge-mutter-2025/</t>
  </si>
  <si>
    <t>https://www.idee-fuer-mich.de/gesundheit/was-hinter-verspannungen-kopf-und-kieferschmerzen-steckt-10215.html</t>
  </si>
  <si>
    <t>https://www.fruchtbare-tage.com/magazin/kinderwunsch/schwanger-ohne-sorgen/</t>
  </si>
  <si>
    <t>https://www.forum-fuer-senioren.de/magazin/ungewoehnliche-sportarten-senioren/</t>
  </si>
  <si>
    <t>https://www.theralupa.de/journal/148-was-tun-wenn-kein-therapieplatz-in-sicht-ist</t>
  </si>
  <si>
    <t>https://www.outdoorsport.de/outdoor-events/draussen-in-bewegung-2261.html</t>
  </si>
  <si>
    <t>Pressemeldung: Abstimmung und Recherche für eine Pressemeldung zum Thema "Schlafapnoe / Snorefox-App", Texterstellung inkl. Abbinder, interne Verlinkung, ggf. Zitate, etc., Lektorat und Dokumentation, finale Absprachen (05.-07.05., GBO, TKI)</t>
  </si>
  <si>
    <t>Pressebilder: Abstimmung wegen Pressebildern, begleitend zur aktuellen Pressemeldung, Bildbearbeitung und Vorbereitung der Medien zur einheitlichen Veröffentlichung (05.-07.05., TKI)</t>
  </si>
  <si>
    <t>Presseportale: Pressemeldung auf gepflegten und geprüften (kostenfreien) Presseportalen online einstellen, Profile aktualisieren, Prüfung der Veröffentlichungen, Abstimmung und Dokumentation, Portale siehe Asana (07.-12.05., TKI)</t>
  </si>
  <si>
    <t>Pressemeldung: Abstimmung und Recherche für eine Pressemeldung zum Thema "Ich werde Mama", Texterstellung inkl. Abbinder, interne Verlinkung, ggf. Zitate, etc., Lektorat und Dokumentation, finale Absprachen (10.-11.06., GBO, TKI)</t>
  </si>
  <si>
    <t>Pressebilder: Abstimmung wegen Pressebildern, begleitend zur aktuellen Pressemeldung, Bildbearbeitung und Vorbereitung der Medien zur einheitlichen Veröffentlichung (13.06., TKI)</t>
  </si>
  <si>
    <t>Presseportale: Pressemeldung auf gepflegten und geprüften (kostenfreien) Presseportalen online einstellen, Profile aktualisieren, Prüfung der Veröffentlichungen, Abstimmung und Dokumentation, Portale siehe Asana (17.06., TKI)</t>
  </si>
  <si>
    <t>Einstellen von kl. Beiträgen in Google My Business, Widerspruch wegen falscher Einstufung, Abstimmung und Dokumentation (11., 16., 25.06., TKI)</t>
  </si>
  <si>
    <t>Link-Monitoring: Neue Verlinkungen aus Link-Tools der letzten 30 Tage überprüft, einzeln bewertet (monatlich ca. 0,25 Std., TKI)</t>
  </si>
  <si>
    <t>2. Redaktionelle Arbeiten (Gaby)</t>
  </si>
  <si>
    <t>Textarbeiten Zahnspange (49): Abstimmung, Briefing und inhaltliche Konzeption, Recherche und Zusammentragen der Informationen, Texterstellung, Keyword-Optimierung nach WDF*IDF, Ergänzungen und kl. Anpassungen, Lektorat und finale Bearbeitung, Versand an Kunden und Dokumentation (01.-02.05., GBO, TKI)</t>
  </si>
  <si>
    <t>Finale Prüfung Lead-Magnet Landingpage, Klickstrecke ausprobieren, Feedback Benny und Thomas, Textvorschläge für Dankeseite, DOI-Mail und Bestätigungsseite, Abstimmung und Dokumentation (19.-20.05., BKO, TKI)</t>
  </si>
  <si>
    <t>Textarbeiten "Neues Angebot keleya" auf passenden Unterseiten anteasern: Abstimmung, Briefing und inhaltliche Konzeption, kompakte Texterstellung, Ergänzungen und kl. Anpassungen, Lektorat und finale Bearbeitung, Versand an Kunden und Dokumentation (11.-12.06., GBO)</t>
  </si>
  <si>
    <t>Textarbeiten Apotheken-Finder (50): Abstimmung, Briefing und inhaltliche Konzeption, Recherche und Zusammentragen der Informationen, Texterstellung, Keyword-Optimierung nach WDF*IDF, Ergänzungen und kl. Anpassungen, Lektorat und finale Bearbeitung, Versand an Kunden und Dokumentation (12.-17.06., GBO, TKI)</t>
  </si>
  <si>
    <t>Durchsicht / Planung der aktuellen Textaufträge, interne Abstimmung, Asana-Tickets, Dokumentation (01.05.-27.06., GBO)</t>
  </si>
  <si>
    <t>3. Website-Pflegearbeiten</t>
  </si>
  <si>
    <t>Finale Anpassung der Gesundheitsjournal-Boxen zur Platzierung als Mehrwert auf relevanten Leistungsseiten, Abstimmung und Dokumentation (06.-07.05., DKI, TKI)</t>
  </si>
  <si>
    <t>Lead-Magnet Störer entwickeln (zentrale Unterseite, versteckt), Einbinden als Referenzkopie auf verschiedenen Unterseiten im thematisch passenden Kontext, interne Verlinkung mit der Landingpage, Abstimmung und Dokumentation (11.-25.06., DKI, TKI)</t>
  </si>
  <si>
    <t>Alt-Attribute für Bilder in der TYPO3-Mediathek erstellen (direkt im System), kl. Anpassungen, Abstimmung und Dokumentation (05.05.-25.06., VKO, TKI)</t>
  </si>
  <si>
    <t>4. Technische Arbeiten, Onpage-Optimierung, UX-Optimierung</t>
  </si>
  <si>
    <t>Weitere UX-Optimierung für die Landingpage "Lead-Magnet für Schwangere", Abstimmung und Dokumentation per Video (29.04.-07.05., BKO, TKI)</t>
  </si>
  <si>
    <t>Weitere UX-Optimierung für die Unterseite Krankenkassen-App, Anlegen der Entwürfe in Figma, Klickpfade definieren, Benutzerführung (Fokus Familien), Abstimmung und Dokumentation per Video (19.05., BKO, TKI)</t>
  </si>
  <si>
    <t>Überprüfung der Maßnahmen und der technischen Anpassungen von move:elevator, siehe Ticket-Dokumentation – Ladezeit-Optimierung, Core Web Vitals, PDF im Index, W3C-Validierung, etc., Abstimmung und Dokumentation (30.04.-25.06., TKI)</t>
  </si>
  <si>
    <t>Matomo Seitenaufrufe Überprüfung wg. Abweichung zu Google Analytics, Abstimmung und Dokumentation (30.04., JST, DHR, GJE)</t>
  </si>
  <si>
    <t>Anpassungen Lookerstudio-Dashboard und Conversion-Tracking bzgl. Optimierter OME-Strecke (08.-09.05., JST)</t>
  </si>
  <si>
    <t>Matomo Seitenaufrufe Überprüfung wg. Abweichung zu Google Analytics, Abstimmung und Dokumentation (09.-15.05., JST, TKI)</t>
  </si>
  <si>
    <t>Conversion-Tracking und Lookerstudio-Anpassungen, neue Conversions für Lead-Magnet eingerichtet, Abstimmung und Dokumentation (06.-18.06., JST)</t>
  </si>
  <si>
    <t>Abstimmung und Prüfung der Meta Ads, erste Vorbereitung und Dokumentation (06.06., JST, TKI)</t>
  </si>
  <si>
    <t>Social-Ads Einrichtung, Creatives anlegen, Vorbereitung für Kampagnen, Abstimmung Conversion-Tracking, kl. Anpassungen, Abstimmung und Dokumentation (23.-25.06., JST, TKI)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</si>
  <si>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(01.05.-30.06., JST, DHE, TKI)</t>
  </si>
  <si>
    <t>6. Beratung &amp; Sonstiges</t>
  </si>
  <si>
    <t>Kurze Vorbereitung und virtuelle Abstimmung zur aktuellen Zusammenarbeit, Linkaufbau, Google Ads, Workshops, Klärung von div. Fragen, 12-12:50 Uhr, anschließend Dokumentation und interne Abstimmung für die nächsten Maßnahmen (13.05., TKI)</t>
  </si>
  <si>
    <t>Videocall zur gemeinsamen Prüfung der Zugriffsrechte im Meta Business Account, Zugang für Insta / FB-Seite, Werbekonten, gemeinsame Durchsicht und Aufräumen der Struktur, Abstimmung für nächste Schritte (23.05., TKI)</t>
  </si>
  <si>
    <t>Planung von Werbemöglichkeiten und Maßnahmen zur Sichtbarkeit des Lead-Magneten bkkgs.de/ich-werde-mama, Abstimmung und Dokumentation (04.06., TKI)</t>
  </si>
  <si>
    <t>Diverse Tickets rund um Lead-Magnet, Indexierung Journalartikel, kl. Support wegen Lookerstudio-Dashboard, Google Ads &amp; Co., Abstimmung und Dokumentation (10.06.,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</si>
  <si>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</si>
  <si>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</si>
  <si>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</si>
  <si>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</si>
  <si>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5. Google Ads, Social Ads,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</si>
</sst>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theme="0" tint="-0.499984740745262"/>
      <name val="Arial"/>
      <family val="2"/>
    </font>
    <font>
      <sz val="10"/>
      <color rgb="FF000000"/>
      <name val="Arial"/>
      <family val="2"/>
    </font>
    <font>
      <sz val="10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top" wrapText="1"/>
    </xf>
    <xf numFmtId="0" fontId="5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7" fillId="0" borderId="0" xfId="1" applyFont="1"/>
    <xf numFmtId="0" fontId="9" fillId="0" borderId="0" xfId="0" applyFont="1"/>
    <xf numFmtId="0" fontId="5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ralupa.de/journal/148-was-tun-wenn-kein-therapieplatz-in-sicht-ist" TargetMode="External"/><Relationship Id="rId3" Type="http://schemas.openxmlformats.org/officeDocument/2006/relationships/hyperlink" Target="https://www.moms.de/magazin/abnehmen-nach-schwangerschaft-der-expertenleitfaden-fur-junge-mutter-2025/" TargetMode="External"/><Relationship Id="rId7" Type="http://schemas.openxmlformats.org/officeDocument/2006/relationships/hyperlink" Target="https://www.fruchtbare-tage.com/magazin/kinderwunsch/schwanger-ohne-sorgen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bkkgs.de/" TargetMode="External"/><Relationship Id="rId6" Type="http://schemas.openxmlformats.org/officeDocument/2006/relationships/hyperlink" Target="https://www.forum-fuer-senioren.de/magazin/ungewoehnliche-sportarten-senioren/" TargetMode="External"/><Relationship Id="rId5" Type="http://schemas.openxmlformats.org/officeDocument/2006/relationships/hyperlink" Target="https://www.idee-fuer-mich.de/gesundheit/was-hinter-verspannungen-kopf-und-kieferschmerzen-steckt-10215.html" TargetMode="External"/><Relationship Id="rId4" Type="http://schemas.openxmlformats.org/officeDocument/2006/relationships/hyperlink" Target="https://www.babysnatur.de/blog/gesund-durch-die-babyzeit-fruehe-hilfen/" TargetMode="External"/><Relationship Id="rId9" Type="http://schemas.openxmlformats.org/officeDocument/2006/relationships/hyperlink" Target="https://www.outdoorsport.de/outdoor-events/draussen-in-bewegung-22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2459-DCC6-1C49-85B1-AB9104542081}">
  <dimension ref="A1:B1031"/>
  <sheetViews>
    <sheetView tabSelected="1" zoomScale="150" zoomScaleNormal="150" workbookViewId="0">
      <pane ySplit="4" topLeftCell="A61" activePane="bottomLeft" state="frozen"/>
      <selection pane="bottomLeft" activeCell="B70" sqref="B70"/>
    </sheetView>
  </sheetViews>
  <sheetFormatPr baseColWidth="10" defaultColWidth="11.1640625" defaultRowHeight="15" customHeight="1" x14ac:dyDescent="0.2"/>
  <cols>
    <col min="1" max="1" width="57.5" style="3" customWidth="1"/>
    <col min="2" max="2" width="23" style="3" customWidth="1"/>
    <col min="3" max="16384" width="11.1640625" style="3"/>
  </cols>
  <sheetData>
    <row r="1" spans="1:2" ht="19.5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s="6" customFormat="1" ht="15.75" customHeight="1" x14ac:dyDescent="0.15">
      <c r="A4" s="7"/>
      <c r="B4" s="8" t="s">
        <v>4</v>
      </c>
    </row>
    <row r="5" spans="1:2" s="6" customFormat="1" ht="15.75" customHeight="1" x14ac:dyDescent="0.15">
      <c r="A5" s="10" t="s">
        <v>5</v>
      </c>
      <c r="B5" s="11"/>
    </row>
    <row r="6" spans="1:2" ht="70" x14ac:dyDescent="0.2">
      <c r="A6" s="12" t="s">
        <v>6</v>
      </c>
      <c r="B6" s="13">
        <v>2.5</v>
      </c>
    </row>
    <row r="7" spans="1:2" ht="56" x14ac:dyDescent="0.2">
      <c r="A7" s="12" t="s">
        <v>7</v>
      </c>
      <c r="B7" s="13">
        <v>1</v>
      </c>
    </row>
    <row r="8" spans="1:2" ht="70" x14ac:dyDescent="0.2">
      <c r="A8" s="12" t="s">
        <v>8</v>
      </c>
      <c r="B8" s="13">
        <v>5</v>
      </c>
    </row>
    <row r="9" spans="1:2" ht="56" x14ac:dyDescent="0.2">
      <c r="A9" s="12" t="s">
        <v>9</v>
      </c>
      <c r="B9" s="13">
        <v>2</v>
      </c>
    </row>
    <row r="10" spans="1:2" ht="42" x14ac:dyDescent="0.2">
      <c r="A10" s="12" t="s">
        <v>10</v>
      </c>
      <c r="B10" s="13">
        <v>3.5</v>
      </c>
    </row>
    <row r="11" spans="1:2" ht="42" x14ac:dyDescent="0.2">
      <c r="A11" s="12" t="s">
        <v>11</v>
      </c>
      <c r="B11" s="13">
        <v>3</v>
      </c>
    </row>
    <row r="12" spans="1:2" ht="42" x14ac:dyDescent="0.2">
      <c r="A12" s="12" t="s">
        <v>12</v>
      </c>
      <c r="B12" s="13">
        <v>3</v>
      </c>
    </row>
    <row r="13" spans="1:2" ht="42" x14ac:dyDescent="0.2">
      <c r="A13" s="12" t="s">
        <v>13</v>
      </c>
      <c r="B13" s="13">
        <v>3</v>
      </c>
    </row>
    <row r="14" spans="1:2" ht="42" x14ac:dyDescent="0.2">
      <c r="A14" s="12" t="s">
        <v>14</v>
      </c>
      <c r="B14" s="13">
        <v>3</v>
      </c>
    </row>
    <row r="15" spans="1:2" ht="42" x14ac:dyDescent="0.2">
      <c r="A15" s="12" t="s">
        <v>15</v>
      </c>
      <c r="B15" s="13">
        <v>3</v>
      </c>
    </row>
    <row r="16" spans="1:2" s="6" customFormat="1" ht="56" x14ac:dyDescent="0.15">
      <c r="A16" s="12" t="s">
        <v>16</v>
      </c>
      <c r="B16" s="13">
        <v>3.5</v>
      </c>
    </row>
    <row r="17" spans="1:2" s="6" customFormat="1" ht="28" x14ac:dyDescent="0.15">
      <c r="A17" s="15" t="s">
        <v>17</v>
      </c>
      <c r="B17" s="13" t="s">
        <v>18</v>
      </c>
    </row>
    <row r="18" spans="1:2" s="6" customFormat="1" ht="28" x14ac:dyDescent="0.15">
      <c r="A18" s="15" t="s">
        <v>19</v>
      </c>
      <c r="B18" s="27"/>
    </row>
    <row r="19" spans="1:2" s="6" customFormat="1" ht="28" x14ac:dyDescent="0.15">
      <c r="A19" s="15" t="s">
        <v>20</v>
      </c>
      <c r="B19" s="27"/>
    </row>
    <row r="20" spans="1:2" s="6" customFormat="1" ht="28" x14ac:dyDescent="0.15">
      <c r="A20" s="15" t="s">
        <v>21</v>
      </c>
      <c r="B20" s="27"/>
    </row>
    <row r="21" spans="1:2" s="6" customFormat="1" ht="28" x14ac:dyDescent="0.15">
      <c r="A21" s="15" t="s">
        <v>22</v>
      </c>
      <c r="B21" s="13"/>
    </row>
    <row r="22" spans="1:2" s="6" customFormat="1" ht="28" x14ac:dyDescent="0.15">
      <c r="A22" s="15" t="s">
        <v>23</v>
      </c>
      <c r="B22" s="13"/>
    </row>
    <row r="23" spans="1:2" s="6" customFormat="1" ht="28" x14ac:dyDescent="0.15">
      <c r="A23" s="15" t="s">
        <v>24</v>
      </c>
      <c r="B23" s="13"/>
    </row>
    <row r="24" spans="1:2" s="6" customFormat="1" ht="56" x14ac:dyDescent="0.15">
      <c r="A24" s="12" t="s">
        <v>25</v>
      </c>
      <c r="B24" s="16">
        <v>1.5</v>
      </c>
    </row>
    <row r="25" spans="1:2" s="6" customFormat="1" ht="42" x14ac:dyDescent="0.15">
      <c r="A25" s="17" t="s">
        <v>26</v>
      </c>
      <c r="B25" s="16">
        <v>0.5</v>
      </c>
    </row>
    <row r="26" spans="1:2" s="6" customFormat="1" ht="56" x14ac:dyDescent="0.15">
      <c r="A26" s="17" t="s">
        <v>27</v>
      </c>
      <c r="B26" s="16">
        <v>3</v>
      </c>
    </row>
    <row r="27" spans="1:2" s="6" customFormat="1" ht="56" x14ac:dyDescent="0.15">
      <c r="A27" s="12" t="s">
        <v>28</v>
      </c>
      <c r="B27" s="16">
        <v>2</v>
      </c>
    </row>
    <row r="28" spans="1:2" s="6" customFormat="1" ht="42" x14ac:dyDescent="0.15">
      <c r="A28" s="17" t="s">
        <v>29</v>
      </c>
      <c r="B28" s="16">
        <v>0.25</v>
      </c>
    </row>
    <row r="29" spans="1:2" s="6" customFormat="1" ht="56" x14ac:dyDescent="0.15">
      <c r="A29" s="17" t="s">
        <v>30</v>
      </c>
      <c r="B29" s="13">
        <v>2.5</v>
      </c>
    </row>
    <row r="30" spans="1:2" s="6" customFormat="1" ht="42" x14ac:dyDescent="0.15">
      <c r="A30" s="18" t="s">
        <v>31</v>
      </c>
      <c r="B30" s="13">
        <v>0.75</v>
      </c>
    </row>
    <row r="31" spans="1:2" s="6" customFormat="1" ht="27.75" customHeight="1" x14ac:dyDescent="0.15">
      <c r="A31" s="12" t="s">
        <v>32</v>
      </c>
      <c r="B31" s="13">
        <v>0.5</v>
      </c>
    </row>
    <row r="32" spans="1:2" s="6" customFormat="1" ht="15.75" customHeight="1" x14ac:dyDescent="0.15">
      <c r="A32" s="8" t="s">
        <v>4</v>
      </c>
      <c r="B32" s="9">
        <f>SUM(B6:B31)</f>
        <v>43.5</v>
      </c>
    </row>
    <row r="33" spans="1:2" s="6" customFormat="1" ht="15.75" customHeight="1" x14ac:dyDescent="0.15">
      <c r="A33" s="7"/>
      <c r="B33" s="13"/>
    </row>
    <row r="34" spans="1:2" s="6" customFormat="1" ht="15.75" customHeight="1" x14ac:dyDescent="0.15">
      <c r="A34" s="10" t="s">
        <v>33</v>
      </c>
      <c r="B34" s="13"/>
    </row>
    <row r="35" spans="1:2" s="6" customFormat="1" ht="70" x14ac:dyDescent="0.15">
      <c r="A35" s="12" t="s">
        <v>34</v>
      </c>
      <c r="B35" s="14">
        <v>10.5</v>
      </c>
    </row>
    <row r="36" spans="1:2" s="6" customFormat="1" ht="56" x14ac:dyDescent="0.15">
      <c r="A36" s="12" t="s">
        <v>35</v>
      </c>
      <c r="B36" s="14">
        <v>1.25</v>
      </c>
    </row>
    <row r="37" spans="1:2" s="6" customFormat="1" ht="70" x14ac:dyDescent="0.15">
      <c r="A37" s="12" t="s">
        <v>36</v>
      </c>
      <c r="B37" s="14">
        <v>3</v>
      </c>
    </row>
    <row r="38" spans="1:2" s="6" customFormat="1" ht="70" x14ac:dyDescent="0.15">
      <c r="A38" s="12" t="s">
        <v>37</v>
      </c>
      <c r="B38" s="14">
        <v>8</v>
      </c>
    </row>
    <row r="39" spans="1:2" s="6" customFormat="1" ht="28" x14ac:dyDescent="0.15">
      <c r="A39" s="12" t="s">
        <v>38</v>
      </c>
      <c r="B39" s="14">
        <v>1</v>
      </c>
    </row>
    <row r="40" spans="1:2" s="6" customFormat="1" ht="15.75" customHeight="1" x14ac:dyDescent="0.15">
      <c r="A40" s="8" t="s">
        <v>4</v>
      </c>
      <c r="B40" s="9">
        <f>SUM(B35:B39)</f>
        <v>23.75</v>
      </c>
    </row>
    <row r="41" spans="1:2" s="6" customFormat="1" ht="15.75" customHeight="1" x14ac:dyDescent="0.15">
      <c r="A41" s="19"/>
      <c r="B41" s="13"/>
    </row>
    <row r="42" spans="1:2" s="6" customFormat="1" ht="15.75" customHeight="1" x14ac:dyDescent="0.15">
      <c r="A42" s="10" t="s">
        <v>39</v>
      </c>
      <c r="B42" s="13"/>
    </row>
    <row r="43" spans="1:2" s="6" customFormat="1" ht="42" x14ac:dyDescent="0.15">
      <c r="A43" s="12" t="s">
        <v>40</v>
      </c>
      <c r="B43" s="13">
        <v>0.75</v>
      </c>
    </row>
    <row r="44" spans="1:2" s="6" customFormat="1" ht="56" x14ac:dyDescent="0.15">
      <c r="A44" s="12" t="s">
        <v>41</v>
      </c>
      <c r="B44" s="13">
        <v>3.25</v>
      </c>
    </row>
    <row r="45" spans="1:2" s="6" customFormat="1" ht="42" x14ac:dyDescent="0.15">
      <c r="A45" s="12" t="s">
        <v>42</v>
      </c>
      <c r="B45" s="13">
        <v>6</v>
      </c>
    </row>
    <row r="46" spans="1:2" s="6" customFormat="1" ht="15.75" customHeight="1" x14ac:dyDescent="0.15">
      <c r="A46" s="8" t="s">
        <v>4</v>
      </c>
      <c r="B46" s="9">
        <f>SUM(B43:B45)</f>
        <v>10</v>
      </c>
    </row>
    <row r="47" spans="1:2" s="6" customFormat="1" ht="15.75" customHeight="1" x14ac:dyDescent="0.15">
      <c r="A47" s="19"/>
      <c r="B47" s="13"/>
    </row>
    <row r="48" spans="1:2" s="6" customFormat="1" ht="15.75" customHeight="1" x14ac:dyDescent="0.15">
      <c r="A48" s="10" t="s">
        <v>43</v>
      </c>
      <c r="B48" s="13"/>
    </row>
    <row r="49" spans="1:2" s="6" customFormat="1" ht="42" x14ac:dyDescent="0.15">
      <c r="A49" s="12" t="s">
        <v>44</v>
      </c>
      <c r="B49" s="13">
        <v>2</v>
      </c>
    </row>
    <row r="50" spans="1:2" s="6" customFormat="1" ht="56" x14ac:dyDescent="0.15">
      <c r="A50" s="12" t="s">
        <v>45</v>
      </c>
      <c r="B50" s="13">
        <v>2.75</v>
      </c>
    </row>
    <row r="51" spans="1:2" s="6" customFormat="1" ht="56" x14ac:dyDescent="0.15">
      <c r="A51" s="12" t="s">
        <v>46</v>
      </c>
      <c r="B51" s="13">
        <v>2.5</v>
      </c>
    </row>
    <row r="52" spans="1:2" s="6" customFormat="1" ht="15.75" customHeight="1" x14ac:dyDescent="0.15">
      <c r="A52" s="8" t="s">
        <v>4</v>
      </c>
      <c r="B52" s="9">
        <f>SUM(B49:B51)</f>
        <v>7.25</v>
      </c>
    </row>
    <row r="53" spans="1:2" s="6" customFormat="1" ht="15.75" customHeight="1" x14ac:dyDescent="0.15">
      <c r="A53" s="19"/>
      <c r="B53" s="13"/>
    </row>
    <row r="54" spans="1:2" s="6" customFormat="1" ht="15.75" customHeight="1" x14ac:dyDescent="0.15">
      <c r="A54" s="10" t="s">
        <v>63</v>
      </c>
      <c r="B54" s="13"/>
    </row>
    <row r="55" spans="1:2" s="6" customFormat="1" ht="28" x14ac:dyDescent="0.15">
      <c r="A55" s="20" t="s">
        <v>47</v>
      </c>
      <c r="B55" s="28">
        <v>1</v>
      </c>
    </row>
    <row r="56" spans="1:2" s="6" customFormat="1" ht="28" x14ac:dyDescent="0.15">
      <c r="A56" s="12" t="s">
        <v>48</v>
      </c>
      <c r="B56" s="13">
        <v>2</v>
      </c>
    </row>
    <row r="57" spans="1:2" s="6" customFormat="1" ht="28" x14ac:dyDescent="0.15">
      <c r="A57" s="12" t="s">
        <v>49</v>
      </c>
      <c r="B57" s="13">
        <v>1</v>
      </c>
    </row>
    <row r="58" spans="1:2" s="6" customFormat="1" ht="42" x14ac:dyDescent="0.15">
      <c r="A58" s="12" t="s">
        <v>50</v>
      </c>
      <c r="B58" s="13">
        <v>1.5</v>
      </c>
    </row>
    <row r="59" spans="1:2" s="6" customFormat="1" ht="28" x14ac:dyDescent="0.15">
      <c r="A59" s="12" t="s">
        <v>51</v>
      </c>
      <c r="B59" s="13">
        <v>1.75</v>
      </c>
    </row>
    <row r="60" spans="1:2" s="6" customFormat="1" ht="42" x14ac:dyDescent="0.15">
      <c r="A60" s="12" t="s">
        <v>52</v>
      </c>
      <c r="B60" s="13">
        <v>4.75</v>
      </c>
    </row>
    <row r="61" spans="1:2" s="6" customFormat="1" ht="67" customHeight="1" x14ac:dyDescent="0.15">
      <c r="A61" s="12" t="s">
        <v>53</v>
      </c>
      <c r="B61" s="13">
        <v>5.75</v>
      </c>
    </row>
    <row r="62" spans="1:2" s="6" customFormat="1" ht="15.75" customHeight="1" x14ac:dyDescent="0.15">
      <c r="A62" s="8" t="s">
        <v>4</v>
      </c>
      <c r="B62" s="9">
        <f>SUM(B55:B61)</f>
        <v>17.75</v>
      </c>
    </row>
    <row r="63" spans="1:2" s="6" customFormat="1" ht="15.75" customHeight="1" x14ac:dyDescent="0.15">
      <c r="A63" s="19"/>
      <c r="B63" s="13"/>
    </row>
    <row r="64" spans="1:2" s="6" customFormat="1" ht="15.75" customHeight="1" x14ac:dyDescent="0.15">
      <c r="A64" s="10" t="s">
        <v>54</v>
      </c>
      <c r="B64" s="13"/>
    </row>
    <row r="65" spans="1:2" s="6" customFormat="1" ht="56" x14ac:dyDescent="0.15">
      <c r="A65" s="18" t="s">
        <v>55</v>
      </c>
      <c r="B65" s="13">
        <v>1</v>
      </c>
    </row>
    <row r="66" spans="1:2" s="6" customFormat="1" ht="56" x14ac:dyDescent="0.15">
      <c r="A66" s="12" t="s">
        <v>56</v>
      </c>
      <c r="B66" s="13">
        <v>0.75</v>
      </c>
    </row>
    <row r="67" spans="1:2" s="6" customFormat="1" ht="42" x14ac:dyDescent="0.15">
      <c r="A67" s="12" t="s">
        <v>57</v>
      </c>
      <c r="B67" s="13">
        <v>0.5</v>
      </c>
    </row>
    <row r="68" spans="1:2" s="6" customFormat="1" ht="42" x14ac:dyDescent="0.15">
      <c r="A68" s="18" t="s">
        <v>58</v>
      </c>
      <c r="B68" s="13">
        <v>1</v>
      </c>
    </row>
    <row r="69" spans="1:2" s="6" customFormat="1" ht="28" x14ac:dyDescent="0.15">
      <c r="A69" s="12" t="s">
        <v>59</v>
      </c>
      <c r="B69" s="13">
        <v>6.5</v>
      </c>
    </row>
    <row r="70" spans="1:2" s="6" customFormat="1" ht="15.75" customHeight="1" x14ac:dyDescent="0.15">
      <c r="A70" s="8" t="s">
        <v>4</v>
      </c>
      <c r="B70" s="9">
        <f>SUM(B65:B69)</f>
        <v>9.75</v>
      </c>
    </row>
    <row r="71" spans="1:2" s="6" customFormat="1" ht="15" customHeight="1" x14ac:dyDescent="0.15">
      <c r="A71" s="19"/>
      <c r="B71" s="13"/>
    </row>
    <row r="72" spans="1:2" s="6" customFormat="1" ht="16.5" customHeight="1" thickBot="1" x14ac:dyDescent="0.2">
      <c r="A72" s="21" t="s">
        <v>60</v>
      </c>
      <c r="B72" s="22">
        <f>SUM(B70+B62+B52+B46+B40+B32)</f>
        <v>112</v>
      </c>
    </row>
    <row r="73" spans="1:2" s="6" customFormat="1" ht="16.5" customHeight="1" thickBot="1" x14ac:dyDescent="0.2">
      <c r="A73" s="23" t="s">
        <v>61</v>
      </c>
      <c r="B73" s="24">
        <v>13</v>
      </c>
    </row>
    <row r="74" spans="1:2" ht="15.75" customHeight="1" x14ac:dyDescent="0.2">
      <c r="A74" s="6"/>
      <c r="B74" s="6"/>
    </row>
    <row r="75" spans="1:2" s="26" customFormat="1" ht="15.75" customHeight="1" x14ac:dyDescent="0.15">
      <c r="A75" s="25" t="s">
        <v>62</v>
      </c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6"/>
    </row>
    <row r="105" spans="1:2" ht="15.75" customHeight="1" x14ac:dyDescent="0.2">
      <c r="A105" s="6"/>
      <c r="B105" s="6"/>
    </row>
    <row r="106" spans="1:2" ht="15.75" customHeight="1" x14ac:dyDescent="0.2">
      <c r="A106" s="6"/>
      <c r="B106" s="6"/>
    </row>
    <row r="107" spans="1:2" ht="15.75" customHeight="1" x14ac:dyDescent="0.2">
      <c r="A107" s="6"/>
      <c r="B107" s="6"/>
    </row>
    <row r="108" spans="1:2" ht="15.75" customHeight="1" x14ac:dyDescent="0.2">
      <c r="A108" s="6"/>
      <c r="B108" s="6"/>
    </row>
    <row r="109" spans="1:2" ht="15.75" customHeight="1" x14ac:dyDescent="0.2">
      <c r="A109" s="6"/>
      <c r="B109" s="6"/>
    </row>
    <row r="110" spans="1:2" ht="15.75" customHeight="1" x14ac:dyDescent="0.2">
      <c r="A110" s="6"/>
      <c r="B110" s="6"/>
    </row>
    <row r="111" spans="1:2" ht="15.75" customHeight="1" x14ac:dyDescent="0.2">
      <c r="A111" s="6"/>
      <c r="B111" s="6"/>
    </row>
    <row r="112" spans="1:2" ht="15.75" customHeight="1" x14ac:dyDescent="0.2">
      <c r="A112" s="6"/>
      <c r="B112" s="6"/>
    </row>
    <row r="113" spans="1:2" ht="15.75" customHeight="1" x14ac:dyDescent="0.2">
      <c r="A113" s="6"/>
      <c r="B113" s="6"/>
    </row>
    <row r="114" spans="1:2" ht="15.75" customHeight="1" x14ac:dyDescent="0.2">
      <c r="A114" s="6"/>
      <c r="B114" s="6"/>
    </row>
    <row r="115" spans="1:2" ht="15.75" customHeight="1" x14ac:dyDescent="0.2">
      <c r="A115" s="6"/>
      <c r="B115" s="6"/>
    </row>
    <row r="116" spans="1:2" ht="15.75" customHeight="1" x14ac:dyDescent="0.2">
      <c r="A116" s="6"/>
      <c r="B116" s="6"/>
    </row>
    <row r="117" spans="1:2" ht="15.75" customHeight="1" x14ac:dyDescent="0.2">
      <c r="A117" s="6"/>
      <c r="B117" s="6"/>
    </row>
    <row r="118" spans="1:2" ht="15.75" customHeight="1" x14ac:dyDescent="0.2">
      <c r="A118" s="6"/>
      <c r="B118" s="6"/>
    </row>
    <row r="119" spans="1:2" ht="15.75" customHeight="1" x14ac:dyDescent="0.2">
      <c r="A119" s="6"/>
      <c r="B119" s="6"/>
    </row>
    <row r="120" spans="1:2" ht="15.75" customHeight="1" x14ac:dyDescent="0.2">
      <c r="A120" s="6"/>
      <c r="B120" s="6"/>
    </row>
    <row r="121" spans="1:2" ht="15.75" customHeight="1" x14ac:dyDescent="0.2">
      <c r="A121" s="6"/>
      <c r="B121" s="6"/>
    </row>
    <row r="122" spans="1:2" ht="15.75" customHeight="1" x14ac:dyDescent="0.2">
      <c r="A122" s="6"/>
      <c r="B122" s="6"/>
    </row>
    <row r="123" spans="1:2" ht="15.75" customHeight="1" x14ac:dyDescent="0.2">
      <c r="A123" s="6"/>
      <c r="B123" s="6"/>
    </row>
    <row r="124" spans="1:2" ht="15.75" customHeight="1" x14ac:dyDescent="0.2">
      <c r="A124" s="6"/>
      <c r="B124" s="6"/>
    </row>
    <row r="125" spans="1:2" ht="15.75" customHeight="1" x14ac:dyDescent="0.2">
      <c r="A125" s="6"/>
      <c r="B125" s="6"/>
    </row>
    <row r="126" spans="1:2" ht="15.75" customHeight="1" x14ac:dyDescent="0.2">
      <c r="A126" s="6"/>
      <c r="B126" s="6"/>
    </row>
    <row r="127" spans="1:2" ht="15.75" customHeight="1" x14ac:dyDescent="0.2">
      <c r="A127" s="6"/>
      <c r="B127" s="6"/>
    </row>
    <row r="128" spans="1:2" ht="15.75" customHeight="1" x14ac:dyDescent="0.2">
      <c r="A128" s="6"/>
      <c r="B128" s="6"/>
    </row>
    <row r="129" spans="1:2" ht="15.75" customHeight="1" x14ac:dyDescent="0.2">
      <c r="A129" s="6"/>
      <c r="B129" s="6"/>
    </row>
    <row r="130" spans="1:2" ht="15.75" customHeight="1" x14ac:dyDescent="0.2">
      <c r="A130" s="6"/>
      <c r="B130" s="6"/>
    </row>
    <row r="131" spans="1:2" ht="15.75" customHeight="1" x14ac:dyDescent="0.2">
      <c r="A131" s="6"/>
      <c r="B131" s="6"/>
    </row>
    <row r="132" spans="1:2" ht="15.75" customHeight="1" x14ac:dyDescent="0.2">
      <c r="A132" s="6"/>
      <c r="B132" s="6"/>
    </row>
    <row r="133" spans="1:2" ht="15.75" customHeight="1" x14ac:dyDescent="0.2">
      <c r="A133" s="6"/>
      <c r="B133" s="6"/>
    </row>
    <row r="134" spans="1:2" ht="15.75" customHeight="1" x14ac:dyDescent="0.2">
      <c r="A134" s="6"/>
      <c r="B134" s="6"/>
    </row>
    <row r="135" spans="1:2" ht="15.75" customHeight="1" x14ac:dyDescent="0.2">
      <c r="A135" s="6"/>
      <c r="B135" s="6"/>
    </row>
    <row r="136" spans="1:2" ht="15.75" customHeight="1" x14ac:dyDescent="0.2">
      <c r="A136" s="6"/>
      <c r="B136" s="6"/>
    </row>
    <row r="137" spans="1:2" ht="15.75" customHeight="1" x14ac:dyDescent="0.2">
      <c r="A137" s="6"/>
      <c r="B137" s="6"/>
    </row>
    <row r="138" spans="1:2" ht="15.75" customHeight="1" x14ac:dyDescent="0.2"/>
    <row r="139" spans="1:2" ht="15.75" customHeight="1" x14ac:dyDescent="0.2"/>
    <row r="140" spans="1:2" ht="15.75" customHeight="1" x14ac:dyDescent="0.2"/>
    <row r="141" spans="1:2" ht="15.75" customHeight="1" x14ac:dyDescent="0.2"/>
    <row r="142" spans="1:2" ht="15.75" customHeight="1" x14ac:dyDescent="0.2"/>
    <row r="143" spans="1:2" ht="15.75" customHeight="1" x14ac:dyDescent="0.2"/>
    <row r="144" spans="1:2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</sheetData>
  <hyperlinks>
    <hyperlink ref="A2" r:id="rId1" xr:uid="{72E2213A-2825-EB4E-B02D-AAA0D08CAA2D}"/>
    <hyperlink ref="A75" r:id="rId2" display="https://www.thoxan.com/kontakt/" xr:uid="{E304CB79-7D2C-9D46-AD1D-1147C1B406F4}"/>
    <hyperlink ref="A18" r:id="rId3" xr:uid="{3A8BEDE6-D38F-D84D-8FD5-BB09AB15D60A}"/>
    <hyperlink ref="A17" r:id="rId4" xr:uid="{549EA7F1-DFE5-7F49-AFAE-93CA625FBD1F}"/>
    <hyperlink ref="A19" r:id="rId5" xr:uid="{F8DC83B4-3D06-9148-810B-8FA12F284FE7}"/>
    <hyperlink ref="A21" r:id="rId6" xr:uid="{89DD5C6C-1619-1145-91EE-C9D84A90C284}"/>
    <hyperlink ref="A20" r:id="rId7" xr:uid="{1793DDF7-B946-7341-99C2-B6EA31314315}"/>
    <hyperlink ref="A22" r:id="rId8" xr:uid="{2B788709-C484-854B-BC25-DC8A02D93276}"/>
    <hyperlink ref="A23" r:id="rId9" xr:uid="{3413CF06-E6DA-7748-9628-A6D1D1516A85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2025-06-27T11:30:14Z</dcterms:created>
  <dcterms:modified xsi:type="dcterms:W3CDTF">2025-06-27T11:46:51Z</dcterms:modified>
</cp:coreProperties>
</file>