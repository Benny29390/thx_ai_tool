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13_ncr:1_{438DD9DA-D0B7-894F-91D2-27117C1D3C9F}" xr6:coauthVersionLast="47" xr6:coauthVersionMax="47" xr10:uidLastSave="{00000000-0000-0000-0000-000000000000}"/>
  <bookViews>
    <workbookView xWindow="10220" yWindow="500" windowWidth="35620" windowHeight="25600" xr2:uid="{FA9249B3-143D-8E42-90AE-81625BF877A8}"/>
  </bookViews>
  <sheets>
    <sheet name="PWP"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 l="1"/>
  <c r="B29" i="1"/>
  <c r="B21" i="1"/>
  <c r="B12" i="1"/>
  <c r="B8" i="1"/>
  <c r="B41" i="1" l="1"/>
</calcChain>
</file>

<file path=xl/sharedStrings.xml><?xml version="1.0" encoding="utf-8"?>
<sst xmlns="http://schemas.openxmlformats.org/spreadsheetml/2006/main" count="39" uniqueCount="34">
  <si>
    <t>2. Quartal 2025</t>
  </si>
  <si>
    <t>Monatliche Optimierung</t>
  </si>
  <si>
    <t>Aufwand ca. in Std.</t>
  </si>
  <si>
    <t>1. Aufbau eines einheitlichen Brandings (Positionierung), Werbemittel, Angebot, etc.</t>
  </si>
  <si>
    <t>Interne Abstimmung zur Bildauswahl und zum bisherigen Bildkonzept auf Basis einer einheitlichen und gleichzeitig ressourcenschonenden Umsetzung, Recherche und Aufbau eines möglichen Bildpools (05.-12.05., BKO, TKI)</t>
  </si>
  <si>
    <t>Verschiedene Stylings mit Stockbildern und Bilder von Christian, Bildbearbeitung und Retusche, CSS-Anpassungen, interne Abstimmung und testweise Aufbau von Bildmaterial auf der Website (08.-13.05., BKO, TKI)</t>
  </si>
  <si>
    <t>2. Onpage-Optimierung, technische Arbeiten</t>
  </si>
  <si>
    <t>3. Redaktionelle Arbeiten, UX-Optimierung &amp; Website-Pflege</t>
  </si>
  <si>
    <r>
      <rPr>
        <b/>
        <sz val="10"/>
        <color theme="1"/>
        <rFont val="Arial"/>
        <family val="2"/>
      </rPr>
      <t>Aufbau einer Wien-Termine-Landingpage:</t>
    </r>
    <r>
      <rPr>
        <sz val="10"/>
        <color theme="1"/>
        <rFont val="Arial"/>
        <family val="2"/>
      </rPr>
      <t xml:space="preserve"> Abstimmung und Aufbau der Seite mit abwechslungsreichen Text- und Seitenelementen, Störern, Absätzen, Fotos, etc., Strukturierung der Absätze und einheitliche Formatierung der Inhalte, Bildbearbeitung und -integration, kl. Anpassungen und Dokumentation (10.04., TKI)</t>
    </r>
  </si>
  <si>
    <r>
      <rPr>
        <b/>
        <sz val="10"/>
        <color theme="1"/>
        <rFont val="Arial"/>
        <family val="2"/>
      </rPr>
      <t>Weitere Textarbeiten Landingpage "Überlastung Führungskräfte":</t>
    </r>
    <r>
      <rPr>
        <sz val="10"/>
        <color theme="1"/>
        <rFont val="Arial"/>
        <family val="2"/>
      </rPr>
      <t xml:space="preserve"> Abstimmung, Briefing und inhaltliche Konzeption (Scribble), Recherche und Zusammentragen der Informationen, Texterstellung, Keyword-Optimierung nach WDF*IDF, Ergänzungen und kl. Anpassungen und Dokumentation (01.-17.04., GBO, TKI)</t>
    </r>
  </si>
  <si>
    <r>
      <rPr>
        <b/>
        <sz val="10"/>
        <color theme="1"/>
        <rFont val="Arial"/>
        <family val="2"/>
      </rPr>
      <t xml:space="preserve">Textarbeiten Landingpage "Fehlende Innovationskultur": </t>
    </r>
    <r>
      <rPr>
        <sz val="10"/>
        <color theme="1"/>
        <rFont val="Arial"/>
        <family val="2"/>
      </rPr>
      <t>Abstimmung, Briefing und inhaltliche Konzeption (Scribble), Recherche und Zusammentragen der Informationen, Texterstellung, Keyword-Optimierung nach WDF*IDF, Ergänzungen und kl. Anpassungen und Dokumentation (10.04., GBO, TKI)</t>
    </r>
  </si>
  <si>
    <r>
      <rPr>
        <b/>
        <sz val="10"/>
        <color theme="1"/>
        <rFont val="Arial"/>
        <family val="2"/>
      </rPr>
      <t>Textarbeiten Landingpage "Image/Bewerber/Arbeitsklima":</t>
    </r>
    <r>
      <rPr>
        <sz val="10"/>
        <color theme="1"/>
        <rFont val="Arial"/>
        <family val="2"/>
      </rPr>
      <t xml:space="preserve"> Abstimmung, Briefing und inhaltliche Konzeption (Scribble), Recherche und Zusammentragen der Informationen, Texterstellung, Keyword-Optimierung nach WDF*IDF, Ergänzungen und kl. Anpassungen und Dokumentation (10.04., GBO, TKI)</t>
    </r>
  </si>
  <si>
    <r>
      <rPr>
        <b/>
        <sz val="10"/>
        <color theme="1"/>
        <rFont val="Arial"/>
        <family val="2"/>
      </rPr>
      <t>Einpflegen der optimierten Unterseiten:</t>
    </r>
    <r>
      <rPr>
        <sz val="10"/>
        <color theme="1"/>
        <rFont val="Arial"/>
        <family val="2"/>
      </rPr>
      <t xml:space="preserv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(16.-17.04., 12.-13.05., TKI)</t>
    </r>
  </si>
  <si>
    <r>
      <rPr>
        <b/>
        <sz val="10"/>
        <color theme="1"/>
        <rFont val="Arial"/>
        <family val="2"/>
      </rPr>
      <t xml:space="preserve">Textarbeiten Unterseite "Organisationsentwicklung": </t>
    </r>
    <r>
      <rPr>
        <sz val="10"/>
        <color theme="1"/>
        <rFont val="Arial"/>
        <family val="2"/>
      </rPr>
      <t>Abstimmung, Recherche und Textoptimierung für bestehende Unterseite, Überarbeitung des Bestandstexts und Texterweiterung, Keyword-Optimierung nach WDF*IDF, Ergänzungen und kl. Anpassungen, Lektorat und finale Bearbeitung, Versand an Kunden und Dokumentation (20.06., GBO)</t>
    </r>
  </si>
  <si>
    <t>4. Google Ads, Conversion-Tracking, Monitoring, etc.</t>
  </si>
  <si>
    <r>
      <rPr>
        <b/>
        <sz val="10"/>
        <color theme="1"/>
        <rFont val="Arial"/>
        <family val="2"/>
      </rPr>
      <t>Optimierung des bestehenden Google Ads Kontos</t>
    </r>
    <r>
      <rPr>
        <sz val="10"/>
        <color theme="1"/>
        <rFont val="Arial"/>
        <family val="2"/>
      </rPr>
      <t>, Abstimmung, Einrichtung weiterer Google Ads Kampagnen für verschiedene Themen, Anzeigengruppen erstellt, Keywords recherchiert und hinzugefügt, Anzeigentexte für die verschiedenen Kampagnen erstellt, Anzeigenerweiterungen und Sitelinks erstellt, Zielgruppen sowie beispielhaftes Bildmaterial fürs Remarketing hinzugefügt, Budgets angepasst, weitere kl. Anpassungen im Google Ads Konto, Dokumentation und Abstimmung (01.-17.04., JST, DHE)</t>
    </r>
  </si>
  <si>
    <r>
      <rPr>
        <b/>
        <sz val="10"/>
        <color theme="1"/>
        <rFont val="Arial"/>
        <family val="2"/>
      </rPr>
      <t>Google Ads (Monitoring April 2025):</t>
    </r>
    <r>
      <rPr>
        <sz val="10"/>
        <color theme="1"/>
        <rFont val="Arial"/>
        <family val="2"/>
      </rPr>
      <t xml:space="preserve">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(01.-30.04., JST, TKI)</t>
    </r>
  </si>
  <si>
    <r>
      <rPr>
        <b/>
        <sz val="10"/>
        <color theme="1"/>
        <rFont val="Arial"/>
        <family val="2"/>
      </rPr>
      <t>Google Ads (Monitoring Mai 2025):</t>
    </r>
    <r>
      <rPr>
        <sz val="10"/>
        <color theme="1"/>
        <rFont val="Arial"/>
        <family val="2"/>
      </rPr>
      <t xml:space="preserve">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(01.-31.05., JST, TKI)</t>
    </r>
  </si>
  <si>
    <r>
      <rPr>
        <b/>
        <sz val="10"/>
        <color theme="1"/>
        <rFont val="Arial"/>
        <family val="2"/>
      </rPr>
      <t>Google Ads (Monitoring Juni 2025):</t>
    </r>
    <r>
      <rPr>
        <sz val="10"/>
        <color theme="1"/>
        <rFont val="Arial"/>
        <family val="2"/>
      </rPr>
      <t xml:space="preserve">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(01.-30.06., JST, TKI)</t>
    </r>
  </si>
  <si>
    <t>5. Beratung &amp; Sonstiges</t>
  </si>
  <si>
    <t>Austausch zur aktuellen Zusammenarbeit, Kampagnen-Struktur, Beratung zur weiteren Vorgehensweise (anteilig), Abstimmung und Dokumentation (31.03., TKI)</t>
  </si>
  <si>
    <t>Austausch zur aktuellen Zusammenarbeit, Bildauswahl und Umsetzung der Landingpages und Kampagnen, Beratung zur weiteren Vorgehensweise (anteilig), Abstimmung und Dokumentation (29.04., TKI) // anteilig</t>
  </si>
  <si>
    <t>Interne Abstimmung und Recherche, Suche nach passendem Business-Bildmaterial in Datenbanken, Auswahl passender Motive und Bildbearbeitung, beispielhafter Einbau auf der Website, Dokumentation (05.05., BKO, TKI)</t>
  </si>
  <si>
    <t>Austausch mit Christian zur Bildauswahl und zu gewünschten Effekten, Beratung zur weiteren Vorgehensweise (05.05., TKI)</t>
  </si>
  <si>
    <t>Recherche nach weiteren Models, Sammlungen mit passenden Personen sowie im Gespräch / Workshop, Auswahl und Priorisierung, Abstimmung und Dokumentation per Video (07.05., TKI)</t>
  </si>
  <si>
    <t>Kurze Abstimmung zur Entscheidung der Bildauswahl und -bearbeitung, Klären von kurzen Fragen, Dokumentation (12.05.,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</si>
  <si>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</si>
  <si>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</si>
  <si>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</si>
  <si>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</si>
  <si>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t>
  </si>
  <si>
    <t>4 TS</t>
  </si>
  <si>
    <t>PlayWork.pro (Rebeldex GmbH)</t>
  </si>
  <si>
    <t>https://www.playwork.pro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</si>
</sst>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rgb="FF000000"/>
      <name val="Arial"/>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249977111117893"/>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xf numFmtId="49" fontId="2" fillId="0" borderId="0" xfId="0" applyNumberFormat="1" applyFont="1" applyAlignment="1">
      <alignment horizontal="right"/>
    </xf>
    <xf numFmtId="0" fontId="3" fillId="0" borderId="0" xfId="0" applyFont="1"/>
    <xf numFmtId="49" fontId="5" fillId="0" borderId="0" xfId="1" applyNumberFormat="1" applyFont="1" applyAlignment="1">
      <alignment horizontal="left"/>
    </xf>
    <xf numFmtId="49" fontId="6" fillId="0" borderId="0" xfId="0" applyNumberFormat="1" applyFont="1" applyAlignment="1">
      <alignment horizontal="right"/>
    </xf>
    <xf numFmtId="49" fontId="6" fillId="0" borderId="0" xfId="0" applyNumberFormat="1" applyFont="1" applyAlignment="1">
      <alignment horizontal="left"/>
    </xf>
    <xf numFmtId="0" fontId="7" fillId="0" borderId="0" xfId="0" applyFont="1"/>
    <xf numFmtId="0" fontId="6" fillId="0" borderId="0" xfId="0" applyFont="1"/>
    <xf numFmtId="0" fontId="7" fillId="0" borderId="1" xfId="0" applyFont="1" applyBorder="1"/>
    <xf numFmtId="0" fontId="7" fillId="2" borderId="1" xfId="0" applyFont="1" applyFill="1" applyBorder="1" applyAlignment="1">
      <alignment horizontal="center" vertical="center"/>
    </xf>
    <xf numFmtId="0" fontId="8" fillId="0" borderId="0" xfId="0" applyFont="1"/>
    <xf numFmtId="0" fontId="7" fillId="0" borderId="1" xfId="0" applyFont="1" applyBorder="1" applyAlignment="1">
      <alignment wrapText="1"/>
    </xf>
    <xf numFmtId="0" fontId="7" fillId="0" borderId="1"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6" fillId="0" borderId="1" xfId="0" applyFont="1" applyBorder="1" applyAlignment="1">
      <alignment wrapText="1"/>
    </xf>
    <xf numFmtId="0" fontId="9" fillId="0" borderId="0" xfId="0" applyFont="1"/>
    <xf numFmtId="0" fontId="7" fillId="0" borderId="3" xfId="0" applyFont="1" applyBorder="1"/>
    <xf numFmtId="0" fontId="6" fillId="0" borderId="2" xfId="0" applyFont="1" applyBorder="1" applyAlignment="1">
      <alignment horizontal="center" vertical="center"/>
    </xf>
    <xf numFmtId="0" fontId="6" fillId="3" borderId="1" xfId="0" applyFont="1" applyFill="1" applyBorder="1" applyAlignment="1">
      <alignment horizontal="center" vertical="center"/>
    </xf>
    <xf numFmtId="0" fontId="6" fillId="2" borderId="2" xfId="0" applyFont="1" applyFill="1" applyBorder="1" applyAlignment="1">
      <alignment vertical="center"/>
    </xf>
    <xf numFmtId="0" fontId="6" fillId="2" borderId="2" xfId="0" applyFont="1" applyFill="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horizontal="center" vertical="center"/>
    </xf>
    <xf numFmtId="0" fontId="6" fillId="2" borderId="6" xfId="0" applyFont="1" applyFill="1" applyBorder="1" applyAlignment="1">
      <alignment vertical="center"/>
    </xf>
    <xf numFmtId="0" fontId="7" fillId="2" borderId="6" xfId="0" applyFont="1" applyFill="1" applyBorder="1" applyAlignment="1">
      <alignment horizontal="center" vertical="center"/>
    </xf>
    <xf numFmtId="0" fontId="10" fillId="0" borderId="0" xfId="0" applyFont="1"/>
    <xf numFmtId="0" fontId="6" fillId="0" borderId="1"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laywork.pro/"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928F-1338-CC44-B5AF-44073C19344B}">
  <dimension ref="A1:B996"/>
  <sheetViews>
    <sheetView tabSelected="1" zoomScale="130" zoomScaleNormal="130" workbookViewId="0">
      <pane ySplit="4" topLeftCell="A5" activePane="bottomLeft" state="frozen"/>
      <selection pane="bottomLeft" activeCell="E7" sqref="E7"/>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32</v>
      </c>
      <c r="B1" s="2" t="s">
        <v>0</v>
      </c>
    </row>
    <row r="2" spans="1:2" ht="15.75" customHeight="1" x14ac:dyDescent="0.2">
      <c r="A2" s="4" t="s">
        <v>33</v>
      </c>
      <c r="B2" s="5" t="s">
        <v>1</v>
      </c>
    </row>
    <row r="3" spans="1:2" ht="15.75" customHeight="1" x14ac:dyDescent="0.2">
      <c r="A3" s="7"/>
      <c r="B3" s="6"/>
    </row>
    <row r="4" spans="1:2" s="11" customFormat="1" ht="15.75" customHeight="1" x14ac:dyDescent="0.2">
      <c r="A4" s="9"/>
      <c r="B4" s="10" t="s">
        <v>2</v>
      </c>
    </row>
    <row r="5" spans="1:2" s="11" customFormat="1" ht="29" x14ac:dyDescent="0.2">
      <c r="A5" s="12" t="s">
        <v>3</v>
      </c>
      <c r="B5" s="13"/>
    </row>
    <row r="6" spans="1:2" s="11" customFormat="1" ht="56" x14ac:dyDescent="0.2">
      <c r="A6" s="15" t="s">
        <v>4</v>
      </c>
      <c r="B6" s="16">
        <v>2</v>
      </c>
    </row>
    <row r="7" spans="1:2" s="11" customFormat="1" ht="56" x14ac:dyDescent="0.2">
      <c r="A7" s="15" t="s">
        <v>5</v>
      </c>
      <c r="B7" s="16">
        <v>2.5</v>
      </c>
    </row>
    <row r="8" spans="1:2" s="11" customFormat="1" ht="15.75" customHeight="1" x14ac:dyDescent="0.2">
      <c r="A8" s="17" t="s">
        <v>2</v>
      </c>
      <c r="B8" s="18">
        <f>SUM(B5:B7)</f>
        <v>4.5</v>
      </c>
    </row>
    <row r="9" spans="1:2" s="11" customFormat="1" ht="14" x14ac:dyDescent="0.2">
      <c r="A9" s="19"/>
      <c r="B9" s="13"/>
    </row>
    <row r="10" spans="1:2" s="11" customFormat="1" x14ac:dyDescent="0.2">
      <c r="A10" s="12" t="s">
        <v>6</v>
      </c>
      <c r="B10" s="13"/>
    </row>
    <row r="11" spans="1:2" s="20" customFormat="1" ht="14" x14ac:dyDescent="0.2">
      <c r="A11" s="33" t="s">
        <v>30</v>
      </c>
      <c r="B11" s="16"/>
    </row>
    <row r="12" spans="1:2" s="11" customFormat="1" ht="15.75" customHeight="1" x14ac:dyDescent="0.2">
      <c r="A12" s="17" t="s">
        <v>2</v>
      </c>
      <c r="B12" s="18">
        <f>SUM(B10:B11)</f>
        <v>0</v>
      </c>
    </row>
    <row r="13" spans="1:2" s="11" customFormat="1" ht="15.75" customHeight="1" x14ac:dyDescent="0.2">
      <c r="A13" s="9"/>
      <c r="B13" s="13"/>
    </row>
    <row r="14" spans="1:2" s="11" customFormat="1" ht="15.75" customHeight="1" x14ac:dyDescent="0.2">
      <c r="A14" s="21" t="s">
        <v>7</v>
      </c>
      <c r="B14" s="14"/>
    </row>
    <row r="15" spans="1:2" s="20" customFormat="1" ht="70" x14ac:dyDescent="0.2">
      <c r="A15" s="15" t="s">
        <v>8</v>
      </c>
      <c r="B15" s="16">
        <v>1.5</v>
      </c>
    </row>
    <row r="16" spans="1:2" s="11" customFormat="1" ht="70" x14ac:dyDescent="0.2">
      <c r="A16" s="15" t="s">
        <v>9</v>
      </c>
      <c r="B16" s="23">
        <v>1.25</v>
      </c>
    </row>
    <row r="17" spans="1:2" s="20" customFormat="1" ht="70" x14ac:dyDescent="0.2">
      <c r="A17" s="15" t="s">
        <v>10</v>
      </c>
      <c r="B17" s="23">
        <v>1.75</v>
      </c>
    </row>
    <row r="18" spans="1:2" s="11" customFormat="1" ht="70" x14ac:dyDescent="0.2">
      <c r="A18" s="15" t="s">
        <v>11</v>
      </c>
      <c r="B18" s="23">
        <v>1.75</v>
      </c>
    </row>
    <row r="19" spans="1:2" s="20" customFormat="1" ht="84" x14ac:dyDescent="0.2">
      <c r="A19" s="15" t="s">
        <v>12</v>
      </c>
      <c r="B19" s="16">
        <v>3.5</v>
      </c>
    </row>
    <row r="20" spans="1:2" s="20" customFormat="1" ht="84" x14ac:dyDescent="0.2">
      <c r="A20" s="15" t="s">
        <v>13</v>
      </c>
      <c r="B20" s="16">
        <v>3.25</v>
      </c>
    </row>
    <row r="21" spans="1:2" s="11" customFormat="1" ht="15.75" customHeight="1" x14ac:dyDescent="0.2">
      <c r="A21" s="24" t="s">
        <v>2</v>
      </c>
      <c r="B21" s="25">
        <f>SUM(B15:B20)</f>
        <v>13</v>
      </c>
    </row>
    <row r="22" spans="1:2" s="11" customFormat="1" ht="15.75" customHeight="1" x14ac:dyDescent="0.2">
      <c r="A22" s="26"/>
      <c r="B22" s="14"/>
    </row>
    <row r="23" spans="1:2" s="11" customFormat="1" ht="15.75" customHeight="1" x14ac:dyDescent="0.2">
      <c r="A23" s="9" t="s">
        <v>14</v>
      </c>
      <c r="B23" s="16"/>
    </row>
    <row r="24" spans="1:2" s="11" customFormat="1" ht="14" x14ac:dyDescent="0.2">
      <c r="A24" s="27"/>
      <c r="B24" s="22"/>
    </row>
    <row r="25" spans="1:2" s="11" customFormat="1" ht="108" customHeight="1" x14ac:dyDescent="0.2">
      <c r="A25" s="15" t="s">
        <v>15</v>
      </c>
      <c r="B25" s="16">
        <v>4</v>
      </c>
    </row>
    <row r="26" spans="1:2" s="11" customFormat="1" ht="96" customHeight="1" x14ac:dyDescent="0.2">
      <c r="A26" s="15" t="s">
        <v>16</v>
      </c>
      <c r="B26" s="16">
        <v>1.5</v>
      </c>
    </row>
    <row r="27" spans="1:2" s="11" customFormat="1" ht="96" customHeight="1" x14ac:dyDescent="0.2">
      <c r="A27" s="15" t="s">
        <v>17</v>
      </c>
      <c r="B27" s="16">
        <v>1.5</v>
      </c>
    </row>
    <row r="28" spans="1:2" s="11" customFormat="1" ht="96" customHeight="1" x14ac:dyDescent="0.2">
      <c r="A28" s="15" t="s">
        <v>18</v>
      </c>
      <c r="B28" s="16">
        <v>2.25</v>
      </c>
    </row>
    <row r="29" spans="1:2" s="11" customFormat="1" ht="15.75" customHeight="1" x14ac:dyDescent="0.2">
      <c r="A29" s="24" t="s">
        <v>2</v>
      </c>
      <c r="B29" s="25">
        <f>SUM(B23:B28)</f>
        <v>9.25</v>
      </c>
    </row>
    <row r="30" spans="1:2" s="11" customFormat="1" ht="14" x14ac:dyDescent="0.2">
      <c r="A30" s="27"/>
      <c r="B30" s="22"/>
    </row>
    <row r="31" spans="1:2" s="11" customFormat="1" ht="15.75" customHeight="1" x14ac:dyDescent="0.2">
      <c r="A31" s="9" t="s">
        <v>19</v>
      </c>
      <c r="B31" s="16"/>
    </row>
    <row r="32" spans="1:2" s="11" customFormat="1" ht="42" x14ac:dyDescent="0.2">
      <c r="A32" s="15" t="s">
        <v>20</v>
      </c>
      <c r="B32" s="16">
        <v>0.5</v>
      </c>
    </row>
    <row r="33" spans="1:2" s="11" customFormat="1" ht="56" x14ac:dyDescent="0.2">
      <c r="A33" s="15" t="s">
        <v>21</v>
      </c>
      <c r="B33" s="16">
        <v>0.25</v>
      </c>
    </row>
    <row r="34" spans="1:2" s="11" customFormat="1" ht="56" x14ac:dyDescent="0.2">
      <c r="A34" s="15" t="s">
        <v>22</v>
      </c>
      <c r="B34" s="16">
        <v>2</v>
      </c>
    </row>
    <row r="35" spans="1:2" ht="28" x14ac:dyDescent="0.2">
      <c r="A35" s="15" t="s">
        <v>23</v>
      </c>
      <c r="B35" s="16">
        <v>0.5</v>
      </c>
    </row>
    <row r="36" spans="1:2" ht="42" x14ac:dyDescent="0.2">
      <c r="A36" s="15" t="s">
        <v>24</v>
      </c>
      <c r="B36" s="16">
        <v>1.25</v>
      </c>
    </row>
    <row r="37" spans="1:2" ht="28" x14ac:dyDescent="0.2">
      <c r="A37" s="15" t="s">
        <v>25</v>
      </c>
      <c r="B37" s="16">
        <v>0.25</v>
      </c>
    </row>
    <row r="38" spans="1:2" s="11" customFormat="1" ht="28" x14ac:dyDescent="0.2">
      <c r="A38" s="15" t="s">
        <v>26</v>
      </c>
      <c r="B38" s="16">
        <v>2</v>
      </c>
    </row>
    <row r="39" spans="1:2" s="11" customFormat="1" ht="15.75" customHeight="1" x14ac:dyDescent="0.2">
      <c r="A39" s="17" t="s">
        <v>2</v>
      </c>
      <c r="B39" s="18">
        <f>SUM(B31:B38)</f>
        <v>6.75</v>
      </c>
    </row>
    <row r="40" spans="1:2" s="11" customFormat="1" ht="14" x14ac:dyDescent="0.2">
      <c r="A40" s="28"/>
      <c r="B40" s="29"/>
    </row>
    <row r="41" spans="1:2" s="11" customFormat="1" ht="16.5" customHeight="1" thickBot="1" x14ac:dyDescent="0.25">
      <c r="A41" s="30" t="s">
        <v>27</v>
      </c>
      <c r="B41" s="31">
        <f>SUM(B8+B12+B21+B29+B39)</f>
        <v>33.5</v>
      </c>
    </row>
    <row r="42" spans="1:2" s="11" customFormat="1" ht="16.5" customHeight="1" thickBot="1" x14ac:dyDescent="0.25">
      <c r="A42" s="30" t="s">
        <v>28</v>
      </c>
      <c r="B42" s="31" t="s">
        <v>31</v>
      </c>
    </row>
    <row r="43" spans="1:2" ht="15.75" customHeight="1" x14ac:dyDescent="0.2">
      <c r="A43" s="8"/>
      <c r="B43" s="8"/>
    </row>
    <row r="44" spans="1:2" ht="15.75" customHeight="1" x14ac:dyDescent="0.2">
      <c r="A44" s="32" t="s">
        <v>29</v>
      </c>
      <c r="B44" s="8"/>
    </row>
    <row r="45" spans="1:2" ht="15.75" customHeight="1" x14ac:dyDescent="0.2">
      <c r="A45" s="8"/>
      <c r="B45" s="8"/>
    </row>
    <row r="46" spans="1:2" ht="15.75" customHeight="1" x14ac:dyDescent="0.2">
      <c r="A46" s="8"/>
      <c r="B46" s="8"/>
    </row>
    <row r="47" spans="1:2" ht="15.75" customHeight="1" x14ac:dyDescent="0.2">
      <c r="A47" s="8"/>
      <c r="B47" s="8"/>
    </row>
    <row r="48" spans="1:2" ht="15.75" customHeight="1" x14ac:dyDescent="0.2">
      <c r="A48" s="8"/>
      <c r="B48" s="8"/>
    </row>
    <row r="49" spans="1:2" ht="15.75" customHeight="1" x14ac:dyDescent="0.2">
      <c r="A49" s="8"/>
      <c r="B49" s="8"/>
    </row>
    <row r="50" spans="1:2" ht="15.75" customHeight="1" x14ac:dyDescent="0.2">
      <c r="A50" s="8"/>
      <c r="B50" s="8"/>
    </row>
    <row r="51" spans="1:2" ht="15.75" customHeight="1" x14ac:dyDescent="0.2">
      <c r="A51" s="8"/>
      <c r="B51" s="8"/>
    </row>
    <row r="52" spans="1:2" ht="15.75" customHeight="1" x14ac:dyDescent="0.2">
      <c r="A52" s="8"/>
      <c r="B52" s="8"/>
    </row>
    <row r="53" spans="1:2" ht="15.75" customHeight="1" x14ac:dyDescent="0.2">
      <c r="A53" s="8"/>
      <c r="B53" s="8"/>
    </row>
    <row r="54" spans="1:2" ht="15.75" customHeight="1" x14ac:dyDescent="0.2">
      <c r="A54" s="8"/>
      <c r="B54" s="8"/>
    </row>
    <row r="55" spans="1:2" ht="15.75" customHeight="1" x14ac:dyDescent="0.2">
      <c r="A55" s="8"/>
      <c r="B55" s="8"/>
    </row>
    <row r="56" spans="1:2" ht="15.75" customHeight="1" x14ac:dyDescent="0.2">
      <c r="A56" s="8"/>
      <c r="B56" s="8"/>
    </row>
    <row r="57" spans="1:2" ht="15.75" customHeight="1" x14ac:dyDescent="0.2">
      <c r="A57" s="8"/>
      <c r="B57" s="8"/>
    </row>
    <row r="58" spans="1:2" ht="15.75" customHeight="1" x14ac:dyDescent="0.2">
      <c r="A58" s="8"/>
      <c r="B58" s="8"/>
    </row>
    <row r="59" spans="1:2" ht="15.75" customHeight="1" x14ac:dyDescent="0.2">
      <c r="A59" s="8"/>
      <c r="B59" s="8"/>
    </row>
    <row r="60" spans="1:2" ht="15.75" customHeight="1" x14ac:dyDescent="0.2">
      <c r="A60" s="8"/>
      <c r="B60" s="8"/>
    </row>
    <row r="61" spans="1:2" ht="15.75" customHeight="1" x14ac:dyDescent="0.2">
      <c r="A61" s="8"/>
      <c r="B61" s="8"/>
    </row>
    <row r="62" spans="1:2" ht="15.75" customHeight="1" x14ac:dyDescent="0.2">
      <c r="A62" s="8"/>
      <c r="B62" s="8"/>
    </row>
    <row r="63" spans="1:2" ht="15.75" customHeight="1" x14ac:dyDescent="0.2">
      <c r="A63" s="8"/>
      <c r="B63" s="8"/>
    </row>
    <row r="64" spans="1:2" ht="15.75" customHeight="1" x14ac:dyDescent="0.2">
      <c r="A64" s="8"/>
      <c r="B64" s="8"/>
    </row>
    <row r="65" spans="1:2" ht="15.75" customHeight="1" x14ac:dyDescent="0.2">
      <c r="A65" s="8"/>
      <c r="B65" s="8"/>
    </row>
    <row r="66" spans="1:2" ht="15.75" customHeight="1" x14ac:dyDescent="0.2">
      <c r="A66" s="8"/>
      <c r="B66" s="8"/>
    </row>
    <row r="67" spans="1:2" ht="15.75" customHeight="1" x14ac:dyDescent="0.2">
      <c r="A67" s="8"/>
      <c r="B67" s="8"/>
    </row>
    <row r="68" spans="1:2" ht="15.75" customHeight="1" x14ac:dyDescent="0.2">
      <c r="A68" s="8"/>
      <c r="B68" s="8"/>
    </row>
    <row r="69" spans="1:2" ht="15.75" customHeight="1" x14ac:dyDescent="0.2">
      <c r="A69" s="8"/>
      <c r="B69" s="8"/>
    </row>
    <row r="70" spans="1:2" ht="15.75" customHeight="1" x14ac:dyDescent="0.2">
      <c r="A70" s="8"/>
      <c r="B70" s="8"/>
    </row>
    <row r="71" spans="1:2" ht="15.75" customHeight="1" x14ac:dyDescent="0.2">
      <c r="A71" s="8"/>
      <c r="B71" s="8"/>
    </row>
    <row r="72" spans="1:2" ht="15.75" customHeight="1" x14ac:dyDescent="0.2">
      <c r="A72" s="8"/>
      <c r="B72" s="8"/>
    </row>
    <row r="73" spans="1:2" ht="15.75" customHeight="1" x14ac:dyDescent="0.2">
      <c r="A73" s="8"/>
      <c r="B73" s="8"/>
    </row>
    <row r="74" spans="1:2" ht="15.75" customHeight="1" x14ac:dyDescent="0.2">
      <c r="A74" s="8"/>
      <c r="B74" s="8"/>
    </row>
    <row r="75" spans="1:2" ht="15.75" customHeight="1" x14ac:dyDescent="0.2">
      <c r="A75" s="8"/>
      <c r="B75" s="8"/>
    </row>
    <row r="76" spans="1:2" ht="15.75" customHeight="1" x14ac:dyDescent="0.2">
      <c r="A76" s="8"/>
      <c r="B76" s="8"/>
    </row>
    <row r="77" spans="1:2" ht="15.75" customHeight="1" x14ac:dyDescent="0.2">
      <c r="A77" s="8"/>
      <c r="B77" s="8"/>
    </row>
    <row r="78" spans="1:2" ht="15.75" customHeight="1" x14ac:dyDescent="0.2">
      <c r="A78" s="8"/>
      <c r="B78" s="8"/>
    </row>
    <row r="79" spans="1:2" ht="15.75" customHeight="1" x14ac:dyDescent="0.2">
      <c r="A79" s="8"/>
      <c r="B79" s="8"/>
    </row>
    <row r="80" spans="1:2" ht="15.75" customHeight="1" x14ac:dyDescent="0.2">
      <c r="A80" s="8"/>
      <c r="B80" s="8"/>
    </row>
    <row r="81" spans="1:2" ht="15.75" customHeight="1" x14ac:dyDescent="0.2">
      <c r="A81" s="8"/>
      <c r="B81" s="8"/>
    </row>
    <row r="82" spans="1:2" ht="15.75" customHeight="1" x14ac:dyDescent="0.2">
      <c r="A82" s="8"/>
      <c r="B82" s="8"/>
    </row>
    <row r="83" spans="1:2" ht="15.75" customHeight="1" x14ac:dyDescent="0.2">
      <c r="A83" s="8"/>
      <c r="B83" s="8"/>
    </row>
    <row r="84" spans="1:2" ht="15.75" customHeight="1" x14ac:dyDescent="0.2">
      <c r="A84" s="8"/>
      <c r="B84" s="8"/>
    </row>
    <row r="85" spans="1:2" ht="15.75" customHeight="1" x14ac:dyDescent="0.2">
      <c r="A85" s="8"/>
      <c r="B85" s="8"/>
    </row>
    <row r="86" spans="1:2" ht="15.75" customHeight="1" x14ac:dyDescent="0.2">
      <c r="A86" s="8"/>
      <c r="B86" s="8"/>
    </row>
    <row r="87" spans="1:2" ht="15.75" customHeight="1" x14ac:dyDescent="0.2">
      <c r="A87" s="8"/>
      <c r="B87" s="8"/>
    </row>
    <row r="88" spans="1:2" ht="15.75" customHeight="1" x14ac:dyDescent="0.2">
      <c r="A88" s="8"/>
      <c r="B88" s="8"/>
    </row>
    <row r="89" spans="1:2" ht="15.75" customHeight="1" x14ac:dyDescent="0.2">
      <c r="A89" s="8"/>
      <c r="B89" s="8"/>
    </row>
    <row r="90" spans="1:2" ht="15.75" customHeight="1" x14ac:dyDescent="0.2">
      <c r="A90" s="8"/>
      <c r="B90" s="8"/>
    </row>
    <row r="91" spans="1:2" ht="15.75" customHeight="1" x14ac:dyDescent="0.2">
      <c r="A91" s="8"/>
      <c r="B91" s="8"/>
    </row>
    <row r="92" spans="1:2" ht="15.75" customHeight="1" x14ac:dyDescent="0.2">
      <c r="A92" s="8"/>
      <c r="B92" s="8"/>
    </row>
    <row r="93" spans="1:2" ht="15.75" customHeight="1" x14ac:dyDescent="0.2">
      <c r="A93" s="8"/>
      <c r="B93" s="8"/>
    </row>
    <row r="94" spans="1:2" ht="15.75" customHeight="1" x14ac:dyDescent="0.2">
      <c r="A94" s="8"/>
      <c r="B94" s="8"/>
    </row>
    <row r="95" spans="1:2" ht="15.75" customHeight="1" x14ac:dyDescent="0.2">
      <c r="A95" s="8"/>
      <c r="B95" s="8"/>
    </row>
    <row r="96" spans="1:2" ht="15.75" customHeight="1" x14ac:dyDescent="0.2">
      <c r="A96" s="8"/>
      <c r="B96" s="8"/>
    </row>
    <row r="97" spans="1:2" ht="15.75" customHeight="1" x14ac:dyDescent="0.2">
      <c r="A97" s="8"/>
      <c r="B97" s="8"/>
    </row>
    <row r="98" spans="1:2" ht="15.75" customHeight="1" x14ac:dyDescent="0.2">
      <c r="A98" s="8"/>
      <c r="B98" s="8"/>
    </row>
    <row r="99" spans="1:2" ht="15.75" customHeight="1" x14ac:dyDescent="0.2">
      <c r="A99" s="8"/>
      <c r="B99" s="8"/>
    </row>
    <row r="100" spans="1:2" ht="15.75" customHeight="1" x14ac:dyDescent="0.2">
      <c r="A100" s="8"/>
      <c r="B100" s="8"/>
    </row>
    <row r="101" spans="1:2" ht="15.75" customHeight="1" x14ac:dyDescent="0.2">
      <c r="A101" s="8"/>
      <c r="B101" s="8"/>
    </row>
    <row r="102" spans="1:2" ht="15.75" customHeight="1" x14ac:dyDescent="0.2">
      <c r="A102" s="8"/>
      <c r="B102" s="8"/>
    </row>
    <row r="103" spans="1:2" ht="15.75" customHeight="1" x14ac:dyDescent="0.2">
      <c r="A103" s="8"/>
      <c r="B103" s="8"/>
    </row>
    <row r="104" spans="1:2" ht="15.75" customHeight="1" x14ac:dyDescent="0.2">
      <c r="A104" s="8"/>
      <c r="B104" s="8"/>
    </row>
    <row r="105" spans="1:2" ht="15.75" customHeight="1" x14ac:dyDescent="0.2">
      <c r="A105" s="8"/>
      <c r="B105" s="8"/>
    </row>
    <row r="106" spans="1:2" ht="15.75" customHeight="1" x14ac:dyDescent="0.2">
      <c r="A106" s="8"/>
      <c r="B106" s="8"/>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sheetData>
  <hyperlinks>
    <hyperlink ref="A44" r:id="rId1" display="https://www.thoxan.com/kontakt/" xr:uid="{1EA60D6D-84AB-C14B-A012-9780F55E7336}"/>
    <hyperlink ref="A2" r:id="rId2" xr:uid="{A12783FE-D5A4-D94C-A0AE-C1AC3C6CCA6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PWP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2025-06-29T11:13:49Z</dcterms:created>
  <dcterms:modified xsi:type="dcterms:W3CDTF">2025-06-29T11:16:02Z</dcterms:modified>
</cp:coreProperties>
</file>