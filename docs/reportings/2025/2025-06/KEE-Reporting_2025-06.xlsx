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06/"/>
    </mc:Choice>
  </mc:AlternateContent>
  <xr:revisionPtr revIDLastSave="0" documentId="8_{E8F56016-971B-6E46-BDA0-9DB14A912825}" xr6:coauthVersionLast="47" xr6:coauthVersionMax="47" xr10:uidLastSave="{00000000-0000-0000-0000-000000000000}"/>
  <bookViews>
    <workbookView xWindow="12340" yWindow="760" windowWidth="36420" windowHeight="26600" xr2:uid="{01D383D8-82E0-9744-84F3-FE9D23C9E39F}"/>
  </bookViews>
  <sheets>
    <sheet name="KE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2" i="1" l="1"/>
  <c r="B81" i="1"/>
  <c r="B76" i="1"/>
  <c r="B70" i="1"/>
  <c r="B66" i="1"/>
  <c r="B61" i="1"/>
  <c r="B53" i="1"/>
  <c r="B30" i="1"/>
  <c r="B13" i="1"/>
  <c r="B7" i="1"/>
  <c r="B94" i="1" l="1"/>
</calcChain>
</file>

<file path=xl/sharedStrings.xml><?xml version="1.0" encoding="utf-8"?>
<sst xmlns="http://schemas.openxmlformats.org/spreadsheetml/2006/main" count="88" uniqueCount="78">
  <si>
    <t>keeunit GmbH</t>
  </si>
  <si>
    <t>2. Quartal 2025</t>
  </si>
  <si>
    <t>https://keelearning.de</t>
  </si>
  <si>
    <t>Monatliche Optimierung</t>
  </si>
  <si>
    <t>Aufwand ca. in Std.</t>
  </si>
  <si>
    <t>1. Linkaufbau, Linkabbau, Online-PR</t>
  </si>
  <si>
    <t>---</t>
  </si>
  <si>
    <t>2. Redaktionelle Arbeiten</t>
  </si>
  <si>
    <t>Kompakte Textoptimierung Unterseite Produkt- und Vertriebsschulung: Abstimmung, Briefing und Textoptimierung für bestehende Inhalte, Überarbeitung des Bestandstexts und Texterweiterung, Keyword-Optimierung nach WDF*IDF, Ergänzungen und kl. Anpassungen, Lektorat und finale Bearbeitung, Versand an Kunden und Dokumentation (10.05., GBO)</t>
  </si>
  <si>
    <t>Kompakte Textoptimierung Unterseite Kursbibliothek: Abstimmung, Briefing und Textoptimierung für bestehende Inhalte, Überarbeitung des Bestandstexts und Texterweiterung, Keyword-Optimierung nach WDF*IDF, Ergänzungen und kl. Anpassungen, Lektorat und finale Bearbeitung, Versand an Kunden und Dokumentation (12.-16.06., GBO, TKI)</t>
  </si>
  <si>
    <t>Finale Anpassungen Unterseite Kursbibliothek, Abstimmung (17.06., GBO)</t>
  </si>
  <si>
    <t>3. Website-Pflege, Content Management</t>
  </si>
  <si>
    <t>Einstellen der Referenz Blume 2000 auf der Website für Anleitungsvideo, kl. Anpassungen Bild- und Logobearbeitung, Dokumentation der Vorgehensweise, Abstimmung (12.-13.05., TKI)</t>
  </si>
  <si>
    <t>Weitere Spitzenstellungsbehauptungen (beste, Netflix, etc.) auf der Website prüfen, Abstimmung und Dokumentation (13.05., TKI)</t>
  </si>
  <si>
    <t>Weitere Anpassungen im Referenzenbereich, Einrichten der Kategorien, verschiedene Grids und Störer anlegen zur Integration auf Unterseiten, Seitenaufbau anpassen, Abstimmung und Dokumentation (13.05., TKI)</t>
  </si>
  <si>
    <t>Weitere Recherche nach kostenlos/e und "kostenlose Kursbibliothek", Abstimmung, Prüfung einzelner Unterseiten und Auflistung der betroffenen Stellen, neuer Titel vergeben, erneute Indexierung Search Console sowie BING Webmaster Tools, kl. Anpassungen und Dokumentation (16.05., TKI)</t>
  </si>
  <si>
    <t>Einpflegen weiterer 7 Kurse mit gelieferten Texten, Imagebildern und Videos in die Kursbibliothek (26.-27.05., TKI)</t>
  </si>
  <si>
    <t>Finale Anpassungen der 14 Kurse in der Kursbibliothek, Einbau der neuen Trailer und Vorschaubilder, Umbau der Hauptsseite, Anpassung der URL-Struktur und finale Bearbeitung für den Online-Gang, Abstimmung und Dokumentation (30.05., TKI)</t>
  </si>
  <si>
    <t>Durchsicht der umgebauten Unterseiten und der noch offenen Unterseiten (Classic-Editor) im WordPress-Backend, Abgleich der geplanten Textarbeiten und Dokumentation in der Excel-Liste, kl. Anpassungen und Abstimmung der nächsten Schritte (01.06., TKI)</t>
  </si>
  <si>
    <t>Umbau weiterer Dankeseiten, Löschen der Suche und von unnötigen Zwischenseiten, Zusammenlegen FAQ + E-Learning, kl. Anpassungen, Abstimmung und Dokumentation (02.06., TKI)</t>
  </si>
  <si>
    <t>Umbau Admin-Schulung und Support, kl. Anpassungen (02.06., TKI)</t>
  </si>
  <si>
    <t>Support und kl. Anpassungen Brandschutz-Kurs, Abstimmung und Dokumentation (12.-13.06., TKI)</t>
  </si>
  <si>
    <t>Umbau E-Learning-Plattform, Aufbau der neuen Seite mit abwechslungs-reichen Text- und Seitenelementen, Störern, Absätzen, Fotos, etc., Strukturierung der Absätze und einheitliche Formatierung der Inhalte, Bildbearbeitung und -integration, kl. Anpassungen und Dokumentation (15.-16.06., TKI)</t>
  </si>
  <si>
    <t>Umbau E-Learning-Tool, Aufbau der neuen Seite mit abwechslungs-reichen Text- und Seitenelementen, Störern, Absätzen, Fotos, etc., Strukturierung der Absätze und einheitliche Formatierung der Inhalte, Bildbearbeitung und -integration, kl. Anpassungen und Dokumentation (15.-16.06., TKI)</t>
  </si>
  <si>
    <t>Umbau E-Learning-Software, Aufbau der neuen Seite mit abwechslungs-reichen Text- und Seitenelementen, Störern, Absätzen, Fotos, etc., Strukturierung der Absätze und einheitliche Formatierung der Inhalte, Bildbearbeitung und -integration, kl. Anpassungen und Dokumentation (16.-17.06., TKI)</t>
  </si>
  <si>
    <t>Recherche und Prüfung, weitere "Kostenlos"-Formulierungen für die Kursbibliothek auf der Website entfernen, Abstimmung und Dokumentation (18.-19.06., GBO, BKO)</t>
  </si>
  <si>
    <r>
      <t xml:space="preserve">4. Website-Umbau aufs neue System </t>
    </r>
    <r>
      <rPr>
        <b/>
        <sz val="10"/>
        <color rgb="FFFF0000"/>
        <rFont val="Arial"/>
        <family val="2"/>
      </rPr>
      <t>// separate Abrechnung</t>
    </r>
  </si>
  <si>
    <t>Umbau der gesamten Infothek und von insgesamt 15 Einträgen, einheitliche Struktur für Umstellung auf Lightbox, Definiertion von festen Feldern, Umbau der Javascript-Codes für Öffnung in Lightbox und per Direktlink, inkl. kleinerer Programmierarbeitt, Abstimmung und ausführliche Dokumentation per Video Frontend und Backend (12.-13.05., TKI, BKO)</t>
  </si>
  <si>
    <t>Planung der Umbaumaßnehmen in einem separaten Board, interne Abstimmung und Briefing für Monika und Benny, Verlinkung und Priorisierung einzelner Tickets, kl. Anpassungen und Dokumentation (14.-15.05., TKI)</t>
  </si>
  <si>
    <t>Umbau 27 keelearning.de/frontline-worker-software/ (20.05., BKO)</t>
  </si>
  <si>
    <t>Umbau 06 keelearning.de/funktionen/blended-learning/ (20.05., BKO)</t>
  </si>
  <si>
    <t>Einpflegen der Unterseite "Mitarbeiterschulung" nach Textoptimierung als Vorlage für weitere "Use Cases": Aufbau der Seite mit abwechslungsreichen Text- und Seitenelementen, Störern, Absätzen, Fotos, etc., Strukturierung der Absätze und einheitliche Formatierung der Inhalte, Bildbearbeitung und -integration, kl. Anpassungen und Dokumentation (21.05., TKI, BKO)</t>
  </si>
  <si>
    <t>Umbau von Funktionsseiten + Unternehmen, kl. Anpassungen, Abstimmung und Dokumentation (Co-Working-Tag 9-13, 14-18 Uhr), anteilige Zeiten Thomas (21.05., TKI)</t>
  </si>
  <si>
    <t>Umbau weiterer Funktionsseiten, kl. Anpassungen, Abstimmung und Dokumentation (Co-Working-Tag 14-18 Uhr), anteilige Zeiten Monika (21.05., MGO)</t>
  </si>
  <si>
    <t>Umbau Funktionsübersicht, Grid-Filterung, kl. Anpassungen am Template und CSS, Abstimmung und Dokumentation (21.05., BKO)</t>
  </si>
  <si>
    <t>Technischer Support beim Umbau weiterer Unterseiten, CSS-Anpassungen, Seitenelemente optimieren, Abstimmung (Co-Working 9-13, 14-18 Uhr), anteilige Zeiten Benny (21.05., BKO)</t>
  </si>
  <si>
    <t>Einpflegen der Unterseiten Managed Services und Schnittstellen/Integration sowie entsprechende Erweiterung, Abstimmung und Dokumentation (22.05., TKI)</t>
  </si>
  <si>
    <t>Standard Seiten umbauen im Kontaktbereich, div. Anpassungen, Abstimmung und Support (23.05., BKO)</t>
  </si>
  <si>
    <t>Anpassungen Schnitstellen/integrationen, Anlegen von einzelnen Lightbox-Elementen, Umbau von zwei Kursen, Abstimmung zu Kursen und zur Kursbibliothek, Prüfung und Ticket-Management für weitere, umgebaute Unterseiten (23.05., TKI)</t>
  </si>
  <si>
    <t>Umbau von vier weiteren Kursen auf Basis bisheriger Landingpages für die Kursbibliothek, Abstimmung und Dokumentation (26.05., TKI)</t>
  </si>
  <si>
    <t>Umbau von weiteren Funktionsseiten, kl. Anpassungen, Abstimmung (27.05., MGO)</t>
  </si>
  <si>
    <t>Finale Bearbeitung von Funktionsseiten, Kundenschulung, Umbau Reseller und Mobile LMS Landingpage, kl. Anpassungen, Abstimmung und Dokumentation (27.05., TKI)</t>
  </si>
  <si>
    <t>Umbau von zwei Use Cases, kl. Anpassungen, Abstimmung (28.05., MGO)</t>
  </si>
  <si>
    <t>Finale Abstimmung und Bearbeitung Kundenschulung, finale Bearbeitung Produkt- und Vertriebsschulung, interne Abstimmung und Klärung wegen Kundenstimmen / Kundenstimmen (alt), Umbau der Kundenstimmen aus Bewertungsplattformen (beispielhaft), Umbau der Landingpage Compliance-Schulungen (28.05., TKI)</t>
  </si>
  <si>
    <t>Integration der Bewertungsplattform-Kundenstimmen auf allen Funktionsseiten in einem wiederverwendbaren Block, Umbau der Landingpage Online-Sicherheitsunterweisungen, Vereinheitlichung und Bildbearbeitung aller Kundenstimmen, kl. Anpassungen, Abstimmung und Dokumentation (29.05., TKI)</t>
  </si>
  <si>
    <t>Weiterer Umbau von Landingpages und Use Cases, kl. Anpassungen, Abstimmung (30.05., MGO)</t>
  </si>
  <si>
    <t>Finale Bearbeitung von div. Use Cases und Landingpages, weitere Anpassungen auf Kundenwunsch, Bildbearbeitung und Korrekturen, kl. Anpassungen an bestehenden Unterseiten, Anpassung Kundenstimmen, Zusammenlegen und Löschen von Unterseiten, Abstimmung und Dokumentation (30.05., TKI)</t>
  </si>
  <si>
    <r>
      <t xml:space="preserve">Aufwand ca. in Std. </t>
    </r>
    <r>
      <rPr>
        <sz val="10"/>
        <color rgb="FFFF0000"/>
        <rFont val="Arial"/>
        <family val="2"/>
      </rPr>
      <t>// Kalkulation 4 bis max. 5 Tagessätze (32-45 Std.)</t>
    </r>
  </si>
  <si>
    <t>5. Technische Arbeiten, UX-Optimierung, ggf. Programmierung</t>
  </si>
  <si>
    <t>Prüfung Conversion-Tracking und abweichende Besucherzahlen in Analytics (April 2025), ggf. wegen Verbindung zu Hubspot Tracking-Vorlagen, Abstimmung und Dokumentation (08.05., BKO, TKI)</t>
  </si>
  <si>
    <t>UX-/ Grundaufbau Kursbibliothek (21.05., BKO, TKI)</t>
  </si>
  <si>
    <t>Custom Post Type für Kurse, am Beispiel Arbeitssicherheit (21.05., BKO, TKI)</t>
  </si>
  <si>
    <t>Custom Post Type für Integrationen, am Beispiel Zapier (23.05., BKO, TKI)</t>
  </si>
  <si>
    <t>Weitere UX-Optimierung für Kursbibliothek und einzelne Kurs-Lightboxen direkt im System, Programmierarbeiten, Bildbearbeitung, kl. Anpassungen, Abstimmung und Dokumentation (02.-29.06., BKO, TKI)</t>
  </si>
  <si>
    <t>6. Onpage-Optimierung, Keyword-Optimierung, etc.</t>
  </si>
  <si>
    <t xml:space="preserve">404-Fehler (fortlaufend): Durchsicht neuer 404-Fehler im Redirection-Plugin, Sortieren und Löschen von unerheblichen 404-Fehlermeldungen und Weiterleitungsmustern, Anpassen der internen Verlinkung, Setzen von 301-Weiterleitungen für wichtige Unterseiten und Seitenelemente, Übergabe von möglichen 404-Fehlermustern an die Programmierung, kl. Anpassungen an der Website, Dokumentation und Abstimmung (21.05.-.1.06., TKI) </t>
  </si>
  <si>
    <t>Wiederholte Prüfungen und kl. Anpassungen (Indexierung, Deindexierung) in der Search Console zur Bereinigung des Suchindexes, Abstimmung und Dokumentation (21.05.-02.06, 12.06., TKI)</t>
  </si>
  <si>
    <t>7. Grafikdesign, Creatives, Corporate Design</t>
  </si>
  <si>
    <t>8. Google Ads (Monitoring, Kampagnen umbauen, etc.)</t>
  </si>
  <si>
    <t>Google Ads (Monitoring Mai 2025):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(01.-31.05., JST, TKI)</t>
  </si>
  <si>
    <t>Sichtung der Seitenstruktur und Abgleich mit der Planung für Textoptimierungen, Abstimmung und Dokumentation der nächsten Schritte per Video an Gaby und Norma, anschließend Prüfung der Keyword-Analyse und Strukturierung der Cluster nach Kampagnen und Anzeigengruppen für Google Ads, Ausschließen von unpassenden Begriffen / Clustern und Sortierung für eine erweiterte Kampagnenstruktur, Abstimmung und Dokumentation für Jonas und Norma per Video / Excel (17.06., TKI)</t>
  </si>
  <si>
    <t>Google Ads (Monitoring Juni 2024):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(01.-30.06., JST, TKI)</t>
  </si>
  <si>
    <t>9. Social Ads (Monitoring, Kampagnen, etc.)</t>
  </si>
  <si>
    <t>Social Ads (Monitoring Mai 2025): Monatliches Monitoring der Werbe-kampagnen bei Facebook und Instagram, Anpassen der Werbeanzeigen, Verfeinern der Zielgruppe, kl. Arbeiten am Werbekonto, Abstimmung und Dokumentation (01.-31.05., JST, TKI)</t>
  </si>
  <si>
    <t>Social Ads (Monitoring Juni 2025): Monatliches Monitoring der Werbe-kampagnen bei Facebook und Instagram, Anpassen der Werbeanzeigen, Verfeinern der Zielgruppe, kl. Arbeiten am Werbekonto, Abstimmung und Dokumentation (01.-30.06., JST, TKI)</t>
  </si>
  <si>
    <t>10. Beratung &amp; Sonstiges</t>
  </si>
  <si>
    <t>Vorbereitung und virtuelle Abstimmung zur weitere Zusammenarbeit, Vorgehensweise Seitenumbau und Priorisierung, Klärung von div. Fragen 11-11:45 Uhr, anschließend Dokumentation und interne Abstimmung für die nächsten Maßnahmen (08.05., TKI)</t>
  </si>
  <si>
    <t>Kurze Prüfung des Ad2.0 Avertorial Angebots, Abstimmung und Dokumentation (13.05., TKI)</t>
  </si>
  <si>
    <t>Abstimmung zur weiteren Vorgehensweise, Schwerpunkte im Bereich Marketing-Automation, Klären von div. Fragen 12.30-13.00 Uhr (27.05., TKI) // o. Berechnung</t>
  </si>
  <si>
    <t>Sichtung der Funnel-Texte, Rausziehen der Demo-Texte und erste Überarbeitung, alternative Textvariante für erste E-Mail, Abstimmung und Dokumentation (01.-02.06., TKI)</t>
  </si>
  <si>
    <t>Abstimmung zur Bewerbung von Lead-Magneten sowie zur inhaltlichen Richtung der Creatives sowie anschließender Funnel-Texte (Hubspot) entlang der Systemlösung, Vorgehensweise abgestimmt (03.06., TKI)</t>
  </si>
  <si>
    <t>Kurze Abstimmung zur Vorgehensweise Google Ads, Social Ads, Umbau Landingpages, Umsetzung Funnel für Lead-Magnete, Zeitplanung, Klären von div. Fragen 11:20-11:40 Uhr (13.06., TKI)</t>
  </si>
  <si>
    <t>Konzeption Marketing-Automation, Funnel-Systematik gemeinsam erarbeiten, Klassifizierung von Lead-Stufen und Abgleich CRM, Ausarbeitung Kommunikationskonzept für Touchpoints, etc., div. (auch interne) Abstimmung, Planung und Dokumentation (03.-16.06., GBO, TKI)</t>
  </si>
  <si>
    <t>Organisation, Planung, Überwachung und Steuerung der Aufgaben und Ressourcen (pro Tagessatz ca. 0,5 Std., TKI)</t>
  </si>
  <si>
    <t>Aufwand ca. insgesamt in Std.</t>
  </si>
  <si>
    <t>Aufwand in Tagessätzen</t>
  </si>
  <si>
    <t>7,5 Tagessätze</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</si>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</sst>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FF0000"/>
      <name val="Arial"/>
      <family val="2"/>
    </font>
    <font>
      <sz val="10"/>
      <color theme="0" tint="-0.249977111117893"/>
      <name val="Arial"/>
      <family val="2"/>
    </font>
    <font>
      <b/>
      <sz val="10"/>
      <color rgb="FFFF0000"/>
      <name val="Arial"/>
      <family val="2"/>
    </font>
    <font>
      <sz val="10"/>
      <color rgb="FF808080"/>
      <name val="Arial"/>
      <family val="2"/>
    </font>
    <font>
      <b/>
      <sz val="10"/>
      <color theme="0" tint="-0.249977111117893"/>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42">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1" xfId="0" applyFont="1" applyBorder="1" applyAlignment="1">
      <alignment vertical="top" wrapText="1"/>
    </xf>
    <xf numFmtId="0" fontId="5" fillId="3" borderId="1" xfId="0" applyFont="1" applyFill="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4" xfId="0" applyFont="1" applyBorder="1" applyAlignment="1">
      <alignment vertical="center"/>
    </xf>
    <xf numFmtId="0" fontId="5" fillId="0" borderId="4" xfId="0" applyFont="1" applyBorder="1" applyAlignment="1">
      <alignment horizontal="center" vertical="center"/>
    </xf>
    <xf numFmtId="0" fontId="6" fillId="0" borderId="1" xfId="0" applyFont="1" applyBorder="1" applyAlignment="1">
      <alignment vertical="center"/>
    </xf>
    <xf numFmtId="0" fontId="5" fillId="0" borderId="1" xfId="0" applyFont="1" applyBorder="1" applyAlignment="1">
      <alignment vertical="center"/>
    </xf>
    <xf numFmtId="0" fontId="6" fillId="0" borderId="1" xfId="0" applyFont="1" applyBorder="1" applyAlignment="1">
      <alignment wrapText="1"/>
    </xf>
    <xf numFmtId="0" fontId="9" fillId="0" borderId="0" xfId="0" applyFont="1"/>
    <xf numFmtId="0" fontId="5" fillId="0" borderId="5" xfId="0" applyFont="1" applyBorder="1" applyAlignment="1">
      <alignment horizontal="center" vertical="center"/>
    </xf>
    <xf numFmtId="0" fontId="5" fillId="2" borderId="6" xfId="0" applyFont="1" applyFill="1" applyBorder="1" applyAlignment="1">
      <alignment vertical="center"/>
    </xf>
    <xf numFmtId="0" fontId="6" fillId="2" borderId="6" xfId="0" applyFont="1" applyFill="1" applyBorder="1" applyAlignment="1">
      <alignment horizontal="center" vertical="center"/>
    </xf>
    <xf numFmtId="0" fontId="11" fillId="0" borderId="0" xfId="0" applyFont="1"/>
    <xf numFmtId="0" fontId="12" fillId="0" borderId="0" xfId="0" quotePrefix="1" applyFont="1"/>
    <xf numFmtId="0" fontId="9" fillId="0" borderId="0" xfId="0" quotePrefix="1" applyFont="1"/>
    <xf numFmtId="0" fontId="5" fillId="0" borderId="1" xfId="0" applyFont="1" applyFill="1" applyBorder="1" applyAlignment="1">
      <alignment vertical="top" wrapText="1"/>
    </xf>
    <xf numFmtId="0" fontId="5" fillId="0" borderId="1" xfId="0" applyFont="1" applyFill="1" applyBorder="1" applyAlignment="1">
      <alignment horizontal="center" vertical="center"/>
    </xf>
    <xf numFmtId="0" fontId="7" fillId="0" borderId="0" xfId="0" applyFont="1" applyFill="1"/>
    <xf numFmtId="0" fontId="5" fillId="0" borderId="1" xfId="0" quotePrefix="1" applyFont="1" applyFill="1" applyBorder="1" applyAlignment="1">
      <alignmen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keelearning.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52081-A583-3841-914A-5573303620F3}">
  <dimension ref="A1:B1049"/>
  <sheetViews>
    <sheetView tabSelected="1" zoomScale="150" zoomScaleNormal="150" workbookViewId="0">
      <pane ySplit="4" topLeftCell="A5" activePane="bottomLeft" state="frozen"/>
      <selection pane="bottomLeft" activeCell="F91" sqref="F91"/>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20"/>
    </row>
    <row r="10" spans="1:2" s="11" customFormat="1" ht="84" x14ac:dyDescent="0.2">
      <c r="A10" s="13" t="s">
        <v>8</v>
      </c>
      <c r="B10" s="14">
        <v>0.25</v>
      </c>
    </row>
    <row r="11" spans="1:2" s="11" customFormat="1" ht="84" x14ac:dyDescent="0.2">
      <c r="A11" s="13" t="s">
        <v>9</v>
      </c>
      <c r="B11" s="14">
        <v>3.25</v>
      </c>
    </row>
    <row r="12" spans="1:2" s="11" customFormat="1" ht="28" x14ac:dyDescent="0.2">
      <c r="A12" s="13" t="s">
        <v>10</v>
      </c>
      <c r="B12" s="14">
        <v>0.5</v>
      </c>
    </row>
    <row r="13" spans="1:2" s="11" customFormat="1" ht="15.75" customHeight="1" x14ac:dyDescent="0.2">
      <c r="A13" s="15" t="s">
        <v>4</v>
      </c>
      <c r="B13" s="16">
        <f>SUM(B10:B12)</f>
        <v>4</v>
      </c>
    </row>
    <row r="14" spans="1:2" s="11" customFormat="1" ht="15.75" customHeight="1" x14ac:dyDescent="0.2">
      <c r="A14" s="21"/>
      <c r="B14" s="20"/>
    </row>
    <row r="15" spans="1:2" s="11" customFormat="1" ht="15.75" customHeight="1" x14ac:dyDescent="0.2">
      <c r="A15" s="19" t="s">
        <v>11</v>
      </c>
      <c r="B15" s="20"/>
    </row>
    <row r="16" spans="1:2" s="11" customFormat="1" ht="42" x14ac:dyDescent="0.2">
      <c r="A16" s="22" t="s">
        <v>12</v>
      </c>
      <c r="B16" s="14">
        <v>0.5</v>
      </c>
    </row>
    <row r="17" spans="1:2" s="11" customFormat="1" ht="28" x14ac:dyDescent="0.2">
      <c r="A17" s="22" t="s">
        <v>13</v>
      </c>
      <c r="B17" s="14">
        <v>0.75</v>
      </c>
    </row>
    <row r="18" spans="1:2" s="11" customFormat="1" ht="56" x14ac:dyDescent="0.2">
      <c r="A18" s="22" t="s">
        <v>14</v>
      </c>
      <c r="B18" s="14">
        <v>1</v>
      </c>
    </row>
    <row r="19" spans="1:2" s="11" customFormat="1" ht="70" x14ac:dyDescent="0.2">
      <c r="A19" s="22" t="s">
        <v>15</v>
      </c>
      <c r="B19" s="14">
        <v>1</v>
      </c>
    </row>
    <row r="20" spans="1:2" s="11" customFormat="1" ht="28" x14ac:dyDescent="0.2">
      <c r="A20" s="22" t="s">
        <v>16</v>
      </c>
      <c r="B20" s="14">
        <v>2</v>
      </c>
    </row>
    <row r="21" spans="1:2" s="11" customFormat="1" ht="56" x14ac:dyDescent="0.2">
      <c r="A21" s="22" t="s">
        <v>17</v>
      </c>
      <c r="B21" s="14">
        <v>2</v>
      </c>
    </row>
    <row r="22" spans="1:2" s="11" customFormat="1" ht="56" x14ac:dyDescent="0.2">
      <c r="A22" s="22" t="s">
        <v>18</v>
      </c>
      <c r="B22" s="14">
        <v>1</v>
      </c>
    </row>
    <row r="23" spans="1:2" s="11" customFormat="1" ht="42" x14ac:dyDescent="0.2">
      <c r="A23" s="22" t="s">
        <v>19</v>
      </c>
      <c r="B23" s="14">
        <v>0.75</v>
      </c>
    </row>
    <row r="24" spans="1:2" s="11" customFormat="1" ht="14" x14ac:dyDescent="0.2">
      <c r="A24" s="13" t="s">
        <v>20</v>
      </c>
      <c r="B24" s="23">
        <v>0.25</v>
      </c>
    </row>
    <row r="25" spans="1:2" s="11" customFormat="1" ht="28" x14ac:dyDescent="0.2">
      <c r="A25" s="22" t="s">
        <v>21</v>
      </c>
      <c r="B25" s="14">
        <v>0.25</v>
      </c>
    </row>
    <row r="26" spans="1:2" s="11" customFormat="1" ht="70" x14ac:dyDescent="0.2">
      <c r="A26" s="22" t="s">
        <v>22</v>
      </c>
      <c r="B26" s="14">
        <v>1.5</v>
      </c>
    </row>
    <row r="27" spans="1:2" s="11" customFormat="1" ht="70" x14ac:dyDescent="0.2">
      <c r="A27" s="22" t="s">
        <v>23</v>
      </c>
      <c r="B27" s="14">
        <v>1</v>
      </c>
    </row>
    <row r="28" spans="1:2" s="11" customFormat="1" ht="70" x14ac:dyDescent="0.2">
      <c r="A28" s="22" t="s">
        <v>24</v>
      </c>
      <c r="B28" s="14">
        <v>0.75</v>
      </c>
    </row>
    <row r="29" spans="1:2" s="11" customFormat="1" ht="42" x14ac:dyDescent="0.2">
      <c r="A29" s="22" t="s">
        <v>25</v>
      </c>
      <c r="B29" s="14">
        <v>1.75</v>
      </c>
    </row>
    <row r="30" spans="1:2" s="11" customFormat="1" ht="15.75" customHeight="1" x14ac:dyDescent="0.2">
      <c r="A30" s="24" t="s">
        <v>4</v>
      </c>
      <c r="B30" s="25">
        <f>SUM(B16:B29)</f>
        <v>14.5</v>
      </c>
    </row>
    <row r="31" spans="1:2" s="11" customFormat="1" ht="15.75" customHeight="1" x14ac:dyDescent="0.2">
      <c r="A31" s="26"/>
      <c r="B31" s="27"/>
    </row>
    <row r="32" spans="1:2" s="11" customFormat="1" ht="15.75" customHeight="1" x14ac:dyDescent="0.2">
      <c r="A32" s="19" t="s">
        <v>26</v>
      </c>
      <c r="B32" s="20"/>
    </row>
    <row r="33" spans="1:2" s="40" customFormat="1" ht="84" x14ac:dyDescent="0.2">
      <c r="A33" s="38" t="s">
        <v>27</v>
      </c>
      <c r="B33" s="39">
        <v>3.5</v>
      </c>
    </row>
    <row r="34" spans="1:2" s="40" customFormat="1" ht="56" x14ac:dyDescent="0.2">
      <c r="A34" s="38" t="s">
        <v>28</v>
      </c>
      <c r="B34" s="39">
        <v>2</v>
      </c>
    </row>
    <row r="35" spans="1:2" s="40" customFormat="1" ht="14" x14ac:dyDescent="0.2">
      <c r="A35" s="38" t="s">
        <v>29</v>
      </c>
      <c r="B35" s="39">
        <v>1</v>
      </c>
    </row>
    <row r="36" spans="1:2" s="40" customFormat="1" ht="14" x14ac:dyDescent="0.2">
      <c r="A36" s="38" t="s">
        <v>30</v>
      </c>
      <c r="B36" s="39">
        <v>0.75</v>
      </c>
    </row>
    <row r="37" spans="1:2" s="40" customFormat="1" ht="84" x14ac:dyDescent="0.2">
      <c r="A37" s="38" t="s">
        <v>31</v>
      </c>
      <c r="B37" s="39">
        <v>2.5</v>
      </c>
    </row>
    <row r="38" spans="1:2" s="40" customFormat="1" ht="42" x14ac:dyDescent="0.2">
      <c r="A38" s="38" t="s">
        <v>32</v>
      </c>
      <c r="B38" s="39">
        <v>5</v>
      </c>
    </row>
    <row r="39" spans="1:2" s="40" customFormat="1" ht="42" x14ac:dyDescent="0.2">
      <c r="A39" s="38" t="s">
        <v>33</v>
      </c>
      <c r="B39" s="39">
        <v>4</v>
      </c>
    </row>
    <row r="40" spans="1:2" s="40" customFormat="1" ht="28" x14ac:dyDescent="0.2">
      <c r="A40" s="38" t="s">
        <v>34</v>
      </c>
      <c r="B40" s="39">
        <v>1.5</v>
      </c>
    </row>
    <row r="41" spans="1:2" s="40" customFormat="1" ht="42" x14ac:dyDescent="0.2">
      <c r="A41" s="38" t="s">
        <v>35</v>
      </c>
      <c r="B41" s="39">
        <v>3</v>
      </c>
    </row>
    <row r="42" spans="1:2" s="40" customFormat="1" ht="42" x14ac:dyDescent="0.2">
      <c r="A42" s="41" t="s">
        <v>36</v>
      </c>
      <c r="B42" s="39">
        <v>1.5</v>
      </c>
    </row>
    <row r="43" spans="1:2" s="40" customFormat="1" ht="28" x14ac:dyDescent="0.2">
      <c r="A43" s="38" t="s">
        <v>37</v>
      </c>
      <c r="B43" s="39">
        <v>1.5</v>
      </c>
    </row>
    <row r="44" spans="1:2" s="40" customFormat="1" ht="56" x14ac:dyDescent="0.2">
      <c r="A44" s="38" t="s">
        <v>38</v>
      </c>
      <c r="B44" s="39">
        <v>2</v>
      </c>
    </row>
    <row r="45" spans="1:2" s="40" customFormat="1" ht="28" x14ac:dyDescent="0.2">
      <c r="A45" s="38" t="s">
        <v>39</v>
      </c>
      <c r="B45" s="39">
        <v>1.5</v>
      </c>
    </row>
    <row r="46" spans="1:2" s="40" customFormat="1" ht="28" x14ac:dyDescent="0.2">
      <c r="A46" s="38" t="s">
        <v>40</v>
      </c>
      <c r="B46" s="39">
        <v>2.5</v>
      </c>
    </row>
    <row r="47" spans="1:2" s="40" customFormat="1" ht="42" x14ac:dyDescent="0.2">
      <c r="A47" s="38" t="s">
        <v>41</v>
      </c>
      <c r="B47" s="39">
        <v>2.5</v>
      </c>
    </row>
    <row r="48" spans="1:2" s="40" customFormat="1" ht="28" x14ac:dyDescent="0.2">
      <c r="A48" s="38" t="s">
        <v>42</v>
      </c>
      <c r="B48" s="39">
        <v>1.5</v>
      </c>
    </row>
    <row r="49" spans="1:2" s="40" customFormat="1" ht="70" x14ac:dyDescent="0.2">
      <c r="A49" s="38" t="s">
        <v>43</v>
      </c>
      <c r="B49" s="39">
        <v>2.5</v>
      </c>
    </row>
    <row r="50" spans="1:2" s="40" customFormat="1" ht="70" x14ac:dyDescent="0.2">
      <c r="A50" s="38" t="s">
        <v>44</v>
      </c>
      <c r="B50" s="39">
        <v>2</v>
      </c>
    </row>
    <row r="51" spans="1:2" s="40" customFormat="1" ht="28" x14ac:dyDescent="0.2">
      <c r="A51" s="38" t="s">
        <v>45</v>
      </c>
      <c r="B51" s="39">
        <v>4.25</v>
      </c>
    </row>
    <row r="52" spans="1:2" s="40" customFormat="1" ht="70" x14ac:dyDescent="0.2">
      <c r="A52" s="38" t="s">
        <v>46</v>
      </c>
      <c r="B52" s="39">
        <v>4.5</v>
      </c>
    </row>
    <row r="53" spans="1:2" s="11" customFormat="1" ht="15.75" customHeight="1" x14ac:dyDescent="0.2">
      <c r="A53" s="24" t="s">
        <v>47</v>
      </c>
      <c r="B53" s="25">
        <f>SUM(B33:B52)</f>
        <v>49.5</v>
      </c>
    </row>
    <row r="54" spans="1:2" s="11" customFormat="1" ht="15.75" customHeight="1" x14ac:dyDescent="0.2">
      <c r="A54" s="26"/>
      <c r="B54" s="27"/>
    </row>
    <row r="55" spans="1:2" s="10" customFormat="1" ht="15.75" customHeight="1" x14ac:dyDescent="0.15">
      <c r="A55" s="28" t="s">
        <v>48</v>
      </c>
      <c r="B55" s="14"/>
    </row>
    <row r="56" spans="1:2" s="11" customFormat="1" ht="42" x14ac:dyDescent="0.2">
      <c r="A56" s="13" t="s">
        <v>49</v>
      </c>
      <c r="B56" s="14">
        <v>1</v>
      </c>
    </row>
    <row r="57" spans="1:2" s="11" customFormat="1" ht="14" x14ac:dyDescent="0.2">
      <c r="A57" s="13" t="s">
        <v>50</v>
      </c>
      <c r="B57" s="14">
        <v>2</v>
      </c>
    </row>
    <row r="58" spans="1:2" s="11" customFormat="1" ht="28" x14ac:dyDescent="0.2">
      <c r="A58" s="22" t="s">
        <v>51</v>
      </c>
      <c r="B58" s="14">
        <v>2.5</v>
      </c>
    </row>
    <row r="59" spans="1:2" s="11" customFormat="1" ht="28" x14ac:dyDescent="0.2">
      <c r="A59" s="22" t="s">
        <v>52</v>
      </c>
      <c r="B59" s="14">
        <v>1.75</v>
      </c>
    </row>
    <row r="60" spans="1:2" s="11" customFormat="1" ht="42" x14ac:dyDescent="0.2">
      <c r="A60" s="13" t="s">
        <v>53</v>
      </c>
      <c r="B60" s="14">
        <v>3.5</v>
      </c>
    </row>
    <row r="61" spans="1:2" s="11" customFormat="1" ht="15.75" customHeight="1" x14ac:dyDescent="0.2">
      <c r="A61" s="24" t="s">
        <v>4</v>
      </c>
      <c r="B61" s="25">
        <f>SUM(B56:B60)</f>
        <v>10.75</v>
      </c>
    </row>
    <row r="62" spans="1:2" s="11" customFormat="1" ht="15.75" customHeight="1" x14ac:dyDescent="0.2">
      <c r="A62" s="29"/>
      <c r="B62" s="14"/>
    </row>
    <row r="63" spans="1:2" s="10" customFormat="1" ht="15.75" customHeight="1" x14ac:dyDescent="0.15">
      <c r="A63" s="28" t="s">
        <v>54</v>
      </c>
      <c r="B63" s="14"/>
    </row>
    <row r="64" spans="1:2" s="11" customFormat="1" ht="98" x14ac:dyDescent="0.2">
      <c r="A64" s="13" t="s">
        <v>55</v>
      </c>
      <c r="B64" s="14">
        <v>2.75</v>
      </c>
    </row>
    <row r="65" spans="1:2" s="11" customFormat="1" ht="56" x14ac:dyDescent="0.2">
      <c r="A65" s="13" t="s">
        <v>56</v>
      </c>
      <c r="B65" s="14">
        <v>1</v>
      </c>
    </row>
    <row r="66" spans="1:2" s="11" customFormat="1" ht="15.75" customHeight="1" x14ac:dyDescent="0.2">
      <c r="A66" s="24" t="s">
        <v>4</v>
      </c>
      <c r="B66" s="25">
        <f>SUM(B64:B65)</f>
        <v>3.75</v>
      </c>
    </row>
    <row r="67" spans="1:2" s="11" customFormat="1" ht="15.75" customHeight="1" x14ac:dyDescent="0.2">
      <c r="A67" s="29"/>
      <c r="B67" s="14"/>
    </row>
    <row r="68" spans="1:2" s="10" customFormat="1" ht="15.75" customHeight="1" x14ac:dyDescent="0.15">
      <c r="A68" s="28" t="s">
        <v>57</v>
      </c>
      <c r="B68" s="14"/>
    </row>
    <row r="69" spans="1:2" s="11" customFormat="1" ht="14" x14ac:dyDescent="0.2">
      <c r="A69" s="13" t="s">
        <v>6</v>
      </c>
      <c r="B69" s="14"/>
    </row>
    <row r="70" spans="1:2" s="11" customFormat="1" ht="15.75" customHeight="1" x14ac:dyDescent="0.2">
      <c r="A70" s="24" t="s">
        <v>4</v>
      </c>
      <c r="B70" s="25">
        <f>SUM(B68:B69)</f>
        <v>0</v>
      </c>
    </row>
    <row r="71" spans="1:2" s="11" customFormat="1" ht="15.75" customHeight="1" x14ac:dyDescent="0.2">
      <c r="A71" s="29"/>
      <c r="B71" s="14"/>
    </row>
    <row r="72" spans="1:2" s="11" customFormat="1" ht="15.75" customHeight="1" x14ac:dyDescent="0.2">
      <c r="A72" s="8" t="s">
        <v>58</v>
      </c>
      <c r="B72" s="14"/>
    </row>
    <row r="73" spans="1:2" s="11" customFormat="1" ht="112" x14ac:dyDescent="0.2">
      <c r="A73" s="22" t="s">
        <v>59</v>
      </c>
      <c r="B73" s="14">
        <v>4</v>
      </c>
    </row>
    <row r="74" spans="1:2" s="11" customFormat="1" ht="112" x14ac:dyDescent="0.2">
      <c r="A74" s="22" t="s">
        <v>60</v>
      </c>
      <c r="B74" s="14">
        <v>2</v>
      </c>
    </row>
    <row r="75" spans="1:2" s="11" customFormat="1" ht="112" x14ac:dyDescent="0.2">
      <c r="A75" s="22" t="s">
        <v>61</v>
      </c>
      <c r="B75" s="14">
        <v>5</v>
      </c>
    </row>
    <row r="76" spans="1:2" s="11" customFormat="1" ht="15.75" customHeight="1" x14ac:dyDescent="0.2">
      <c r="A76" s="24" t="s">
        <v>4</v>
      </c>
      <c r="B76" s="25">
        <f>SUM(B73:B75)</f>
        <v>11</v>
      </c>
    </row>
    <row r="77" spans="1:2" s="11" customFormat="1" ht="15.75" customHeight="1" x14ac:dyDescent="0.2">
      <c r="A77" s="30"/>
      <c r="B77" s="14"/>
    </row>
    <row r="78" spans="1:2" s="11" customFormat="1" ht="15.75" customHeight="1" x14ac:dyDescent="0.2">
      <c r="A78" s="8" t="s">
        <v>62</v>
      </c>
      <c r="B78" s="14"/>
    </row>
    <row r="79" spans="1:2" s="11" customFormat="1" ht="56" x14ac:dyDescent="0.2">
      <c r="A79" s="22" t="s">
        <v>63</v>
      </c>
      <c r="B79" s="14">
        <v>8</v>
      </c>
    </row>
    <row r="80" spans="1:2" s="11" customFormat="1" ht="56" x14ac:dyDescent="0.2">
      <c r="A80" s="22" t="s">
        <v>64</v>
      </c>
      <c r="B80" s="14">
        <v>5.25</v>
      </c>
    </row>
    <row r="81" spans="1:2" s="11" customFormat="1" ht="15.75" customHeight="1" x14ac:dyDescent="0.2">
      <c r="A81" s="24" t="s">
        <v>4</v>
      </c>
      <c r="B81" s="25">
        <f>SUM(B79:B80)</f>
        <v>13.25</v>
      </c>
    </row>
    <row r="82" spans="1:2" s="11" customFormat="1" ht="15.75" customHeight="1" x14ac:dyDescent="0.2">
      <c r="A82" s="30"/>
      <c r="B82" s="14"/>
    </row>
    <row r="83" spans="1:2" s="11" customFormat="1" ht="15.75" customHeight="1" x14ac:dyDescent="0.2">
      <c r="A83" s="8" t="s">
        <v>65</v>
      </c>
      <c r="B83" s="14"/>
    </row>
    <row r="84" spans="1:2" s="11" customFormat="1" ht="56" x14ac:dyDescent="0.2">
      <c r="A84" s="22" t="s">
        <v>66</v>
      </c>
      <c r="B84" s="14">
        <v>1</v>
      </c>
    </row>
    <row r="85" spans="1:2" s="11" customFormat="1" ht="28" x14ac:dyDescent="0.2">
      <c r="A85" s="22" t="s">
        <v>67</v>
      </c>
      <c r="B85" s="14">
        <v>0.25</v>
      </c>
    </row>
    <row r="86" spans="1:2" s="11" customFormat="1" ht="42" x14ac:dyDescent="0.2">
      <c r="A86" s="22" t="s">
        <v>68</v>
      </c>
      <c r="B86" s="14">
        <v>0</v>
      </c>
    </row>
    <row r="87" spans="1:2" s="11" customFormat="1" ht="42" x14ac:dyDescent="0.2">
      <c r="A87" s="22" t="s">
        <v>69</v>
      </c>
      <c r="B87" s="14">
        <v>1</v>
      </c>
    </row>
    <row r="88" spans="1:2" s="11" customFormat="1" ht="42" x14ac:dyDescent="0.2">
      <c r="A88" s="22" t="s">
        <v>70</v>
      </c>
      <c r="B88" s="14">
        <v>0.5</v>
      </c>
    </row>
    <row r="89" spans="1:2" s="11" customFormat="1" ht="42" x14ac:dyDescent="0.2">
      <c r="A89" s="22" t="s">
        <v>71</v>
      </c>
      <c r="B89" s="14">
        <v>0.25</v>
      </c>
    </row>
    <row r="90" spans="1:2" s="11" customFormat="1" ht="70" x14ac:dyDescent="0.2">
      <c r="A90" s="22" t="s">
        <v>72</v>
      </c>
      <c r="B90" s="14">
        <v>1.5</v>
      </c>
    </row>
    <row r="91" spans="1:2" s="11" customFormat="1" ht="28" x14ac:dyDescent="0.2">
      <c r="A91" s="22" t="s">
        <v>73</v>
      </c>
      <c r="B91" s="14">
        <v>3.75</v>
      </c>
    </row>
    <row r="92" spans="1:2" s="11" customFormat="1" ht="15.75" customHeight="1" x14ac:dyDescent="0.2">
      <c r="A92" s="24" t="s">
        <v>4</v>
      </c>
      <c r="B92" s="25">
        <f>SUM(B84:B91)</f>
        <v>8.25</v>
      </c>
    </row>
    <row r="93" spans="1:2" s="11" customFormat="1" ht="15.75" customHeight="1" x14ac:dyDescent="0.2">
      <c r="A93" s="26"/>
      <c r="B93" s="32"/>
    </row>
    <row r="94" spans="1:2" s="11" customFormat="1" ht="16.5" customHeight="1" thickBot="1" x14ac:dyDescent="0.25">
      <c r="A94" s="33" t="s">
        <v>74</v>
      </c>
      <c r="B94" s="34">
        <f>SUM(B7+B13+B30+B61+B66+B70+B76+B81+B92)</f>
        <v>65.5</v>
      </c>
    </row>
    <row r="95" spans="1:2" s="11" customFormat="1" ht="16.5" customHeight="1" thickBot="1" x14ac:dyDescent="0.25">
      <c r="A95" s="33" t="s">
        <v>75</v>
      </c>
      <c r="B95" s="34" t="s">
        <v>76</v>
      </c>
    </row>
    <row r="96" spans="1:2" ht="15.75" customHeight="1" x14ac:dyDescent="0.2">
      <c r="A96" s="10"/>
      <c r="B96" s="10"/>
    </row>
    <row r="97" spans="1:2" ht="15.75" customHeight="1" x14ac:dyDescent="0.2">
      <c r="A97" s="35" t="s">
        <v>77</v>
      </c>
      <c r="B97" s="10"/>
    </row>
    <row r="98" spans="1:2" ht="15.75" customHeight="1" x14ac:dyDescent="0.2">
      <c r="A98" s="10"/>
      <c r="B98" s="10"/>
    </row>
    <row r="99" spans="1:2" ht="15.75" customHeight="1" x14ac:dyDescent="0.2">
      <c r="A99" s="10"/>
      <c r="B99" s="31"/>
    </row>
    <row r="100" spans="1:2" ht="15.75" customHeight="1" x14ac:dyDescent="0.2">
      <c r="A100" s="10"/>
      <c r="B100" s="31"/>
    </row>
    <row r="101" spans="1:2" ht="15.75" customHeight="1" x14ac:dyDescent="0.2">
      <c r="A101" s="10"/>
      <c r="B101" s="31"/>
    </row>
    <row r="102" spans="1:2" ht="15.75" customHeight="1" x14ac:dyDescent="0.2">
      <c r="A102" s="10"/>
      <c r="B102" s="36"/>
    </row>
    <row r="103" spans="1:2" ht="15.75" customHeight="1" x14ac:dyDescent="0.2">
      <c r="A103" s="10"/>
      <c r="B103" s="37"/>
    </row>
    <row r="104" spans="1:2" ht="15.75" customHeight="1" x14ac:dyDescent="0.2">
      <c r="A104" s="10"/>
      <c r="B104" s="10"/>
    </row>
    <row r="105" spans="1:2" ht="15.75" customHeight="1" x14ac:dyDescent="0.2">
      <c r="A105" s="10"/>
      <c r="B105" s="10"/>
    </row>
    <row r="106" spans="1:2" ht="15.75" customHeight="1" x14ac:dyDescent="0.2">
      <c r="A106" s="10"/>
      <c r="B106" s="10"/>
    </row>
    <row r="107" spans="1:2" ht="15.75" customHeight="1" x14ac:dyDescent="0.2">
      <c r="A107" s="10"/>
      <c r="B107" s="10"/>
    </row>
    <row r="108" spans="1:2" ht="15.75" customHeight="1" x14ac:dyDescent="0.2">
      <c r="A108" s="10"/>
      <c r="B108" s="10"/>
    </row>
    <row r="109" spans="1:2" ht="15.75" customHeight="1" x14ac:dyDescent="0.2">
      <c r="A109" s="10"/>
      <c r="B109" s="10"/>
    </row>
    <row r="110" spans="1:2" ht="15.75" customHeight="1" x14ac:dyDescent="0.2">
      <c r="A110" s="10"/>
      <c r="B110" s="10"/>
    </row>
    <row r="111" spans="1:2" ht="15.75" customHeight="1" x14ac:dyDescent="0.2">
      <c r="A111" s="10"/>
      <c r="B111" s="10"/>
    </row>
    <row r="112" spans="1:2" ht="15.75" customHeight="1" x14ac:dyDescent="0.2">
      <c r="A112" s="10"/>
      <c r="B112" s="10"/>
    </row>
    <row r="113" spans="1:2" ht="15.75" customHeight="1" x14ac:dyDescent="0.2">
      <c r="A113" s="10"/>
      <c r="B113" s="10"/>
    </row>
    <row r="114" spans="1:2" ht="15.75" customHeight="1" x14ac:dyDescent="0.2">
      <c r="A114" s="10"/>
      <c r="B114" s="10"/>
    </row>
    <row r="115" spans="1:2" ht="15.75" customHeight="1" x14ac:dyDescent="0.2">
      <c r="A115" s="10"/>
      <c r="B115" s="10"/>
    </row>
    <row r="116" spans="1:2" ht="15.75" customHeight="1" x14ac:dyDescent="0.2">
      <c r="A116" s="10"/>
      <c r="B116" s="10"/>
    </row>
    <row r="117" spans="1:2" ht="15.75" customHeight="1" x14ac:dyDescent="0.2">
      <c r="A117" s="10"/>
      <c r="B117" s="10"/>
    </row>
    <row r="118" spans="1:2" ht="15.75" customHeight="1" x14ac:dyDescent="0.2">
      <c r="A118" s="10"/>
      <c r="B118" s="10"/>
    </row>
    <row r="119" spans="1:2" ht="15.75" customHeight="1" x14ac:dyDescent="0.2">
      <c r="A119" s="10"/>
      <c r="B119" s="10"/>
    </row>
    <row r="120" spans="1:2" ht="15.75" customHeight="1" x14ac:dyDescent="0.2">
      <c r="A120" s="10"/>
      <c r="B120" s="10"/>
    </row>
    <row r="121" spans="1:2" ht="15.75" customHeight="1" x14ac:dyDescent="0.2">
      <c r="A121" s="10"/>
      <c r="B121" s="10"/>
    </row>
    <row r="122" spans="1:2" ht="15.75" customHeight="1" x14ac:dyDescent="0.2">
      <c r="A122" s="10"/>
      <c r="B122" s="10"/>
    </row>
    <row r="123" spans="1:2" ht="15.75" customHeight="1" x14ac:dyDescent="0.2">
      <c r="A123" s="10"/>
      <c r="B123" s="10"/>
    </row>
    <row r="124" spans="1:2" ht="15.75" customHeight="1" x14ac:dyDescent="0.2">
      <c r="A124" s="10"/>
      <c r="B124" s="10"/>
    </row>
    <row r="125" spans="1:2" ht="15.75" customHeight="1" x14ac:dyDescent="0.2">
      <c r="A125" s="10"/>
      <c r="B125" s="10"/>
    </row>
    <row r="126" spans="1:2" ht="15.75" customHeight="1" x14ac:dyDescent="0.2">
      <c r="A126" s="10"/>
      <c r="B126" s="10"/>
    </row>
    <row r="127" spans="1:2" ht="15.75" customHeight="1" x14ac:dyDescent="0.2">
      <c r="A127" s="10"/>
      <c r="B127" s="10"/>
    </row>
    <row r="128" spans="1:2" ht="15.75" customHeight="1" x14ac:dyDescent="0.2">
      <c r="A128" s="10"/>
      <c r="B128" s="10"/>
    </row>
    <row r="129" spans="1:2" ht="15.75" customHeight="1" x14ac:dyDescent="0.2">
      <c r="A129" s="10"/>
      <c r="B129" s="10"/>
    </row>
    <row r="130" spans="1:2" ht="15.75" customHeight="1" x14ac:dyDescent="0.2">
      <c r="A130" s="10"/>
      <c r="B130" s="10"/>
    </row>
    <row r="131" spans="1:2" ht="15.75" customHeight="1" x14ac:dyDescent="0.2">
      <c r="A131" s="10"/>
      <c r="B131" s="10"/>
    </row>
    <row r="132" spans="1:2" ht="15.75" customHeight="1" x14ac:dyDescent="0.2">
      <c r="A132" s="10"/>
      <c r="B132" s="10"/>
    </row>
    <row r="133" spans="1:2" ht="15.75" customHeight="1" x14ac:dyDescent="0.2">
      <c r="A133" s="10"/>
      <c r="B133" s="10"/>
    </row>
    <row r="134" spans="1:2" ht="15.75" customHeight="1" x14ac:dyDescent="0.2">
      <c r="A134" s="10"/>
      <c r="B134" s="10"/>
    </row>
    <row r="135" spans="1:2" ht="15.75" customHeight="1" x14ac:dyDescent="0.2">
      <c r="A135" s="10"/>
      <c r="B135" s="10"/>
    </row>
    <row r="136" spans="1:2" ht="15.75" customHeight="1" x14ac:dyDescent="0.2">
      <c r="A136" s="10"/>
      <c r="B136" s="10"/>
    </row>
    <row r="137" spans="1:2" ht="15.75" customHeight="1" x14ac:dyDescent="0.2">
      <c r="A137" s="10"/>
      <c r="B137" s="10"/>
    </row>
    <row r="138" spans="1:2" ht="15.75" customHeight="1" x14ac:dyDescent="0.2">
      <c r="A138" s="10"/>
      <c r="B138" s="10"/>
    </row>
    <row r="139" spans="1:2" ht="15.75" customHeight="1" x14ac:dyDescent="0.2">
      <c r="A139" s="10"/>
      <c r="B139" s="10"/>
    </row>
    <row r="140" spans="1:2" ht="15.75" customHeight="1" x14ac:dyDescent="0.2">
      <c r="A140" s="10"/>
      <c r="B140" s="10"/>
    </row>
    <row r="141" spans="1:2" ht="15.75" customHeight="1" x14ac:dyDescent="0.2">
      <c r="A141" s="10"/>
      <c r="B141" s="10"/>
    </row>
    <row r="142" spans="1:2" ht="15.75" customHeight="1" x14ac:dyDescent="0.2">
      <c r="A142" s="10"/>
      <c r="B142" s="10"/>
    </row>
    <row r="143" spans="1:2" ht="15.75" customHeight="1" x14ac:dyDescent="0.2">
      <c r="A143" s="10"/>
      <c r="B143" s="10"/>
    </row>
    <row r="144" spans="1:2" ht="15.75" customHeight="1" x14ac:dyDescent="0.2">
      <c r="A144" s="10"/>
      <c r="B144" s="10"/>
    </row>
    <row r="145" spans="1:2" ht="15.75" customHeight="1" x14ac:dyDescent="0.2">
      <c r="A145" s="10"/>
      <c r="B145" s="10"/>
    </row>
    <row r="146" spans="1:2" ht="15.75" customHeight="1" x14ac:dyDescent="0.2">
      <c r="A146" s="10"/>
      <c r="B146" s="10"/>
    </row>
    <row r="147" spans="1:2" ht="15.75" customHeight="1" x14ac:dyDescent="0.2">
      <c r="A147" s="10"/>
      <c r="B147" s="10"/>
    </row>
    <row r="148" spans="1:2" ht="15.75" customHeight="1" x14ac:dyDescent="0.2">
      <c r="A148" s="10"/>
      <c r="B148" s="10"/>
    </row>
    <row r="149" spans="1:2" ht="15.75" customHeight="1" x14ac:dyDescent="0.2">
      <c r="A149" s="10"/>
      <c r="B149" s="10"/>
    </row>
    <row r="150" spans="1:2" ht="15.75" customHeight="1" x14ac:dyDescent="0.2">
      <c r="A150" s="10"/>
      <c r="B150" s="10"/>
    </row>
    <row r="151" spans="1:2" ht="15.75" customHeight="1" x14ac:dyDescent="0.2">
      <c r="A151" s="10"/>
      <c r="B151" s="10"/>
    </row>
    <row r="152" spans="1:2" ht="15.75" customHeight="1" x14ac:dyDescent="0.2">
      <c r="A152" s="10"/>
      <c r="B152" s="10"/>
    </row>
    <row r="153" spans="1:2" ht="15.75" customHeight="1" x14ac:dyDescent="0.2">
      <c r="A153" s="10"/>
      <c r="B153" s="10"/>
    </row>
    <row r="154" spans="1:2" ht="15.75" customHeight="1" x14ac:dyDescent="0.2">
      <c r="A154" s="10"/>
      <c r="B154" s="10"/>
    </row>
    <row r="155" spans="1:2" ht="15.75" customHeight="1" x14ac:dyDescent="0.2">
      <c r="A155" s="10"/>
      <c r="B155" s="10"/>
    </row>
    <row r="156" spans="1:2" ht="15.75" customHeight="1" x14ac:dyDescent="0.2">
      <c r="A156" s="10"/>
      <c r="B156" s="10"/>
    </row>
    <row r="157" spans="1:2" ht="15.75" customHeight="1" x14ac:dyDescent="0.2">
      <c r="A157" s="10"/>
      <c r="B157" s="10"/>
    </row>
    <row r="158" spans="1:2" ht="15.75" customHeight="1" x14ac:dyDescent="0.2">
      <c r="A158" s="10"/>
      <c r="B158" s="10"/>
    </row>
    <row r="159" spans="1:2" ht="15.75" customHeight="1" x14ac:dyDescent="0.2">
      <c r="A159" s="10"/>
      <c r="B159" s="10"/>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75" customHeight="1" x14ac:dyDescent="0.2">
      <c r="A1007" s="3"/>
      <c r="B1007" s="3"/>
    </row>
    <row r="1008" spans="1:2" ht="15.75" customHeight="1" x14ac:dyDescent="0.2">
      <c r="A1008" s="3"/>
      <c r="B1008" s="3"/>
    </row>
    <row r="1009" spans="1:2" ht="15.75" customHeight="1" x14ac:dyDescent="0.2">
      <c r="A1009" s="3"/>
      <c r="B1009" s="3"/>
    </row>
    <row r="1010" spans="1:2" ht="15.75" customHeight="1" x14ac:dyDescent="0.2">
      <c r="A1010" s="3"/>
      <c r="B1010" s="3"/>
    </row>
    <row r="1011" spans="1:2" ht="15.75" customHeight="1" x14ac:dyDescent="0.2">
      <c r="A1011" s="3"/>
      <c r="B1011" s="3"/>
    </row>
    <row r="1012" spans="1:2" ht="15.75" customHeight="1" x14ac:dyDescent="0.2">
      <c r="A1012" s="3"/>
      <c r="B1012" s="3"/>
    </row>
    <row r="1013" spans="1:2" ht="15.75" customHeight="1" x14ac:dyDescent="0.2">
      <c r="A1013" s="3"/>
      <c r="B1013" s="3"/>
    </row>
    <row r="1014" spans="1:2" ht="15.75" customHeight="1" x14ac:dyDescent="0.2">
      <c r="A1014" s="3"/>
      <c r="B1014" s="3"/>
    </row>
    <row r="1015" spans="1:2" ht="15.75" customHeight="1" x14ac:dyDescent="0.2">
      <c r="A1015" s="3"/>
      <c r="B1015" s="3"/>
    </row>
    <row r="1016" spans="1:2" ht="15.75" customHeight="1" x14ac:dyDescent="0.2">
      <c r="A1016" s="3"/>
      <c r="B1016" s="3"/>
    </row>
    <row r="1017" spans="1:2" ht="15.75" customHeight="1" x14ac:dyDescent="0.2">
      <c r="A1017" s="3"/>
      <c r="B1017" s="3"/>
    </row>
    <row r="1018" spans="1:2" ht="15.75" customHeight="1" x14ac:dyDescent="0.2">
      <c r="A1018" s="3"/>
      <c r="B1018" s="3"/>
    </row>
    <row r="1019" spans="1:2" ht="15.75" customHeight="1" x14ac:dyDescent="0.2">
      <c r="A1019" s="3"/>
      <c r="B1019" s="3"/>
    </row>
    <row r="1020" spans="1:2" ht="15.75" customHeight="1" x14ac:dyDescent="0.2">
      <c r="A1020" s="3"/>
      <c r="B1020" s="3"/>
    </row>
    <row r="1021" spans="1:2" ht="15.75" customHeight="1" x14ac:dyDescent="0.2">
      <c r="A1021" s="3"/>
      <c r="B1021" s="3"/>
    </row>
    <row r="1022" spans="1:2" ht="15.75" customHeight="1" x14ac:dyDescent="0.2">
      <c r="A1022" s="3"/>
      <c r="B1022" s="3"/>
    </row>
    <row r="1023" spans="1:2" ht="15.75" customHeight="1" x14ac:dyDescent="0.2">
      <c r="A1023" s="3"/>
      <c r="B1023" s="3"/>
    </row>
    <row r="1024" spans="1:2" ht="15.75" customHeight="1" x14ac:dyDescent="0.2">
      <c r="A1024" s="3"/>
      <c r="B1024" s="3"/>
    </row>
    <row r="1025" spans="1:2" ht="15.75" customHeight="1" x14ac:dyDescent="0.2">
      <c r="A1025" s="3"/>
      <c r="B1025" s="3"/>
    </row>
    <row r="1026" spans="1:2" ht="15.75" customHeight="1" x14ac:dyDescent="0.2">
      <c r="A1026" s="3"/>
      <c r="B1026" s="3"/>
    </row>
    <row r="1027" spans="1:2" ht="15.75" customHeight="1" x14ac:dyDescent="0.2">
      <c r="A1027" s="3"/>
      <c r="B1027" s="3"/>
    </row>
    <row r="1028" spans="1:2" ht="15.75" customHeight="1" x14ac:dyDescent="0.2">
      <c r="A1028" s="3"/>
      <c r="B1028" s="3"/>
    </row>
    <row r="1029" spans="1:2" ht="15.75" customHeight="1" x14ac:dyDescent="0.2">
      <c r="A1029" s="3"/>
      <c r="B1029" s="3"/>
    </row>
    <row r="1030" spans="1:2" ht="15.75" customHeight="1" x14ac:dyDescent="0.2">
      <c r="A1030" s="3"/>
      <c r="B1030" s="3"/>
    </row>
    <row r="1031" spans="1:2" ht="15.75" customHeight="1" x14ac:dyDescent="0.2">
      <c r="A1031" s="3"/>
      <c r="B1031" s="3"/>
    </row>
    <row r="1032" spans="1:2" ht="15.75" customHeight="1" x14ac:dyDescent="0.2">
      <c r="A1032" s="3"/>
      <c r="B1032" s="3"/>
    </row>
    <row r="1033" spans="1:2" ht="15.75" customHeight="1" x14ac:dyDescent="0.2">
      <c r="A1033" s="3"/>
      <c r="B1033" s="3"/>
    </row>
    <row r="1034" spans="1:2" ht="15.75" customHeight="1" x14ac:dyDescent="0.2">
      <c r="A1034" s="3"/>
      <c r="B1034" s="3"/>
    </row>
    <row r="1035" spans="1:2" ht="15.75" customHeight="1" x14ac:dyDescent="0.2">
      <c r="A1035" s="3"/>
      <c r="B1035" s="3"/>
    </row>
    <row r="1036" spans="1:2" ht="15.75" customHeight="1" x14ac:dyDescent="0.2">
      <c r="A1036" s="3"/>
      <c r="B1036" s="3"/>
    </row>
    <row r="1037" spans="1:2" ht="15.75" customHeight="1" x14ac:dyDescent="0.2">
      <c r="A1037" s="3"/>
      <c r="B1037" s="3"/>
    </row>
    <row r="1038" spans="1:2" ht="15.75" customHeight="1" x14ac:dyDescent="0.2">
      <c r="A1038" s="3"/>
      <c r="B1038" s="3"/>
    </row>
    <row r="1039" spans="1:2" ht="15.75" customHeight="1" x14ac:dyDescent="0.2">
      <c r="A1039" s="3"/>
      <c r="B1039" s="3"/>
    </row>
    <row r="1040" spans="1:2" ht="15.75" customHeight="1" x14ac:dyDescent="0.2">
      <c r="A1040" s="3"/>
      <c r="B1040" s="3"/>
    </row>
    <row r="1041" spans="1:2" ht="15.75" customHeight="1" x14ac:dyDescent="0.2">
      <c r="A1041" s="3"/>
      <c r="B1041" s="3"/>
    </row>
    <row r="1042" spans="1:2" ht="15.75" customHeight="1" x14ac:dyDescent="0.2">
      <c r="A1042" s="3"/>
      <c r="B1042" s="3"/>
    </row>
    <row r="1043" spans="1:2" ht="15.75" customHeight="1" x14ac:dyDescent="0.2">
      <c r="A1043" s="3"/>
      <c r="B1043" s="3"/>
    </row>
    <row r="1044" spans="1:2" ht="15.75" customHeight="1" x14ac:dyDescent="0.2">
      <c r="A1044" s="3"/>
      <c r="B1044" s="3"/>
    </row>
    <row r="1045" spans="1:2" ht="15.75" customHeight="1" x14ac:dyDescent="0.2">
      <c r="A1045" s="3"/>
      <c r="B1045" s="3"/>
    </row>
    <row r="1046" spans="1:2" ht="15.75" customHeight="1" x14ac:dyDescent="0.2">
      <c r="A1046" s="3"/>
      <c r="B1046" s="3"/>
    </row>
    <row r="1047" spans="1:2" ht="15.75" customHeight="1" x14ac:dyDescent="0.2">
      <c r="A1047" s="3"/>
      <c r="B1047" s="3"/>
    </row>
    <row r="1048" spans="1:2" ht="15.75" customHeight="1" x14ac:dyDescent="0.2">
      <c r="A1048" s="3"/>
      <c r="B1048" s="3"/>
    </row>
    <row r="1049" spans="1:2" ht="15.75" customHeight="1" x14ac:dyDescent="0.2">
      <c r="A1049" s="3"/>
      <c r="B1049" s="3"/>
    </row>
  </sheetData>
  <hyperlinks>
    <hyperlink ref="A97" r:id="rId1" display="https://www.thoxan.com/kontakt/" xr:uid="{B07EEC22-A271-AE42-AC9B-AB9520E58BC2}"/>
    <hyperlink ref="A2" r:id="rId2" xr:uid="{9AB1F6FF-9322-8242-AAE9-3CB6151923BA}"/>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KEE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2025-06-29T06:14:24Z</dcterms:created>
  <dcterms:modified xsi:type="dcterms:W3CDTF">2025-06-29T06:16:13Z</dcterms:modified>
</cp:coreProperties>
</file>