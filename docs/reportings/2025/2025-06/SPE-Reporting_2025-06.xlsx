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6/"/>
    </mc:Choice>
  </mc:AlternateContent>
  <xr:revisionPtr revIDLastSave="0" documentId="8_{16356F94-180D-1B49-87E2-1EA8FE31762C}" xr6:coauthVersionLast="47" xr6:coauthVersionMax="47" xr10:uidLastSave="{00000000-0000-0000-0000-000000000000}"/>
  <bookViews>
    <workbookView xWindow="12960" yWindow="500" windowWidth="34520" windowHeight="25880" xr2:uid="{EE6F188A-5AE1-E34A-8246-BCEB150EA9BA}"/>
  </bookViews>
  <sheets>
    <sheet name="SP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27" i="1"/>
  <c r="B22" i="1"/>
  <c r="B18" i="1"/>
  <c r="B13" i="1"/>
  <c r="B9" i="1"/>
  <c r="B38" i="1" l="1"/>
</calcChain>
</file>

<file path=xl/sharedStrings.xml><?xml version="1.0" encoding="utf-8"?>
<sst xmlns="http://schemas.openxmlformats.org/spreadsheetml/2006/main" count="36" uniqueCount="30">
  <si>
    <t>spe group  GmbH / IT-Schutzengel</t>
  </si>
  <si>
    <t>2. Quartal 2025</t>
  </si>
  <si>
    <t>https://www.it-schutzengel.de</t>
  </si>
  <si>
    <t>Monatliche Optimierung</t>
  </si>
  <si>
    <t>Aufwand ca. in Std.</t>
  </si>
  <si>
    <t>1. Linkaufbau, Linkabbau, Online-PR</t>
  </si>
  <si>
    <r>
      <rPr>
        <b/>
        <sz val="10"/>
        <color theme="1"/>
        <rFont val="Arial"/>
        <family val="2"/>
      </rPr>
      <t>Presseportale:</t>
    </r>
    <r>
      <rPr>
        <sz val="10"/>
        <color theme="1"/>
        <rFont val="Arial"/>
        <family val="2"/>
      </rPr>
      <t xml:space="preserve"> Pressemeldung auf gepflegten und geprüften (kostenfreien) Presseportalen online einstellen, Profile einrichten bzw. aktualisieren, Prüfung der Veröffentlichungen, Abstimmung und Dokumentation, Portale siehe Asana / E-Mail (07.-09.05., TKI)</t>
    </r>
  </si>
  <si>
    <r>
      <rPr>
        <b/>
        <sz val="10"/>
        <color theme="1"/>
        <rFont val="Arial"/>
        <family val="2"/>
      </rPr>
      <t>Branchenverzeichnisse:</t>
    </r>
    <r>
      <rPr>
        <sz val="10"/>
        <color theme="1"/>
        <rFont val="Arial"/>
        <family val="2"/>
      </rPr>
      <t xml:space="preserve"> Fortlaufende Aktualisierung und Neueinrichtung von Einträgen in Branchen- und Firmenverzeichnissen lt. Liste, Korrektur der Adresse, Telefonnummer, E-Mailadresse und Website-URL, Ergänzung vorhandener Einträge, Ergänzungen in der Linkprofil-Liste und erneute Überprüfung der bisherigen Verlinkungen, abschließende Dokumentation (22.05.-01.06., TKI)</t>
    </r>
  </si>
  <si>
    <t>Link-Monitoring: Neue Verlinkungen aus Link-Tools der letzten 30 Tage überprüft, einzeln bewertet (monatlich 0,25 Std., TKI)</t>
  </si>
  <si>
    <t>2. Redaktionelle Arbeiten &amp; Website-Pflege</t>
  </si>
  <si>
    <t>Finale Korrekturen am gelieferten Rererenztext (Perspektive, Zitate, etc.), Einpflegen der SCHUSTER-Referenz auf der Website, kl. Anpassungen, Abstimmung und Dokumentation per Video (26.-27.06., TKI)</t>
  </si>
  <si>
    <t>3. Technische Arbeiten, Onpage-Optimierung, ggf. Programmierung</t>
  </si>
  <si>
    <t>Cache-Problematik, weitere Anpassungen an Referenzen, Prüfen der Ergebnisse in der Search Console, Dokumentation (01.-07.04., BKO, TKI)</t>
  </si>
  <si>
    <t>Core-Web-Vitals mobil prüfen / Caching-Alternative abstimmen (22.04., BKO)</t>
  </si>
  <si>
    <t>4. Social Media Management</t>
  </si>
  <si>
    <t>---</t>
  </si>
  <si>
    <t>5. Google Ads &amp; Social Ads</t>
  </si>
  <si>
    <t>Google Ads-Monitoring (2. Quartal): Monatliches Monitoring der Kampagnen, kl. Anpassungen, fortlaufendes Ausschließen und Ergänzen von Keywords, Auswertung am Quartalsende (01.04.-30.06., JST, TKI)</t>
  </si>
  <si>
    <t>Social Ads-Monitoring (2. Quartal): Monatliches Monitoring der Werbe-kampagnen bei Facebook und Instagram, Anpassen der Werbeanzeigen, Verfeinern der Zielgruppe, kl. Arbeiten am Werbekonto, Abstimmung und Dokumentation (01.04.-30.06., JST, TKI)</t>
  </si>
  <si>
    <t>6. Beratung &amp; Sonstiges</t>
  </si>
  <si>
    <t>Bierdeckel-Werbung: Schriftgrößen angepasst, Druckdaten erstellt, Abstimmung und Dokumentation (01.04., RBO, TKI)</t>
  </si>
  <si>
    <t>Vorbereitung, Auswertung der bisherigen Maßnahmen, Videocall zur Abstimmung der nächsten Schritte, Planung des der weiteren Vorgehensweise, Klären von offenen Fragen, anschließend Vorbereitung der geplanten Maßnahmen, interne Abstimmung (29.04., TKI)</t>
  </si>
  <si>
    <t>Recherche und Durchsicht der Expertise sowie der Auswertungen aus den Vorjahren, Analyse der aktuellen Kennzahlen, der Website-Entwicklung und der bisherigen Ergebnisse mit diversen Online-Tools, Ausblick, Planung und Erstellung der nächsten Schritte, Dokumentation und Aufbereitung der Ergebnisse in einer Präsentation zur Jahresauswertung, Vorbereitung des Workshops (28.04.-25.05., TKI)</t>
  </si>
  <si>
    <t>Finale Vorbereitung und und Videoaufzeichnung einer Präsentation der Jahresauswertung mit Ergebnissen, Kennzahlen und geplanten Maßnahmen, konkrete Maßnahmen- und Zeitplanung für die nächsten Schritte, anschließend kurze Dokumentation (25.05., TKI)</t>
  </si>
  <si>
    <t>Prüfung einer Pishing-Mail (kurze Recherche im Netz), Zusendung der Werbebibliotheken von Meta und Google Ads, Abstimmung (26.05., TKI)</t>
  </si>
  <si>
    <t>Organisation, Planung, Überwachung und Steuerung der Aufgaben und Ressourcen (pro Tagessatz ca. 0,5 Std., TKI)</t>
  </si>
  <si>
    <t>Aufwand ca. insgesamt in Std.</t>
  </si>
  <si>
    <t>Aufwand in Tagessätzen</t>
  </si>
  <si>
    <t>2,5 Tagessätze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</si>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</sst>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0" tint="-0.499984740745262"/>
      <name val="Arial"/>
      <family val="2"/>
    </font>
    <font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2" xfId="0" applyFont="1" applyBorder="1" applyAlignment="1">
      <alignment horizontal="center" vertical="center"/>
    </xf>
    <xf numFmtId="0" fontId="6" fillId="0" borderId="4" xfId="0" applyFont="1" applyBorder="1"/>
    <xf numFmtId="0" fontId="5" fillId="0" borderId="4" xfId="0" applyFont="1" applyBorder="1" applyAlignment="1">
      <alignment vertical="top" wrapText="1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5" xfId="0" applyFont="1" applyBorder="1"/>
    <xf numFmtId="0" fontId="5" fillId="0" borderId="3" xfId="0" applyFont="1" applyBorder="1" applyAlignment="1">
      <alignment horizontal="center" vertical="center"/>
    </xf>
    <xf numFmtId="0" fontId="5" fillId="0" borderId="4" xfId="0" quotePrefix="1" applyFont="1" applyBorder="1" applyAlignment="1">
      <alignment vertical="top" wrapText="1"/>
    </xf>
    <xf numFmtId="0" fontId="8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9" fillId="0" borderId="0" xfId="0" applyFont="1"/>
    <xf numFmtId="0" fontId="5" fillId="0" borderId="4" xfId="0" applyFont="1" applyFill="1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s://www.it-schutzengel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3516-7599-9242-875D-5074D1EFEA23}">
  <dimension ref="A1:B993"/>
  <sheetViews>
    <sheetView tabSelected="1" zoomScale="160" zoomScaleNormal="160" workbookViewId="0">
      <pane ySplit="4" topLeftCell="A5" activePane="bottomLeft" state="frozen"/>
      <selection pane="bottomLeft" activeCell="D33" sqref="D33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56" x14ac:dyDescent="0.2">
      <c r="A6" s="13" t="s">
        <v>6</v>
      </c>
      <c r="B6" s="14">
        <v>1</v>
      </c>
    </row>
    <row r="7" spans="1:2" s="11" customFormat="1" ht="84" x14ac:dyDescent="0.2">
      <c r="A7" s="13" t="s">
        <v>7</v>
      </c>
      <c r="B7" s="14">
        <v>4</v>
      </c>
    </row>
    <row r="8" spans="1:2" s="11" customFormat="1" ht="28" x14ac:dyDescent="0.2">
      <c r="A8" s="13" t="s">
        <v>8</v>
      </c>
      <c r="B8" s="14">
        <v>0.5</v>
      </c>
    </row>
    <row r="9" spans="1:2" s="11" customFormat="1" ht="15.75" customHeight="1" x14ac:dyDescent="0.2">
      <c r="A9" s="15" t="s">
        <v>4</v>
      </c>
      <c r="B9" s="16">
        <f>SUM(B6:B8)</f>
        <v>5.5</v>
      </c>
    </row>
    <row r="10" spans="1:2" s="11" customFormat="1" ht="15.75" customHeight="1" x14ac:dyDescent="0.2">
      <c r="A10" s="17"/>
      <c r="B10" s="18"/>
    </row>
    <row r="11" spans="1:2" s="11" customFormat="1" ht="15.75" customHeight="1" x14ac:dyDescent="0.2">
      <c r="A11" s="19" t="s">
        <v>9</v>
      </c>
      <c r="B11" s="18"/>
    </row>
    <row r="12" spans="1:2" s="11" customFormat="1" ht="56" x14ac:dyDescent="0.2">
      <c r="A12" s="20" t="s">
        <v>10</v>
      </c>
      <c r="B12" s="18">
        <v>1</v>
      </c>
    </row>
    <row r="13" spans="1:2" s="11" customFormat="1" ht="15.75" customHeight="1" x14ac:dyDescent="0.2">
      <c r="A13" s="15" t="s">
        <v>4</v>
      </c>
      <c r="B13" s="21">
        <f>SUM(B11:B12)</f>
        <v>1</v>
      </c>
    </row>
    <row r="14" spans="1:2" s="11" customFormat="1" ht="15.75" customHeight="1" x14ac:dyDescent="0.2">
      <c r="A14" s="23"/>
      <c r="B14" s="24"/>
    </row>
    <row r="15" spans="1:2" s="10" customFormat="1" ht="15.75" customHeight="1" x14ac:dyDescent="0.15">
      <c r="A15" s="8" t="s">
        <v>11</v>
      </c>
      <c r="B15" s="14"/>
    </row>
    <row r="16" spans="1:2" s="11" customFormat="1" ht="42" x14ac:dyDescent="0.2">
      <c r="A16" s="13" t="s">
        <v>12</v>
      </c>
      <c r="B16" s="14">
        <v>0.75</v>
      </c>
    </row>
    <row r="17" spans="1:2" s="11" customFormat="1" ht="28" x14ac:dyDescent="0.2">
      <c r="A17" s="13" t="s">
        <v>13</v>
      </c>
      <c r="B17" s="14">
        <v>0.75</v>
      </c>
    </row>
    <row r="18" spans="1:2" s="11" customFormat="1" ht="15.75" customHeight="1" x14ac:dyDescent="0.2">
      <c r="A18" s="25" t="s">
        <v>4</v>
      </c>
      <c r="B18" s="22">
        <f>SUM(B16:B17)</f>
        <v>1.5</v>
      </c>
    </row>
    <row r="19" spans="1:2" s="11" customFormat="1" ht="15.75" customHeight="1" x14ac:dyDescent="0.2">
      <c r="A19" s="26"/>
      <c r="B19" s="14"/>
    </row>
    <row r="20" spans="1:2" s="11" customFormat="1" ht="15.75" customHeight="1" x14ac:dyDescent="0.2">
      <c r="A20" s="27" t="s">
        <v>14</v>
      </c>
      <c r="B20" s="28"/>
    </row>
    <row r="21" spans="1:2" s="11" customFormat="1" ht="14" x14ac:dyDescent="0.2">
      <c r="A21" s="29" t="s">
        <v>15</v>
      </c>
      <c r="B21" s="30"/>
    </row>
    <row r="22" spans="1:2" s="11" customFormat="1" ht="15.75" customHeight="1" x14ac:dyDescent="0.2">
      <c r="A22" s="15" t="s">
        <v>4</v>
      </c>
      <c r="B22" s="21">
        <f>SUM(B21:B21)</f>
        <v>0</v>
      </c>
    </row>
    <row r="23" spans="1:2" s="11" customFormat="1" ht="15.75" customHeight="1" x14ac:dyDescent="0.2">
      <c r="A23" s="31"/>
      <c r="B23" s="18"/>
    </row>
    <row r="24" spans="1:2" s="11" customFormat="1" ht="15.75" customHeight="1" x14ac:dyDescent="0.2">
      <c r="A24" s="19" t="s">
        <v>16</v>
      </c>
      <c r="B24" s="18"/>
    </row>
    <row r="25" spans="1:2" s="11" customFormat="1" ht="42" customHeight="1" x14ac:dyDescent="0.2">
      <c r="A25" s="20" t="s">
        <v>17</v>
      </c>
      <c r="B25" s="38">
        <v>3</v>
      </c>
    </row>
    <row r="26" spans="1:2" s="11" customFormat="1" ht="55" customHeight="1" x14ac:dyDescent="0.2">
      <c r="A26" s="20" t="s">
        <v>18</v>
      </c>
      <c r="B26" s="38">
        <v>3</v>
      </c>
    </row>
    <row r="27" spans="1:2" s="11" customFormat="1" ht="15.75" customHeight="1" x14ac:dyDescent="0.2">
      <c r="A27" s="15" t="s">
        <v>4</v>
      </c>
      <c r="B27" s="21">
        <f>SUM(B25:B26)</f>
        <v>6</v>
      </c>
    </row>
    <row r="28" spans="1:2" s="11" customFormat="1" ht="15.75" customHeight="1" x14ac:dyDescent="0.2">
      <c r="A28" s="31"/>
      <c r="B28" s="18"/>
    </row>
    <row r="29" spans="1:2" s="11" customFormat="1" ht="15.75" customHeight="1" x14ac:dyDescent="0.2">
      <c r="A29" s="19" t="s">
        <v>19</v>
      </c>
      <c r="B29" s="18"/>
    </row>
    <row r="30" spans="1:2" s="11" customFormat="1" ht="28" x14ac:dyDescent="0.2">
      <c r="A30" s="20" t="s">
        <v>20</v>
      </c>
      <c r="B30" s="18">
        <v>0.5</v>
      </c>
    </row>
    <row r="31" spans="1:2" s="11" customFormat="1" ht="70" x14ac:dyDescent="0.2">
      <c r="A31" s="20" t="s">
        <v>21</v>
      </c>
      <c r="B31" s="18">
        <v>0.5</v>
      </c>
    </row>
    <row r="32" spans="1:2" s="10" customFormat="1" ht="84" x14ac:dyDescent="0.15">
      <c r="A32" s="32" t="s">
        <v>22</v>
      </c>
      <c r="B32" s="14">
        <v>3.5</v>
      </c>
    </row>
    <row r="33" spans="1:2" s="10" customFormat="1" ht="56" x14ac:dyDescent="0.15">
      <c r="A33" s="32" t="s">
        <v>23</v>
      </c>
      <c r="B33" s="14">
        <v>1.25</v>
      </c>
    </row>
    <row r="34" spans="1:2" s="10" customFormat="1" ht="42" x14ac:dyDescent="0.15">
      <c r="A34" s="32" t="s">
        <v>24</v>
      </c>
      <c r="B34" s="14">
        <v>0.25</v>
      </c>
    </row>
    <row r="35" spans="1:2" s="11" customFormat="1" ht="28" x14ac:dyDescent="0.2">
      <c r="A35" s="32" t="s">
        <v>25</v>
      </c>
      <c r="B35" s="14">
        <v>1.25</v>
      </c>
    </row>
    <row r="36" spans="1:2" s="11" customFormat="1" ht="15.75" customHeight="1" x14ac:dyDescent="0.2">
      <c r="A36" s="25" t="s">
        <v>4</v>
      </c>
      <c r="B36" s="22">
        <f>SUM(B30:B35)</f>
        <v>7.25</v>
      </c>
    </row>
    <row r="37" spans="1:2" s="11" customFormat="1" ht="15.75" customHeight="1" x14ac:dyDescent="0.2">
      <c r="A37" s="26"/>
      <c r="B37" s="14"/>
    </row>
    <row r="38" spans="1:2" s="11" customFormat="1" ht="16.5" customHeight="1" thickBot="1" x14ac:dyDescent="0.25">
      <c r="A38" s="33" t="s">
        <v>26</v>
      </c>
      <c r="B38" s="34">
        <f>SUM(B9+B13+B18+B22+B27+B36)</f>
        <v>21.25</v>
      </c>
    </row>
    <row r="39" spans="1:2" s="11" customFormat="1" ht="16.5" customHeight="1" thickBot="1" x14ac:dyDescent="0.25">
      <c r="A39" s="36" t="s">
        <v>27</v>
      </c>
      <c r="B39" s="35" t="s">
        <v>28</v>
      </c>
    </row>
    <row r="40" spans="1:2" ht="15.75" customHeight="1" x14ac:dyDescent="0.2">
      <c r="A40" s="10"/>
      <c r="B40" s="10"/>
    </row>
    <row r="41" spans="1:2" ht="15.75" customHeight="1" x14ac:dyDescent="0.2">
      <c r="A41" s="37" t="s">
        <v>29</v>
      </c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</sheetData>
  <hyperlinks>
    <hyperlink ref="A2" r:id="rId1" xr:uid="{5313E0B5-719F-1143-A9DF-8F4064A69848}"/>
    <hyperlink ref="A41" r:id="rId2" display="https://www.thoxan.com/kontakt/" xr:uid="{21EE04FE-55D2-AF4A-94AE-64923D709D6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2025-06-27T05:35:34Z</dcterms:created>
  <dcterms:modified xsi:type="dcterms:W3CDTF">2025-06-27T05:37:00Z</dcterms:modified>
</cp:coreProperties>
</file>