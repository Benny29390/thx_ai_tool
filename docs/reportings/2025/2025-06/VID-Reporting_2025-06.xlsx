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6/"/>
    </mc:Choice>
  </mc:AlternateContent>
  <xr:revisionPtr revIDLastSave="0" documentId="8_{37B52E10-35A1-CB4C-8AB8-1912CC2D4A09}" xr6:coauthVersionLast="47" xr6:coauthVersionMax="47" xr10:uidLastSave="{00000000-0000-0000-0000-000000000000}"/>
  <bookViews>
    <workbookView xWindow="13420" yWindow="2180" windowWidth="33200" windowHeight="23120" xr2:uid="{FC6D3832-6753-DA43-9334-D566C1506FE5}"/>
  </bookViews>
  <sheets>
    <sheet name="VID"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B41" i="1"/>
  <c r="B34" i="1"/>
  <c r="B20" i="1"/>
  <c r="B7" i="1"/>
  <c r="B43" i="1" l="1"/>
</calcChain>
</file>

<file path=xl/sharedStrings.xml><?xml version="1.0" encoding="utf-8"?>
<sst xmlns="http://schemas.openxmlformats.org/spreadsheetml/2006/main" count="42" uniqueCount="37">
  <si>
    <t>Steinmann Video Stream Hosting</t>
  </si>
  <si>
    <t>2. Quartal 2025</t>
  </si>
  <si>
    <t>https://www.video-stream-hosting.com</t>
  </si>
  <si>
    <t>Monatliche Optimierung</t>
  </si>
  <si>
    <t>Aufwand ca. in Std.</t>
  </si>
  <si>
    <t>1. Linkaufbau, Linkabbau, Online-PR</t>
  </si>
  <si>
    <t>---</t>
  </si>
  <si>
    <t>2. Redaktionelle Arbeiten &amp; Website-Pflege</t>
  </si>
  <si>
    <t>Content-Planung (nach Keyword-Clustern): Auf Basis der festgelegten Keyword-Auswahl zu optimierende (neue) Themencluster bilden, Sortieren und Priorisieren der Cluster, Ergänzung passender Keywords und Detailthemen, Abgleich der Cluster mit Inhalten und Struktur der bestehenden Website zur bestmöglichen Integration, Dokumentation und Versand an Kunden zur Abstimmung (15.04., TKI)</t>
  </si>
  <si>
    <t>Video auf Landingpage-Unterseite ergänzen, Anleitungsvideo für Daniel erstellt, Abstimmung (28.04., TKI)</t>
  </si>
  <si>
    <t>Fokus-Keywords in Überschriften ergänzen für festgelegte Cluster, Anpassung der Überschriften-Struktur, Verschieben der Dienstleistungen von Erweiterungen auf Seiten, kl. Anpassungen, Abstimmung und Dokumentation per Video (09.05., TKI)</t>
  </si>
  <si>
    <t>Kompakte Textoptimierung Startseite: Abstimmung, Briefing und Textoptimierung für bestehende Inhalte, Überarbeitung des Bestandstexts und Texterweiterung, Keyword-Optimierung nach WDF*IDF, Ergänzungen und kl. Anpassungen, Lektorat und finale Bearbeitung, Versand an Kunden und Dokumentation (17.04.-14.05., GBO, TKI)</t>
  </si>
  <si>
    <t>Kompakte Textoptimierung Unterseite Eventagenturen: Abstimmung, Briefing und Textoptimierung für bestehende Inhalte, Überarbeitung des Bestandstexts und Texterweiterung, Keyword-Optimierung nach WDF*IDF, Ergänzungen und kl. Anpassungen, Lektorat und finale Bearbeitung, Versand an Kunden und Dokumentation (05.-14.05., GBO, TKI)</t>
  </si>
  <si>
    <t>UX-Optimierung Startseite (zentraler Einstieg), Event-Agenturen, Prüfung des bisherigen Aufbaus und der neuen Textentwürfe von Gaby, Abstimmung und Dokumentation mit kl. Vorschlägen zur Anpassung (08.-09.05., BKO, TKI)</t>
  </si>
  <si>
    <t>Einpflegen der optimierten Startseite sowie Eventagentur-Landingpage: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(19.05., TKI)</t>
  </si>
  <si>
    <t>Integration einer Header-Topbar mit zentralen USPs, kl. Anpassungen am Template, Abstimmung und Dokumentation (19.05., BKO, TKI)</t>
  </si>
  <si>
    <t>Case Studies an zentralen Stellen als Grids ausgeben, Anlegen des Seitenelements als wiederverwendbarer Block, Briefing, Implementierung auf allen Unterseiten und Custom Post Types, kl. Anpassungen wegen Abständen und Hintergrundfarbe, Abstimmung und Dokumentation (15.05.-13.06., MGO, TKI)</t>
  </si>
  <si>
    <t>Interne Verlinkung optimieren für Keyword-Verstärkung der zentralen Unterseiten, anlinken aus allen Unterseiten und Case Studies sowie aus 26 Ratgeber-Beiträgen, kl. Anpassungen, Abstimmung und Dokumentation (03.-13.06., TKI)</t>
  </si>
  <si>
    <t>3. Technische Arbeiten, Onpage-Optimierung, ggf. Programmierung</t>
  </si>
  <si>
    <t>Index-Management: Erneute Überprüfung und Crawl der bei Google indexierten Unterseiten, erneute Durchsicht der Seitenstruktur, Ermitteln von internen Verlinkungen und Fehlern, Handlungsempfehlungen aktualisiert, Dokumentation und Abstimmung (03.-07., 11, 14., 28.04., 02.05., 02.-11.06., TKI)</t>
  </si>
  <si>
    <t>Cookie Bugs/Fehler, Cookies einrichten, Google Cookies löschen bei Opt-Out (01.04., BKO)</t>
  </si>
  <si>
    <t>WP-Rocket für Admin light ermöglichen (Cache leeren) (28.04., BKO)</t>
  </si>
  <si>
    <t>WordPress-Update: Backup der Dateien und der Datenbank, umfassendes Update des WordPress-Systems sowie aller verwendeten Plugins, Funktionsprüfung, kl. Anpassungen im System, erneutes Backup nach Aktualisierung, Dokumentation und Abstimmung (20.05., BKO, TKI)</t>
  </si>
  <si>
    <t>4. Google Ads</t>
  </si>
  <si>
    <t>Google Ads (Monitoring April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(01.-30.04., JST, TKI)</t>
  </si>
  <si>
    <t>Google Ads (Monitoring Mai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(01.-31.05., JST, TKI)</t>
  </si>
  <si>
    <t>Google Ads (Monitoring Juni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(01.-30.06., JST, TKI)</t>
  </si>
  <si>
    <t>5. Beratung &amp; Sonstiges</t>
  </si>
  <si>
    <t>Kurze Vorbereitung und virtuelle Abstimmung zur aktuellen Zusammenarbeit, Maßnahmenplanung und Erläuterung der verschiedenen Aufgabenfelder, Klären von div. Fragen 14:15-14:45 Uhr (anteilig), anschließend Dokumentation und interne Abstimmung für die nächsten Maßnahmen (01.-03.04., TKI)</t>
  </si>
  <si>
    <t>Recherche und Durchsicht der Expertise sowie der Auswertungen aus den Vorjahren, Analyse der aktuellen Kennzahlen, der Website-Entwicklung und der bisherigen Ergebnisse mit diversen Online-Tools, Ausblick, Planung und Erstellung der nächsten Schritte, Dokumentation und Aufbereitung der Ergebnisse in einer Präsentation zur Jahresauswertung, Vorbereitung des Workshops (15.-18.05., TKI)</t>
  </si>
  <si>
    <t>Finale Vorbereitung und und Videoaufzeichnung einer Präsentation der Jahresauswertung mit Ergebnissen, Kennzahlen und geplanten Maßnahmen, konkrete Maßnahmen- und Zeitplanung für die nächsten Schritte, anschließend kurze Dokumentation (18.05, TKI)</t>
  </si>
  <si>
    <t>Organisation, Planung, Überwachung und Steuerung der Aufgaben und Ressourcen (pro Tagessatz ca. 0,5 Std., TKI)</t>
  </si>
  <si>
    <t>Aufwand ca. insgesamt in Std.</t>
  </si>
  <si>
    <t>Aufwand in Tagessätzen</t>
  </si>
  <si>
    <t>5 Tagessätze</t>
  </si>
  <si>
    <t>Noch Rückfragen? Kontakt zur Thoxan Communications GmbH unter https://www.thoxan.com/kontakt</t>
  </si>
  <si>
    <t>Abstimmung wegen Backup-Lösung, Dateilöschung, etc. (02.-16.06., BKO)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</si>
</sst>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sz val="10"/>
      <color rgb="FF000000"/>
      <name val="Arial"/>
      <family val="2"/>
    </font>
    <font>
      <b/>
      <sz val="10"/>
      <color theme="1"/>
      <name val="Arial"/>
      <family val="2"/>
    </font>
    <font>
      <sz val="10"/>
      <color theme="1"/>
      <name val="Calibri"/>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7" fillId="0" borderId="0" xfId="0" applyFont="1"/>
    <xf numFmtId="0" fontId="7" fillId="0" borderId="1" xfId="0" applyFont="1" applyBorder="1"/>
    <xf numFmtId="0" fontId="7" fillId="2" borderId="1" xfId="0" applyFont="1" applyFill="1" applyBorder="1" applyAlignment="1">
      <alignment horizontal="center" vertical="center"/>
    </xf>
    <xf numFmtId="0" fontId="5" fillId="0" borderId="0" xfId="0" applyFont="1"/>
    <xf numFmtId="0" fontId="8" fillId="0" borderId="0" xfId="0" applyFont="1"/>
    <xf numFmtId="0" fontId="7"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7" fillId="0" borderId="3" xfId="0" applyFont="1" applyBorder="1"/>
    <xf numFmtId="0" fontId="5" fillId="0" borderId="3" xfId="0" applyFont="1" applyBorder="1" applyAlignment="1">
      <alignment vertical="top" wrapText="1"/>
    </xf>
    <xf numFmtId="0" fontId="5" fillId="0" borderId="4" xfId="0" applyFont="1" applyBorder="1" applyAlignment="1">
      <alignment vertical="top" wrapText="1"/>
    </xf>
    <xf numFmtId="0" fontId="5" fillId="0" borderId="5" xfId="0" applyFont="1" applyBorder="1" applyAlignment="1">
      <alignment horizontal="center" vertical="center"/>
    </xf>
    <xf numFmtId="0" fontId="5" fillId="0" borderId="1" xfId="0" applyFont="1" applyBorder="1" applyAlignment="1">
      <alignment vertical="top" wrapText="1"/>
    </xf>
    <xf numFmtId="0" fontId="5" fillId="3" borderId="1" xfId="0" applyFont="1" applyFill="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vertical="top" wrapText="1"/>
    </xf>
    <xf numFmtId="0" fontId="7" fillId="0" borderId="3" xfId="0" applyFont="1" applyBorder="1" applyAlignment="1">
      <alignment wrapText="1"/>
    </xf>
    <xf numFmtId="0" fontId="5" fillId="0" borderId="3" xfId="0" applyFont="1" applyBorder="1" applyAlignment="1">
      <alignment vertical="center"/>
    </xf>
    <xf numFmtId="0" fontId="5" fillId="2" borderId="6" xfId="0" applyFont="1" applyFill="1" applyBorder="1" applyAlignment="1">
      <alignment vertical="center"/>
    </xf>
    <xf numFmtId="0" fontId="7" fillId="2" borderId="6" xfId="0" applyFont="1" applyFill="1" applyBorder="1" applyAlignment="1">
      <alignment horizontal="center" vertical="center"/>
    </xf>
    <xf numFmtId="0" fontId="9"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video-stream-hosting.com/"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49A3C-D778-6D49-82D6-003B83251C32}">
  <dimension ref="A1:B998"/>
  <sheetViews>
    <sheetView tabSelected="1" zoomScale="140" zoomScaleNormal="140" workbookViewId="0">
      <pane ySplit="4" topLeftCell="A5" activePane="bottomLeft" state="frozen"/>
      <selection pane="bottomLeft" activeCell="D39" sqref="D39"/>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7"/>
      <c r="B8" s="18"/>
    </row>
    <row r="9" spans="1:2" s="11" customFormat="1" ht="15.75" customHeight="1" x14ac:dyDescent="0.2">
      <c r="A9" s="19" t="s">
        <v>7</v>
      </c>
      <c r="B9" s="18"/>
    </row>
    <row r="10" spans="1:2" s="11" customFormat="1" ht="84" x14ac:dyDescent="0.2">
      <c r="A10" s="20" t="s">
        <v>8</v>
      </c>
      <c r="B10" s="18">
        <v>2.5</v>
      </c>
    </row>
    <row r="11" spans="1:2" s="11" customFormat="1" ht="28" x14ac:dyDescent="0.2">
      <c r="A11" s="20" t="s">
        <v>9</v>
      </c>
      <c r="B11" s="18">
        <v>0.25</v>
      </c>
    </row>
    <row r="12" spans="1:2" s="11" customFormat="1" ht="56" x14ac:dyDescent="0.2">
      <c r="A12" s="20" t="s">
        <v>10</v>
      </c>
      <c r="B12" s="18">
        <v>1.25</v>
      </c>
    </row>
    <row r="13" spans="1:2" s="11" customFormat="1" ht="67" customHeight="1" x14ac:dyDescent="0.2">
      <c r="A13" s="21" t="s">
        <v>11</v>
      </c>
      <c r="B13" s="22">
        <v>3.5</v>
      </c>
    </row>
    <row r="14" spans="1:2" s="11" customFormat="1" ht="69" customHeight="1" x14ac:dyDescent="0.2">
      <c r="A14" s="23" t="s">
        <v>12</v>
      </c>
      <c r="B14" s="14">
        <v>2.5</v>
      </c>
    </row>
    <row r="15" spans="1:2" s="11" customFormat="1" ht="56" x14ac:dyDescent="0.2">
      <c r="A15" s="23" t="s">
        <v>13</v>
      </c>
      <c r="B15" s="24">
        <v>2</v>
      </c>
    </row>
    <row r="16" spans="1:2" s="11" customFormat="1" ht="84" x14ac:dyDescent="0.2">
      <c r="A16" s="23" t="s">
        <v>14</v>
      </c>
      <c r="B16" s="14">
        <v>2</v>
      </c>
    </row>
    <row r="17" spans="1:2" s="11" customFormat="1" ht="28" x14ac:dyDescent="0.2">
      <c r="A17" s="23" t="s">
        <v>15</v>
      </c>
      <c r="B17" s="14">
        <v>2</v>
      </c>
    </row>
    <row r="18" spans="1:2" s="11" customFormat="1" ht="70" x14ac:dyDescent="0.2">
      <c r="A18" s="23" t="s">
        <v>16</v>
      </c>
      <c r="B18" s="14">
        <v>3.5</v>
      </c>
    </row>
    <row r="19" spans="1:2" s="11" customFormat="1" ht="56" x14ac:dyDescent="0.2">
      <c r="A19" s="23" t="s">
        <v>17</v>
      </c>
      <c r="B19" s="14">
        <v>4</v>
      </c>
    </row>
    <row r="20" spans="1:2" s="11" customFormat="1" ht="15.75" customHeight="1" x14ac:dyDescent="0.2">
      <c r="A20" s="25" t="s">
        <v>4</v>
      </c>
      <c r="B20" s="26">
        <f>SUM(B10:B19)</f>
        <v>23.5</v>
      </c>
    </row>
    <row r="21" spans="1:2" s="11" customFormat="1" ht="15.75" customHeight="1" x14ac:dyDescent="0.2">
      <c r="A21" s="27"/>
      <c r="B21" s="14"/>
    </row>
    <row r="22" spans="1:2" s="10" customFormat="1" ht="15.75" customHeight="1" x14ac:dyDescent="0.15">
      <c r="A22" s="8" t="s">
        <v>18</v>
      </c>
      <c r="B22" s="14"/>
    </row>
    <row r="23" spans="1:2" s="11" customFormat="1" ht="70" x14ac:dyDescent="0.2">
      <c r="A23" s="13" t="s">
        <v>19</v>
      </c>
      <c r="B23" s="14">
        <v>3</v>
      </c>
    </row>
    <row r="24" spans="1:2" s="11" customFormat="1" ht="28" x14ac:dyDescent="0.2">
      <c r="A24" s="13" t="s">
        <v>20</v>
      </c>
      <c r="B24" s="14">
        <v>0.5</v>
      </c>
    </row>
    <row r="25" spans="1:2" s="11" customFormat="1" ht="14" x14ac:dyDescent="0.2">
      <c r="A25" s="13" t="s">
        <v>21</v>
      </c>
      <c r="B25" s="14">
        <v>0.25</v>
      </c>
    </row>
    <row r="26" spans="1:2" s="11" customFormat="1" ht="70" x14ac:dyDescent="0.2">
      <c r="A26" s="13" t="s">
        <v>22</v>
      </c>
      <c r="B26" s="14">
        <v>1.5</v>
      </c>
    </row>
    <row r="27" spans="1:2" s="11" customFormat="1" ht="28" x14ac:dyDescent="0.2">
      <c r="A27" s="13" t="s">
        <v>36</v>
      </c>
      <c r="B27" s="14">
        <v>0.5</v>
      </c>
    </row>
    <row r="28" spans="1:2" s="11" customFormat="1" ht="15.75" customHeight="1" x14ac:dyDescent="0.2">
      <c r="A28" s="25" t="s">
        <v>4</v>
      </c>
      <c r="B28" s="26">
        <f>SUM(B22:B27)</f>
        <v>5.75</v>
      </c>
    </row>
    <row r="29" spans="1:2" s="11" customFormat="1" ht="15.75" customHeight="1" x14ac:dyDescent="0.2">
      <c r="A29" s="27"/>
      <c r="B29" s="14"/>
    </row>
    <row r="30" spans="1:2" s="11" customFormat="1" ht="15.75" customHeight="1" x14ac:dyDescent="0.2">
      <c r="A30" s="8" t="s">
        <v>23</v>
      </c>
      <c r="B30" s="14"/>
    </row>
    <row r="31" spans="1:2" s="11" customFormat="1" ht="112" x14ac:dyDescent="0.2">
      <c r="A31" s="28" t="s">
        <v>24</v>
      </c>
      <c r="B31" s="14">
        <v>1</v>
      </c>
    </row>
    <row r="32" spans="1:2" s="11" customFormat="1" ht="112" x14ac:dyDescent="0.2">
      <c r="A32" s="28" t="s">
        <v>25</v>
      </c>
      <c r="B32" s="14">
        <v>1</v>
      </c>
    </row>
    <row r="33" spans="1:2" s="11" customFormat="1" ht="112" x14ac:dyDescent="0.2">
      <c r="A33" s="28" t="s">
        <v>26</v>
      </c>
      <c r="B33" s="14">
        <v>1</v>
      </c>
    </row>
    <row r="34" spans="1:2" s="11" customFormat="1" ht="15.75" customHeight="1" x14ac:dyDescent="0.2">
      <c r="A34" s="15" t="s">
        <v>4</v>
      </c>
      <c r="B34" s="16">
        <f>SUM(B31:B33)</f>
        <v>3</v>
      </c>
    </row>
    <row r="35" spans="1:2" s="11" customFormat="1" ht="15.75" customHeight="1" x14ac:dyDescent="0.2">
      <c r="A35" s="29"/>
      <c r="B35" s="18"/>
    </row>
    <row r="36" spans="1:2" s="11" customFormat="1" ht="14" customHeight="1" x14ac:dyDescent="0.2">
      <c r="A36" s="19" t="s">
        <v>27</v>
      </c>
      <c r="B36" s="18"/>
    </row>
    <row r="37" spans="1:2" s="11" customFormat="1" ht="70" x14ac:dyDescent="0.2">
      <c r="A37" s="20" t="s">
        <v>28</v>
      </c>
      <c r="B37" s="18">
        <v>1</v>
      </c>
    </row>
    <row r="38" spans="1:2" s="10" customFormat="1" ht="84" x14ac:dyDescent="0.15">
      <c r="A38" s="23" t="s">
        <v>29</v>
      </c>
      <c r="B38" s="14">
        <v>4.5</v>
      </c>
    </row>
    <row r="39" spans="1:2" s="10" customFormat="1" ht="56" x14ac:dyDescent="0.15">
      <c r="A39" s="23" t="s">
        <v>30</v>
      </c>
      <c r="B39" s="14">
        <v>1.25</v>
      </c>
    </row>
    <row r="40" spans="1:2" s="11" customFormat="1" ht="28" x14ac:dyDescent="0.2">
      <c r="A40" s="20" t="s">
        <v>31</v>
      </c>
      <c r="B40" s="18">
        <v>2.5</v>
      </c>
    </row>
    <row r="41" spans="1:2" s="11" customFormat="1" ht="15.75" customHeight="1" x14ac:dyDescent="0.2">
      <c r="A41" s="15" t="s">
        <v>4</v>
      </c>
      <c r="B41" s="16">
        <f>SUM(B37:B40)</f>
        <v>9.25</v>
      </c>
    </row>
    <row r="42" spans="1:2" s="11" customFormat="1" ht="15.75" customHeight="1" x14ac:dyDescent="0.2">
      <c r="A42" s="30"/>
      <c r="B42" s="18"/>
    </row>
    <row r="43" spans="1:2" s="11" customFormat="1" ht="16.5" customHeight="1" thickBot="1" x14ac:dyDescent="0.25">
      <c r="A43" s="31" t="s">
        <v>32</v>
      </c>
      <c r="B43" s="32">
        <f>SUM(B7+B20+B28+B34+B41)</f>
        <v>41.5</v>
      </c>
    </row>
    <row r="44" spans="1:2" s="11" customFormat="1" ht="16.5" customHeight="1" thickBot="1" x14ac:dyDescent="0.25">
      <c r="A44" s="31" t="s">
        <v>33</v>
      </c>
      <c r="B44" s="32" t="s">
        <v>34</v>
      </c>
    </row>
    <row r="45" spans="1:2" ht="15.75" customHeight="1" x14ac:dyDescent="0.2">
      <c r="A45" s="10"/>
      <c r="B45" s="10"/>
    </row>
    <row r="46" spans="1:2" ht="15.75" customHeight="1" x14ac:dyDescent="0.2">
      <c r="A46" s="33" t="s">
        <v>35</v>
      </c>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sheetData>
  <hyperlinks>
    <hyperlink ref="A46" r:id="rId1" display="https://www.thoxan.com/kontakt/" xr:uid="{0177691E-19A9-9946-B302-0AC7F76BBD46}"/>
    <hyperlink ref="A2" r:id="rId2" xr:uid="{F83DBA5E-451F-2F4D-8EAB-DB070093A121}"/>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VID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2025-06-27T13:13:10Z</dcterms:created>
  <dcterms:modified xsi:type="dcterms:W3CDTF">2025-06-27T13:15:42Z</dcterms:modified>
</cp:coreProperties>
</file>