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04/"/>
    </mc:Choice>
  </mc:AlternateContent>
  <xr:revisionPtr revIDLastSave="0" documentId="13_ncr:1_{31C23A1C-72B9-2B4F-B823-735E215B855C}" xr6:coauthVersionLast="47" xr6:coauthVersionMax="47" xr10:uidLastSave="{00000000-0000-0000-0000-000000000000}"/>
  <bookViews>
    <workbookView xWindow="11520" yWindow="500" windowWidth="37120" windowHeight="25580" xr2:uid="{E6D4810E-A832-F641-873A-119456C68247}"/>
  </bookViews>
  <sheets>
    <sheet name="BK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1" l="1"/>
  <c r="B43" i="1"/>
  <c r="B38" i="1"/>
  <c r="B30" i="1"/>
  <c r="B24" i="1"/>
  <c r="B18" i="1"/>
  <c r="B51" i="1" l="1"/>
</calcChain>
</file>

<file path=xl/sharedStrings.xml><?xml version="1.0" encoding="utf-8"?>
<sst xmlns="http://schemas.openxmlformats.org/spreadsheetml/2006/main" count="49" uniqueCount="43">
  <si>
    <t>BKK GILDEMEISTER SEIDENSTICKER</t>
  </si>
  <si>
    <t>März / April 2025</t>
  </si>
  <si>
    <t>www.bkkgs.de</t>
  </si>
  <si>
    <t>Monatliche Optimierung</t>
  </si>
  <si>
    <t>Aufwand ca. in Std.</t>
  </si>
  <si>
    <t>1. Linkaufbau, Online-PR</t>
  </si>
  <si>
    <r>
      <t xml:space="preserve">Finale Textarbeiten (Gastartikel): Briefing und Recherche, Texterstellung für Gastbeitrag auf versicherungsbote.de, Lektorat, Abstimmung und Vorbereitung zur Veröffentlichung, mehrfache Abstimmung mit dem Website-Betreiber (02.-19.03., 31.03., 28.-29.04., TKI) </t>
    </r>
    <r>
      <rPr>
        <sz val="10"/>
        <color rgb="FFFF0000"/>
        <rFont val="Arial"/>
        <family val="2"/>
      </rPr>
      <t>o. Berechnung</t>
    </r>
  </si>
  <si>
    <t>Textarbeiten (Gastartikel): Briefing und Recherche, Texterstellung für Gastbeitrag auf garten.schule, Lektorat, Abstimmung und Vorbereitung zur Veröffentlichung (03.03., EXT, TKI)</t>
  </si>
  <si>
    <t>Textarbeiten (Gastartikel): Briefing und Recherche, Texterstellung für Gastbeitrag auf simplify.de, Lektorat, Abstimmung und Vorbereitung zur Veröffentlichung (26.03., EXT, TKI)</t>
  </si>
  <si>
    <t>Textarbeiten (Gastartikel): Briefing und Recherche, Texterstellung für Gastbeitrag auf babysnatur.de, Lektorat, Abstimmung und Vorbereitung zur Veröffentlichung (01.04., EXT, TKI)</t>
  </si>
  <si>
    <t>Textarbeiten (Gastartikel): Briefing und Recherche, Texterstellung für Gastbeitrag auf american-football.com, Lektorat, Abstimmung und Vorbereitung zur Veröffentlichung (07.04., EXT, TKI)</t>
  </si>
  <si>
    <t>Linkaufbau-Organisation und Abstimmung mit den Seitenbetreibern zur Veröffentlichung der vorbereiteten Gastartikel, Prüfung der Link-Integration, Abrechnung der Linkaufbau-Auslagen, Abstimmung und Dokumentation  (03.03.-28.04., TKI)</t>
  </si>
  <si>
    <t>https://www.garten.schule/der-garten-als-positive-kraftoase/</t>
  </si>
  <si>
    <t>https://www.versicherungsbote.de/id/4938725/Umsatz-steigern-mit-dem-Rundum-sicher-Paket-der-BKK-GILDEMEISTER-SEIDENSTICKER/</t>
  </si>
  <si>
    <t>https://american-football.com/news/starke-faszien-starke-muskulatur-5837</t>
  </si>
  <si>
    <t>https://www.simplify.de/selbstmanagement/gesundheit/simplifyer-bei-krankheit-und-in-aussergewoehnlichen-lebensphasen/</t>
  </si>
  <si>
    <t>babysnatur.de</t>
  </si>
  <si>
    <t>Wartet auf Veröffentlichung</t>
  </si>
  <si>
    <t>Link-Monitoring: Neue Verlinkungen aus Link-Tools der letzten 30 Tage überprüft, einzeln bewertet (monatlich ca. 0,25 Std., TKI)</t>
  </si>
  <si>
    <t>2. Redaktionelle Arbeiten (Gaby)</t>
  </si>
  <si>
    <t>Textarbeiten Krankenversicherung Rentner (47): Abstimmung, Briefing und inhaltliche Konzeption, Recherche und Zusammentragen der Informationen, Texterstellung, Keyword-Optimierung nach WDF*IDF, Ergänzungen und kl. Anpassungen, Lektorat und finale Bearbeitung, Versand an Kunden und Dokumentation (10.-12.03., GBO, TKI)</t>
  </si>
  <si>
    <t>Textarbeiten BMI Rechner (48): Abstimmung, Briefing und inhaltliche Konzeption, Recherche und Zusammentragen der Informationen, Texterstellung, Keyword-Optimierung nach WDF*IDF, Ergänzungen und kl. Anpassungen, Lektorat und finale Bearbeitung, Versand an Kunden und Dokumentation (16.-17.04., GBO, TKI)</t>
  </si>
  <si>
    <t>Durchsicht / Planung der aktuellen Textaufträge, interne Abstimmung, Asana-Tickets, Dokumentation (03.03.-28.04., GBO)</t>
  </si>
  <si>
    <t>3. Website-Pflegearbeiten</t>
  </si>
  <si>
    <t>Einpflegen Lead-Magnet Landingpage: Interne Abstimmung und Einpflegen der neuen Texte auf der Website, Aufbau der Seite mit abwechslungs-reichen Text- und Seitenelementen, Störern, Absätzen, Fotos, etc., Strukturierung der Absätze und einheitliche Formatierung der Inhalte, Bildbearbeitung und -integration, kl. Anpassungen und Dokumentation (14.-24.03., 28.04., DKI, TKI)</t>
  </si>
  <si>
    <t>Einbau weiterer Gesundheitsjournal-Boxen zur Platzierung als Mehrwert auf relevanten Leistungsseiten, Prüfung der Daten und finale Bearbeitung, Versand an Kunden und Dokumentation (28.-29.04., DKI, TKI)</t>
  </si>
  <si>
    <t>Alt-Attribute für Bilder in der TYPO3-Mediathek erstellen (direkt im System), kl. Anpassungen, Abstimmung und Dokumentation (03.03.-28.04., VKO, TKI)</t>
  </si>
  <si>
    <t>4. Technische Arbeiten, Onpage-Optimierung, UX-Optimierung</t>
  </si>
  <si>
    <t>Interne Abstimmung Barrierefreiheit, Dokumentation per Video, kurze Vorbereitung und Austausch per Videocall (14-14.30 Uhr) sowie Abstimmung der weiteren Maßnahmen, Klären von div. Fragen, anschließend interne Planung und Dokumentation (10.-12.03., BKO, TKI)</t>
  </si>
  <si>
    <t>Weitere UX-Optimierung für die Unterseite "Mitglied werden", Anlegen der Entwürfe in Figma, Klickpfade definieren, Benutzerführung (Fokus Familien), Abstimmung und Dokumentation per Video (03.-04.04., BKO, TKI)</t>
  </si>
  <si>
    <t>Weitere UX-Optimierung für die Unterseite "Mitgliedschaft Familie", Anlegen der Entwürfe in Figma, Klickpfade definieren, Benutzerführung (Fokus Familien), Abstimmung und Dokumentation per Video (14.-17.04., BKO, TKI)</t>
  </si>
  <si>
    <t>Recherche und Testmaßnahmen, Bildschirmaufzeichnung (Europ. Hotjar-Programm), Abstimmung und Empfehlung zur Vorgehensweise (17.04., BKO, TKI)</t>
  </si>
  <si>
    <t>Überprüfung der Maßnahmen und der technischen Anpassungen von move:elevator, siehe Ticket-Dokumentation – Ladezeit-Optimierung, Core Web Vitals, PDF im Index, W3C-Validierung, etc., Abstimmung und Dokumentation (03.03.-29.04., TKI)</t>
  </si>
  <si>
    <t>5. Google Ads, Monitoring</t>
  </si>
  <si>
    <t>Fortlaufendes Monitoring der eingerichteten Kampagnen und Anzeigengruppen, Anlegen weiterer Anzeigengruppen mit div. Keywords lt. Cluster-Auswahl, Texten von Anzeigen, Ergänzung und Ausschluss von passenden / unpassenden Keywords, kl. Änderungen, Auswertung jeweils zum Monatsende (01.03.-30.04., JST, DHE, TKI)</t>
  </si>
  <si>
    <t>6. Beratung &amp; Sonstiges</t>
  </si>
  <si>
    <t>Recherche und Durchsicht der Expertise sowie der Auswertungen aus den Vorjahren, Analyse der aktuellen Kennzahlen, der Website-Entwicklung und der bisherigen Ergebnisse mit diversen Online-Tools, Ausblick, Planung und Erstellung der nächsten Schritte, Dokumentation und Aufbereitung der Ergebnisse in einer Präsentation zur Jahresauswertung, Vorbereitung des Workshops (03.-14.03., TKI)</t>
  </si>
  <si>
    <t>Finale Vorbereitung und Durchführung eines Workshops per Zoom (10:30-13:00 Uhr), Präsentation der Jahresauswertung mit Ergebnissen, Kennzahlen und geplanten Maßnahmen, Abstimmung und Klären von Fragen, konkrete Maßnahmen- und Zeitplanung für die nächsten Schritte, anschließend kurze Dokumentation, Planung und interne Abstimmung weiterer Maßnahmen (20.-21.03., TKI)</t>
  </si>
  <si>
    <t>Organisation, Planung, Überwachung und Steuerung der Aufgaben und Ressourcen (pro Tagessatz ca. 0,5 Std., TKI)</t>
  </si>
  <si>
    <t>Aufwand ca. insgesamt in Std.</t>
  </si>
  <si>
    <t>Aufwand in Tagessätzen</t>
  </si>
  <si>
    <t>Noch Rückfragen? Kontakt zur Thoxan Communications GmbH unter https://www.thoxan.com/kontakt</t>
  </si>
  <si>
    <t>Matomo-Verifizierung (2FA), Abstimmung für separaten Account (28.04., JST, TKI)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</si>
</sst>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u/>
      <sz val="12"/>
      <color theme="10"/>
      <name val="Calibri"/>
      <family val="2"/>
    </font>
    <font>
      <sz val="10"/>
      <color theme="0" tint="-0.499984740745262"/>
      <name val="Arial"/>
      <family val="2"/>
    </font>
    <font>
      <sz val="10.5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0" fontId="4" fillId="0" borderId="0" xfId="0" applyFont="1"/>
    <xf numFmtId="49" fontId="5" fillId="0" borderId="0" xfId="0" applyNumberFormat="1" applyFont="1" applyAlignment="1">
      <alignment horizontal="right"/>
    </xf>
    <xf numFmtId="0" fontId="5" fillId="0" borderId="0" xfId="0" applyFont="1"/>
    <xf numFmtId="0" fontId="5" fillId="0" borderId="1" xfId="0" applyFont="1" applyBorder="1"/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8" fillId="0" borderId="0" xfId="1" applyFont="1"/>
    <xf numFmtId="0" fontId="9" fillId="0" borderId="0" xfId="0" applyFont="1"/>
    <xf numFmtId="0" fontId="5" fillId="0" borderId="1" xfId="0" applyFont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arten.schule/der-garten-als-positive-kraftoase/" TargetMode="External"/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bkkgs.de/" TargetMode="External"/><Relationship Id="rId6" Type="http://schemas.openxmlformats.org/officeDocument/2006/relationships/hyperlink" Target="https://www.simplify.de/selbstmanagement/gesundheit/simplifyer-bei-krankheit-und-in-aussergewoehnlichen-lebensphasen/" TargetMode="External"/><Relationship Id="rId5" Type="http://schemas.openxmlformats.org/officeDocument/2006/relationships/hyperlink" Target="https://american-football.com/news/starke-faszien-starke-muskulatur-5837" TargetMode="External"/><Relationship Id="rId4" Type="http://schemas.openxmlformats.org/officeDocument/2006/relationships/hyperlink" Target="https://www.versicherungsbote.de/id/4938725/Umsatz-steigern-mit-dem-Rundum-sicher-Paket-der-BKK-GILDEMEISTER-SEIDENSTIC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9798F-46C9-D34C-A92D-F1B615FA5077}">
  <dimension ref="A1:B1010"/>
  <sheetViews>
    <sheetView tabSelected="1" zoomScale="170" zoomScaleNormal="170" workbookViewId="0">
      <pane ySplit="4" topLeftCell="A5" activePane="bottomLeft" state="frozen"/>
      <selection pane="bottomLeft" activeCell="A41" sqref="A41:B41"/>
    </sheetView>
  </sheetViews>
  <sheetFormatPr baseColWidth="10" defaultColWidth="11.1640625" defaultRowHeight="15" customHeight="1" x14ac:dyDescent="0.2"/>
  <cols>
    <col min="1" max="1" width="57.5" style="3" customWidth="1"/>
    <col min="2" max="2" width="23" style="3" customWidth="1"/>
    <col min="3" max="16384" width="11.1640625" style="3"/>
  </cols>
  <sheetData>
    <row r="1" spans="1:2" ht="19.5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4"/>
      <c r="B3" s="6"/>
    </row>
    <row r="4" spans="1:2" s="6" customFormat="1" ht="15.75" customHeight="1" x14ac:dyDescent="0.15">
      <c r="A4" s="7"/>
      <c r="B4" s="8" t="s">
        <v>4</v>
      </c>
    </row>
    <row r="5" spans="1:2" s="6" customFormat="1" ht="15.75" customHeight="1" x14ac:dyDescent="0.15">
      <c r="A5" s="10" t="s">
        <v>5</v>
      </c>
      <c r="B5" s="11"/>
    </row>
    <row r="6" spans="1:2" ht="56" x14ac:dyDescent="0.2">
      <c r="A6" s="12" t="s">
        <v>6</v>
      </c>
      <c r="B6" s="14">
        <v>0</v>
      </c>
    </row>
    <row r="7" spans="1:2" ht="42" x14ac:dyDescent="0.2">
      <c r="A7" s="12" t="s">
        <v>7</v>
      </c>
      <c r="B7" s="14">
        <v>3</v>
      </c>
    </row>
    <row r="8" spans="1:2" ht="42" x14ac:dyDescent="0.2">
      <c r="A8" s="12" t="s">
        <v>8</v>
      </c>
      <c r="B8" s="14">
        <v>3</v>
      </c>
    </row>
    <row r="9" spans="1:2" ht="42" x14ac:dyDescent="0.2">
      <c r="A9" s="12" t="s">
        <v>9</v>
      </c>
      <c r="B9" s="14">
        <v>3</v>
      </c>
    </row>
    <row r="10" spans="1:2" ht="42" x14ac:dyDescent="0.2">
      <c r="A10" s="12" t="s">
        <v>10</v>
      </c>
      <c r="B10" s="14">
        <v>3</v>
      </c>
    </row>
    <row r="11" spans="1:2" s="6" customFormat="1" ht="56" x14ac:dyDescent="0.15">
      <c r="A11" s="12" t="s">
        <v>11</v>
      </c>
      <c r="B11" s="14">
        <v>2.5</v>
      </c>
    </row>
    <row r="12" spans="1:2" s="6" customFormat="1" ht="14" x14ac:dyDescent="0.15">
      <c r="A12" s="15" t="s">
        <v>12</v>
      </c>
      <c r="B12" s="14"/>
    </row>
    <row r="13" spans="1:2" s="6" customFormat="1" ht="28" x14ac:dyDescent="0.15">
      <c r="A13" s="15" t="s">
        <v>13</v>
      </c>
      <c r="B13" s="23"/>
    </row>
    <row r="14" spans="1:2" s="6" customFormat="1" ht="28" x14ac:dyDescent="0.15">
      <c r="A14" s="15" t="s">
        <v>14</v>
      </c>
      <c r="B14" s="14"/>
    </row>
    <row r="15" spans="1:2" s="6" customFormat="1" ht="28" x14ac:dyDescent="0.15">
      <c r="A15" s="15" t="s">
        <v>15</v>
      </c>
      <c r="B15" s="14"/>
    </row>
    <row r="16" spans="1:2" s="6" customFormat="1" ht="14" x14ac:dyDescent="0.15">
      <c r="A16" s="15" t="s">
        <v>16</v>
      </c>
      <c r="B16" s="24" t="s">
        <v>17</v>
      </c>
    </row>
    <row r="17" spans="1:2" s="6" customFormat="1" ht="27.75" customHeight="1" x14ac:dyDescent="0.15">
      <c r="A17" s="12" t="s">
        <v>18</v>
      </c>
      <c r="B17" s="14">
        <v>0.5</v>
      </c>
    </row>
    <row r="18" spans="1:2" s="6" customFormat="1" ht="15.75" customHeight="1" x14ac:dyDescent="0.15">
      <c r="A18" s="8" t="s">
        <v>4</v>
      </c>
      <c r="B18" s="9">
        <f>SUM(B6:B17)</f>
        <v>15</v>
      </c>
    </row>
    <row r="19" spans="1:2" s="6" customFormat="1" ht="15.75" customHeight="1" x14ac:dyDescent="0.15">
      <c r="A19" s="7"/>
      <c r="B19" s="14"/>
    </row>
    <row r="20" spans="1:2" s="6" customFormat="1" ht="15.75" customHeight="1" x14ac:dyDescent="0.15">
      <c r="A20" s="10" t="s">
        <v>19</v>
      </c>
      <c r="B20" s="14"/>
    </row>
    <row r="21" spans="1:2" s="6" customFormat="1" ht="70" x14ac:dyDescent="0.15">
      <c r="A21" s="12" t="s">
        <v>20</v>
      </c>
      <c r="B21" s="13">
        <v>9.5</v>
      </c>
    </row>
    <row r="22" spans="1:2" s="6" customFormat="1" ht="70" x14ac:dyDescent="0.15">
      <c r="A22" s="12" t="s">
        <v>21</v>
      </c>
      <c r="B22" s="13">
        <v>7</v>
      </c>
    </row>
    <row r="23" spans="1:2" s="6" customFormat="1" ht="28" x14ac:dyDescent="0.15">
      <c r="A23" s="12" t="s">
        <v>22</v>
      </c>
      <c r="B23" s="13">
        <v>1</v>
      </c>
    </row>
    <row r="24" spans="1:2" s="6" customFormat="1" ht="15.75" customHeight="1" x14ac:dyDescent="0.15">
      <c r="A24" s="8" t="s">
        <v>4</v>
      </c>
      <c r="B24" s="9">
        <f>SUM(B21:B23)</f>
        <v>17.5</v>
      </c>
    </row>
    <row r="25" spans="1:2" s="6" customFormat="1" ht="15.75" customHeight="1" x14ac:dyDescent="0.15">
      <c r="A25" s="16"/>
      <c r="B25" s="14"/>
    </row>
    <row r="26" spans="1:2" s="6" customFormat="1" ht="15.75" customHeight="1" x14ac:dyDescent="0.15">
      <c r="A26" s="10" t="s">
        <v>23</v>
      </c>
      <c r="B26" s="14"/>
    </row>
    <row r="27" spans="1:2" s="6" customFormat="1" ht="84" x14ac:dyDescent="0.15">
      <c r="A27" s="12" t="s">
        <v>24</v>
      </c>
      <c r="B27" s="14">
        <v>3</v>
      </c>
    </row>
    <row r="28" spans="1:2" s="6" customFormat="1" ht="44" customHeight="1" x14ac:dyDescent="0.15">
      <c r="A28" s="12" t="s">
        <v>25</v>
      </c>
      <c r="B28" s="14">
        <v>3.5</v>
      </c>
    </row>
    <row r="29" spans="1:2" s="6" customFormat="1" ht="42" x14ac:dyDescent="0.15">
      <c r="A29" s="12" t="s">
        <v>26</v>
      </c>
      <c r="B29" s="14">
        <v>6</v>
      </c>
    </row>
    <row r="30" spans="1:2" s="6" customFormat="1" ht="15.75" customHeight="1" x14ac:dyDescent="0.15">
      <c r="A30" s="8" t="s">
        <v>4</v>
      </c>
      <c r="B30" s="9">
        <f>SUM(B27:B29)</f>
        <v>12.5</v>
      </c>
    </row>
    <row r="31" spans="1:2" s="6" customFormat="1" ht="15.75" customHeight="1" x14ac:dyDescent="0.15">
      <c r="A31" s="16"/>
      <c r="B31" s="14"/>
    </row>
    <row r="32" spans="1:2" s="6" customFormat="1" ht="15.75" customHeight="1" x14ac:dyDescent="0.15">
      <c r="A32" s="10" t="s">
        <v>27</v>
      </c>
      <c r="B32" s="14"/>
    </row>
    <row r="33" spans="1:2" s="6" customFormat="1" ht="70" x14ac:dyDescent="0.15">
      <c r="A33" s="12" t="s">
        <v>28</v>
      </c>
      <c r="B33" s="14">
        <v>2</v>
      </c>
    </row>
    <row r="34" spans="1:2" s="6" customFormat="1" ht="56" x14ac:dyDescent="0.15">
      <c r="A34" s="12" t="s">
        <v>29</v>
      </c>
      <c r="B34" s="14">
        <v>3.5</v>
      </c>
    </row>
    <row r="35" spans="1:2" s="6" customFormat="1" ht="56" x14ac:dyDescent="0.15">
      <c r="A35" s="12" t="s">
        <v>30</v>
      </c>
      <c r="B35" s="14">
        <v>3</v>
      </c>
    </row>
    <row r="36" spans="1:2" s="6" customFormat="1" ht="42" x14ac:dyDescent="0.15">
      <c r="A36" s="12" t="s">
        <v>31</v>
      </c>
      <c r="B36" s="14">
        <v>3</v>
      </c>
    </row>
    <row r="37" spans="1:2" s="6" customFormat="1" ht="56" x14ac:dyDescent="0.15">
      <c r="A37" s="12" t="s">
        <v>32</v>
      </c>
      <c r="B37" s="14">
        <v>2</v>
      </c>
    </row>
    <row r="38" spans="1:2" s="6" customFormat="1" ht="15.75" customHeight="1" x14ac:dyDescent="0.15">
      <c r="A38" s="8" t="s">
        <v>4</v>
      </c>
      <c r="B38" s="9">
        <f>SUM(B33:B37)</f>
        <v>13.5</v>
      </c>
    </row>
    <row r="39" spans="1:2" s="6" customFormat="1" ht="15.75" customHeight="1" x14ac:dyDescent="0.15">
      <c r="A39" s="16"/>
      <c r="B39" s="14"/>
    </row>
    <row r="40" spans="1:2" s="6" customFormat="1" ht="15.75" customHeight="1" x14ac:dyDescent="0.15">
      <c r="A40" s="10" t="s">
        <v>33</v>
      </c>
      <c r="B40" s="14"/>
    </row>
    <row r="41" spans="1:2" s="6" customFormat="1" ht="28" x14ac:dyDescent="0.15">
      <c r="A41" s="12" t="s">
        <v>42</v>
      </c>
      <c r="B41" s="14">
        <v>0.5</v>
      </c>
    </row>
    <row r="42" spans="1:2" s="6" customFormat="1" ht="67" customHeight="1" x14ac:dyDescent="0.15">
      <c r="A42" s="12" t="s">
        <v>34</v>
      </c>
      <c r="B42" s="14">
        <v>6</v>
      </c>
    </row>
    <row r="43" spans="1:2" s="6" customFormat="1" ht="15.75" customHeight="1" x14ac:dyDescent="0.15">
      <c r="A43" s="8" t="s">
        <v>4</v>
      </c>
      <c r="B43" s="9">
        <f>SUM(B41:B42)</f>
        <v>6.5</v>
      </c>
    </row>
    <row r="44" spans="1:2" s="6" customFormat="1" ht="15.75" customHeight="1" x14ac:dyDescent="0.15">
      <c r="A44" s="16"/>
      <c r="B44" s="14"/>
    </row>
    <row r="45" spans="1:2" s="6" customFormat="1" ht="15.75" customHeight="1" x14ac:dyDescent="0.15">
      <c r="A45" s="10" t="s">
        <v>35</v>
      </c>
      <c r="B45" s="14"/>
    </row>
    <row r="46" spans="1:2" s="6" customFormat="1" ht="84" x14ac:dyDescent="0.15">
      <c r="A46" s="12" t="s">
        <v>36</v>
      </c>
      <c r="B46" s="14">
        <v>3.5</v>
      </c>
    </row>
    <row r="47" spans="1:2" s="6" customFormat="1" ht="84" x14ac:dyDescent="0.15">
      <c r="A47" s="12" t="s">
        <v>37</v>
      </c>
      <c r="B47" s="14">
        <v>3</v>
      </c>
    </row>
    <row r="48" spans="1:2" s="6" customFormat="1" ht="28" x14ac:dyDescent="0.15">
      <c r="A48" s="12" t="s">
        <v>38</v>
      </c>
      <c r="B48" s="14">
        <v>4.5</v>
      </c>
    </row>
    <row r="49" spans="1:2" s="6" customFormat="1" ht="15.75" customHeight="1" x14ac:dyDescent="0.15">
      <c r="A49" s="8" t="s">
        <v>4</v>
      </c>
      <c r="B49" s="9">
        <f>SUM(B46:B48)</f>
        <v>11</v>
      </c>
    </row>
    <row r="50" spans="1:2" s="6" customFormat="1" ht="15" customHeight="1" x14ac:dyDescent="0.15">
      <c r="A50" s="16"/>
      <c r="B50" s="14"/>
    </row>
    <row r="51" spans="1:2" s="6" customFormat="1" ht="16.5" customHeight="1" thickBot="1" x14ac:dyDescent="0.2">
      <c r="A51" s="17" t="s">
        <v>39</v>
      </c>
      <c r="B51" s="18">
        <f>SUM(B49+B43+B38+B30+B24+B18)</f>
        <v>76</v>
      </c>
    </row>
    <row r="52" spans="1:2" s="6" customFormat="1" ht="16.5" customHeight="1" thickBot="1" x14ac:dyDescent="0.2">
      <c r="A52" s="19" t="s">
        <v>40</v>
      </c>
      <c r="B52" s="20">
        <v>9</v>
      </c>
    </row>
    <row r="53" spans="1:2" ht="15.75" customHeight="1" x14ac:dyDescent="0.2">
      <c r="A53" s="6"/>
      <c r="B53" s="6"/>
    </row>
    <row r="54" spans="1:2" s="22" customFormat="1" ht="15.75" customHeight="1" x14ac:dyDescent="0.15">
      <c r="A54" s="21" t="s">
        <v>41</v>
      </c>
    </row>
    <row r="55" spans="1:2" ht="15.75" customHeight="1" x14ac:dyDescent="0.2">
      <c r="A55" s="6"/>
      <c r="B55" s="6"/>
    </row>
    <row r="56" spans="1:2" ht="15.75" customHeight="1" x14ac:dyDescent="0.2">
      <c r="A56" s="6"/>
      <c r="B56" s="6"/>
    </row>
    <row r="57" spans="1:2" ht="15.75" customHeight="1" x14ac:dyDescent="0.2">
      <c r="B57" s="6"/>
    </row>
    <row r="58" spans="1:2" ht="15.75" customHeight="1" x14ac:dyDescent="0.2">
      <c r="A58" s="6"/>
      <c r="B58" s="6"/>
    </row>
    <row r="59" spans="1:2" ht="15.75" customHeight="1" x14ac:dyDescent="0.2">
      <c r="A59" s="6"/>
      <c r="B59" s="6"/>
    </row>
    <row r="60" spans="1:2" ht="15.75" customHeight="1" x14ac:dyDescent="0.2">
      <c r="A60" s="6"/>
      <c r="B60" s="6"/>
    </row>
    <row r="61" spans="1:2" ht="15.75" customHeight="1" x14ac:dyDescent="0.2">
      <c r="A61" s="6"/>
      <c r="B61" s="6"/>
    </row>
    <row r="62" spans="1:2" ht="15.75" customHeight="1" x14ac:dyDescent="0.2">
      <c r="A62" s="6"/>
      <c r="B62" s="6"/>
    </row>
    <row r="63" spans="1:2" ht="15.75" customHeight="1" x14ac:dyDescent="0.2">
      <c r="A63" s="6"/>
      <c r="B63" s="6"/>
    </row>
    <row r="64" spans="1:2" ht="15.75" customHeight="1" x14ac:dyDescent="0.2">
      <c r="A64" s="6"/>
      <c r="B64" s="6"/>
    </row>
    <row r="65" spans="1:2" ht="15.75" customHeight="1" x14ac:dyDescent="0.2">
      <c r="A65" s="6"/>
      <c r="B65" s="6"/>
    </row>
    <row r="66" spans="1:2" ht="15.75" customHeight="1" x14ac:dyDescent="0.2">
      <c r="A66" s="6"/>
      <c r="B66" s="6"/>
    </row>
    <row r="67" spans="1:2" ht="15.75" customHeight="1" x14ac:dyDescent="0.2">
      <c r="A67" s="6"/>
      <c r="B67" s="6"/>
    </row>
    <row r="68" spans="1:2" ht="15.75" customHeight="1" x14ac:dyDescent="0.2">
      <c r="A68" s="6"/>
      <c r="B68" s="6"/>
    </row>
    <row r="69" spans="1:2" ht="15.75" customHeight="1" x14ac:dyDescent="0.2">
      <c r="A69" s="6"/>
      <c r="B69" s="6"/>
    </row>
    <row r="70" spans="1:2" ht="15.75" customHeight="1" x14ac:dyDescent="0.2">
      <c r="A70" s="6"/>
      <c r="B70" s="6"/>
    </row>
    <row r="71" spans="1:2" ht="15.75" customHeight="1" x14ac:dyDescent="0.2">
      <c r="A71" s="6"/>
      <c r="B71" s="6"/>
    </row>
    <row r="72" spans="1:2" ht="15.75" customHeight="1" x14ac:dyDescent="0.2">
      <c r="A72" s="6"/>
      <c r="B72" s="6"/>
    </row>
    <row r="73" spans="1:2" ht="15.75" customHeight="1" x14ac:dyDescent="0.2">
      <c r="A73" s="6"/>
      <c r="B73" s="6"/>
    </row>
    <row r="74" spans="1:2" ht="15.75" customHeight="1" x14ac:dyDescent="0.2">
      <c r="A74" s="6"/>
      <c r="B74" s="6"/>
    </row>
    <row r="75" spans="1:2" ht="15.75" customHeight="1" x14ac:dyDescent="0.2">
      <c r="A75" s="6"/>
      <c r="B75" s="6"/>
    </row>
    <row r="76" spans="1:2" ht="15.75" customHeight="1" x14ac:dyDescent="0.2">
      <c r="A76" s="6"/>
      <c r="B76" s="6"/>
    </row>
    <row r="77" spans="1:2" ht="15.75" customHeight="1" x14ac:dyDescent="0.2">
      <c r="A77" s="6"/>
      <c r="B77" s="6"/>
    </row>
    <row r="78" spans="1:2" ht="15.75" customHeight="1" x14ac:dyDescent="0.2">
      <c r="A78" s="6"/>
      <c r="B78" s="6"/>
    </row>
    <row r="79" spans="1:2" ht="15.75" customHeight="1" x14ac:dyDescent="0.2">
      <c r="A79" s="6"/>
      <c r="B79" s="6"/>
    </row>
    <row r="80" spans="1:2" ht="15.75" customHeight="1" x14ac:dyDescent="0.2">
      <c r="A80" s="6"/>
      <c r="B80" s="6"/>
    </row>
    <row r="81" spans="1:2" ht="15.75" customHeight="1" x14ac:dyDescent="0.2">
      <c r="A81" s="6"/>
      <c r="B81" s="6"/>
    </row>
    <row r="82" spans="1:2" ht="15.75" customHeight="1" x14ac:dyDescent="0.2">
      <c r="A82" s="6"/>
      <c r="B82" s="6"/>
    </row>
    <row r="83" spans="1:2" ht="15.75" customHeight="1" x14ac:dyDescent="0.2">
      <c r="A83" s="6"/>
      <c r="B83" s="6"/>
    </row>
    <row r="84" spans="1:2" ht="15.75" customHeight="1" x14ac:dyDescent="0.2">
      <c r="A84" s="6"/>
      <c r="B84" s="6"/>
    </row>
    <row r="85" spans="1:2" ht="15.75" customHeight="1" x14ac:dyDescent="0.2">
      <c r="A85" s="6"/>
      <c r="B85" s="6"/>
    </row>
    <row r="86" spans="1:2" ht="15.75" customHeight="1" x14ac:dyDescent="0.2">
      <c r="A86" s="6"/>
      <c r="B86" s="6"/>
    </row>
    <row r="87" spans="1:2" ht="15.75" customHeight="1" x14ac:dyDescent="0.2">
      <c r="A87" s="6"/>
      <c r="B87" s="6"/>
    </row>
    <row r="88" spans="1:2" ht="15.75" customHeight="1" x14ac:dyDescent="0.2">
      <c r="A88" s="6"/>
      <c r="B88" s="6"/>
    </row>
    <row r="89" spans="1:2" ht="15.75" customHeight="1" x14ac:dyDescent="0.2">
      <c r="A89" s="6"/>
      <c r="B89" s="6"/>
    </row>
    <row r="90" spans="1:2" ht="15.75" customHeight="1" x14ac:dyDescent="0.2">
      <c r="A90" s="6"/>
      <c r="B90" s="6"/>
    </row>
    <row r="91" spans="1:2" ht="15.75" customHeight="1" x14ac:dyDescent="0.2">
      <c r="A91" s="6"/>
      <c r="B91" s="6"/>
    </row>
    <row r="92" spans="1:2" ht="15.75" customHeight="1" x14ac:dyDescent="0.2">
      <c r="A92" s="6"/>
      <c r="B92" s="6"/>
    </row>
    <row r="93" spans="1:2" ht="15.75" customHeight="1" x14ac:dyDescent="0.2">
      <c r="A93" s="6"/>
      <c r="B93" s="6"/>
    </row>
    <row r="94" spans="1:2" ht="15.75" customHeight="1" x14ac:dyDescent="0.2">
      <c r="A94" s="6"/>
      <c r="B94" s="6"/>
    </row>
    <row r="95" spans="1:2" ht="15.75" customHeight="1" x14ac:dyDescent="0.2">
      <c r="A95" s="6"/>
      <c r="B95" s="6"/>
    </row>
    <row r="96" spans="1:2" ht="15.75" customHeight="1" x14ac:dyDescent="0.2">
      <c r="A96" s="6"/>
      <c r="B96" s="6"/>
    </row>
    <row r="97" spans="1:2" ht="15.75" customHeight="1" x14ac:dyDescent="0.2">
      <c r="A97" s="6"/>
      <c r="B97" s="6"/>
    </row>
    <row r="98" spans="1:2" ht="15.75" customHeight="1" x14ac:dyDescent="0.2">
      <c r="A98" s="6"/>
      <c r="B98" s="6"/>
    </row>
    <row r="99" spans="1:2" ht="15.75" customHeight="1" x14ac:dyDescent="0.2">
      <c r="A99" s="6"/>
      <c r="B99" s="6"/>
    </row>
    <row r="100" spans="1:2" ht="15.75" customHeight="1" x14ac:dyDescent="0.2">
      <c r="A100" s="6"/>
      <c r="B100" s="6"/>
    </row>
    <row r="101" spans="1:2" ht="15.75" customHeight="1" x14ac:dyDescent="0.2">
      <c r="A101" s="6"/>
      <c r="B101" s="6"/>
    </row>
    <row r="102" spans="1:2" ht="15.75" customHeight="1" x14ac:dyDescent="0.2">
      <c r="A102" s="6"/>
      <c r="B102" s="6"/>
    </row>
    <row r="103" spans="1:2" ht="15.75" customHeight="1" x14ac:dyDescent="0.2">
      <c r="A103" s="6"/>
      <c r="B103" s="6"/>
    </row>
    <row r="104" spans="1:2" ht="15.75" customHeight="1" x14ac:dyDescent="0.2">
      <c r="A104" s="6"/>
      <c r="B104" s="6"/>
    </row>
    <row r="105" spans="1:2" ht="15.75" customHeight="1" x14ac:dyDescent="0.2">
      <c r="A105" s="6"/>
      <c r="B105" s="6"/>
    </row>
    <row r="106" spans="1:2" ht="15.75" customHeight="1" x14ac:dyDescent="0.2">
      <c r="A106" s="6"/>
      <c r="B106" s="6"/>
    </row>
    <row r="107" spans="1:2" ht="15.75" customHeight="1" x14ac:dyDescent="0.2">
      <c r="A107" s="6"/>
      <c r="B107" s="6"/>
    </row>
    <row r="108" spans="1:2" ht="15.75" customHeight="1" x14ac:dyDescent="0.2">
      <c r="A108" s="6"/>
      <c r="B108" s="6"/>
    </row>
    <row r="109" spans="1:2" ht="15.75" customHeight="1" x14ac:dyDescent="0.2">
      <c r="A109" s="6"/>
      <c r="B109" s="6"/>
    </row>
    <row r="110" spans="1:2" ht="15.75" customHeight="1" x14ac:dyDescent="0.2">
      <c r="A110" s="6"/>
      <c r="B110" s="6"/>
    </row>
    <row r="111" spans="1:2" ht="15.75" customHeight="1" x14ac:dyDescent="0.2">
      <c r="A111" s="6"/>
      <c r="B111" s="6"/>
    </row>
    <row r="112" spans="1:2" ht="15.75" customHeight="1" x14ac:dyDescent="0.2">
      <c r="A112" s="6"/>
      <c r="B112" s="6"/>
    </row>
    <row r="113" spans="1:2" ht="15.75" customHeight="1" x14ac:dyDescent="0.2">
      <c r="A113" s="6"/>
      <c r="B113" s="6"/>
    </row>
    <row r="114" spans="1:2" ht="15.75" customHeight="1" x14ac:dyDescent="0.2">
      <c r="A114" s="6"/>
      <c r="B114" s="6"/>
    </row>
    <row r="115" spans="1:2" ht="15.75" customHeight="1" x14ac:dyDescent="0.2">
      <c r="A115" s="6"/>
      <c r="B115" s="6"/>
    </row>
    <row r="116" spans="1:2" ht="15.75" customHeight="1" x14ac:dyDescent="0.2">
      <c r="A116" s="6"/>
      <c r="B116" s="6"/>
    </row>
    <row r="117" spans="1:2" ht="15.75" customHeight="1" x14ac:dyDescent="0.2"/>
    <row r="118" spans="1:2" ht="15.75" customHeight="1" x14ac:dyDescent="0.2"/>
    <row r="119" spans="1:2" ht="15.75" customHeight="1" x14ac:dyDescent="0.2"/>
    <row r="120" spans="1:2" ht="15.75" customHeight="1" x14ac:dyDescent="0.2"/>
    <row r="121" spans="1:2" ht="15.75" customHeight="1" x14ac:dyDescent="0.2"/>
    <row r="122" spans="1:2" ht="15.75" customHeight="1" x14ac:dyDescent="0.2"/>
    <row r="123" spans="1:2" ht="15.75" customHeight="1" x14ac:dyDescent="0.2"/>
    <row r="124" spans="1:2" ht="15.75" customHeight="1" x14ac:dyDescent="0.2"/>
    <row r="125" spans="1:2" ht="15.75" customHeight="1" x14ac:dyDescent="0.2"/>
    <row r="126" spans="1:2" ht="15.75" customHeight="1" x14ac:dyDescent="0.2"/>
    <row r="127" spans="1:2" ht="15.75" customHeight="1" x14ac:dyDescent="0.2"/>
    <row r="128" spans="1:2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</sheetData>
  <hyperlinks>
    <hyperlink ref="A2" r:id="rId1" xr:uid="{998AFB05-EA34-CF41-AAB1-878384F52DEA}"/>
    <hyperlink ref="A54" r:id="rId2" display="https://www.thoxan.com/kontakt/" xr:uid="{628DE246-30E8-3E48-8BD2-F122BFF4A9FE}"/>
    <hyperlink ref="A12" r:id="rId3" xr:uid="{F713C213-56D1-E642-9F9A-428592469464}"/>
    <hyperlink ref="A13" r:id="rId4" xr:uid="{289721E0-6ABE-D740-B834-FF1A9CAB3D60}"/>
    <hyperlink ref="A14" r:id="rId5" xr:uid="{CE763F8F-4972-4C4F-81F2-69D0772AC6CF}"/>
    <hyperlink ref="A15" r:id="rId6" xr:uid="{800956BE-55BC-8F48-915C-E54F17136F1E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BKK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2025-04-29T12:38:33Z</dcterms:created>
  <dcterms:modified xsi:type="dcterms:W3CDTF">2025-04-29T12:51:12Z</dcterms:modified>
</cp:coreProperties>
</file>