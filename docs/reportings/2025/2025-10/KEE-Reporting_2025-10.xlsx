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0/"/>
    </mc:Choice>
  </mc:AlternateContent>
  <xr:revisionPtr revIDLastSave="0" documentId="13_ncr:1_{3044B8AB-92A2-7F4D-8CD3-C7E9FCFC9E64}" xr6:coauthVersionLast="47" xr6:coauthVersionMax="47" xr10:uidLastSave="{00000000-0000-0000-0000-000000000000}"/>
  <bookViews>
    <workbookView xWindow="18620" yWindow="620" windowWidth="29520" windowHeight="26120" xr2:uid="{7EC96681-93DA-684A-9F8F-C8D3A3256D44}"/>
  </bookViews>
  <sheets>
    <sheet name="K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50" i="1"/>
  <c r="B45" i="1"/>
  <c r="B35" i="1"/>
  <c r="B31" i="1"/>
  <c r="B26" i="1"/>
  <c r="B18" i="1"/>
  <c r="B12" i="1"/>
  <c r="B7" i="1"/>
  <c r="B64" i="1" l="1"/>
</calcChain>
</file>

<file path=xl/sharedStrings.xml><?xml version="1.0" encoding="utf-8"?>
<sst xmlns="http://schemas.openxmlformats.org/spreadsheetml/2006/main" count="60" uniqueCount="50">
  <si>
    <t>keeunit GmbH</t>
  </si>
  <si>
    <t>https://keelearning.de</t>
  </si>
  <si>
    <t>Monatliche Optimierung</t>
  </si>
  <si>
    <t>Aufwand ca. in Std.</t>
  </si>
  <si>
    <t>1. Linkaufbau, Linkabbau, Online-PR</t>
  </si>
  <si>
    <t>---</t>
  </si>
  <si>
    <t>2. Redaktionelle Arbeiten</t>
  </si>
  <si>
    <t>Kompakte Textoptimierung Unterseite LMS-Anbieter: Abstimmung, Briefing und Textoptimierung für bestehende Inhalte, Überarbeitung des Bestandstexts und Texterweiterung, Keyword-Optimierung nach WDF*IDF, Ergänzungen und kl. Anpassungen, Lektorat und finale Bearbeitung, Versand an Kunden und Dokumentation (03.09., GBO, TKI)</t>
  </si>
  <si>
    <t>Finale Anpassungen am Text LMS-Anbieter, Abstimmung zum Einpflegen auf der Website, kl. Anpassungen und Dokumentation (12.09., GBO)</t>
  </si>
  <si>
    <t>3. Website-Pflege, Content Management</t>
  </si>
  <si>
    <t>Einpflegen LMS / Lernmanagement-System: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(01.09., RBO, TKI)</t>
  </si>
  <si>
    <t>Finalisierung und Online-Stellung der Unterseite "Funktionen / LMS": Interne Abstimmung, Dokumentation (02.-04.09., RBO)</t>
  </si>
  <si>
    <t>Abgleich Seitenstruktur mit Unterseiten im Backend, Zusammenlegen von alten Unterseiten (301-Weiterleitungen einrichten), Löschen von nicht mehr benötigten Unterseiten aus dem alten Pagebuilder, Aufräumarbeiten, Abstimmung und Dokumentation (24.-29.09., TKI)</t>
  </si>
  <si>
    <t>4. Technische Arbeiten, UX-Optimierung, ggf. Programmierung</t>
  </si>
  <si>
    <t>Prüfung Mail-Versand aus WordPress-System, Programmierung und Bugfixing, interne Abstimmung (25.08., BKO)</t>
  </si>
  <si>
    <t>Prüfung Logo-Anschnitt, CSS-Anpassung, Abstimmung und Dokumentation (29.08., BKO)</t>
  </si>
  <si>
    <t>Icon bei Bing-Suche wird nicht angezeigt, finale Anpassungen, Abstimmung und Dokumentation (01.09., BKO)</t>
  </si>
  <si>
    <t>Nummerierungen im Blog funktionieren nicht, Inhaltsverzeichnis-Plugin ausgetauscht gegen native Funktion, Anpassungen CSS und Code für Blogartikel, Abstimmung und Dokumentation (25.09., BKO, TKI)</t>
  </si>
  <si>
    <t>Elememte aus dem alten Pagebuilder auf allen Unterseiten suchen und ersetzen, kl. Anpassungen, Anpassungen Preisboxen, Abstimmung und Dokumentation (06.-07.10., BKO, TKI)</t>
  </si>
  <si>
    <t>5. Onpage-Optimierung, Keyword-Optimierung, etc.</t>
  </si>
  <si>
    <t>Interne Verlinkung (Reparatur): Ermittelte „Broken-Links“ durch 301-Weiterleitungen repariert (umgeleitet), Liste der 404-Fehler geprüft, sortiert und weitere 301-Umleitungen erstellt für nicht (mehr) erreichbare Unterseiten, fehlerhafte interne Links im Bestandstext korrigiert oder entfernt, kl. Anpassungen der Website, Dokumentation und Abstimmung (24.09., TKI)</t>
  </si>
  <si>
    <t>Überschriften-Optimierung (Hierarchie, Auszeichnung, inhaltliche Anpassung): Textoptimierung von H1- und H2-Überschriften der wichtigsten Hauptseiten entsprechend der Seitentitel und der Keyword-Ausrichtung, Abstimmung und Dokumentation (24.09., TKI)</t>
  </si>
  <si>
    <t>6. Grafikdesign, Creatives, Corporate Design</t>
  </si>
  <si>
    <t>Optimierungsmaßnahmen Tracking-Setup, lt. Konzeption &amp; Präsentation, Umstellung auf User-Centrics Cookie-Banner, Anpassungen Cookie-Banner, Tracking erweitern, Hubspot in Analytics integrieren, div. Abstimmung und Dokumentation (29.08.-26.09., BKO, BJU, TKI)</t>
  </si>
  <si>
    <t>Kontakt-Conversions ergänzen und als KPI gewichten, Rückruf-Formular (Hubspot) integrieren, E-Mail und Telefonnummer tracken, inkl. Website-Anpassungen, Abstimmung und Dokumentation (04.-12., 26.09., BKO, BJU)</t>
  </si>
  <si>
    <t>Lookerstudio-Dashboard erweitern und mit Hubspot verknüpfen, Echtzeit-Auswertung, verbesserte Anbindung Google Ads (26.09., BJU, TKI)</t>
  </si>
  <si>
    <t>Google Ads Umbau lt. Empfehlungen aus Konzept / Präsentation, Kampagnen zusammenführen, Anzeigengruppen erweitern, Negativliste umstellen, Marketingziele hinterlegen, Klickrate und Anzeigeneffektivität verbessern, etc. (15.-19.09., BJU, TKI)</t>
  </si>
  <si>
    <t>Projektsteuerung Google Ads Optimierung, Absprachen, Dokumentation der Ergebnisse zur Übergabe (01.-26.09., BJU, TKI)</t>
  </si>
  <si>
    <t>Kurze Recherche wegen Laufzeit der Google Ads, Abstimmung und Dokumentation (04.09., JST, TKI)</t>
  </si>
  <si>
    <t>Google Ads (Monitoring September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(01.-30.09., JST, BJU, TKI)</t>
  </si>
  <si>
    <t>Meta Ads (Monitoring September 2025): Monatliches Monitoring der Werbe-kampagnen bei Facebook und Instagram, Anpassen der Werbeanzeigen, Verfeinern der Zielgruppe, kl. Arbeiten am Werbekonto, Abstimmung und Dokumentation (25.08.-20.09., JST, TKI)</t>
  </si>
  <si>
    <t>LinkedIn Ads (Monitoring September 2025): Monatliches Monitoring der Werbe-kampagnen bei LinkedIn, Anpassen der Werbeanzeigen, Verfeinern der Zielgruppe, kl. Arbeiten am Werbekonto, Abstimmung und Dokumentation (25.08.-20.09., JST, TKI)</t>
  </si>
  <si>
    <t>Vorbereitung und virtuelle Abstimmung zur weitere Zusammenarbeit, Klärung von div. Fragen 14:30-15:15 Uhr, anschließend Dokumentation und interne Abstimmung für die nächsten Maßnahmen (26.08., TKI)</t>
  </si>
  <si>
    <t>Firstline-Wettbewerber prüfen, Abstimmung und Dokumentation (04.09., TKI)</t>
  </si>
  <si>
    <t>Kurze Recherche, Abstimmung wegen d.velop Usecase-Talk, Infothek-Empfehlung (09.-11.09., BJU, TKI)</t>
  </si>
  <si>
    <t>LLMO &amp; GEO Konzept, Recherche und Empfehlungen für keelearning (11.09., TKI)</t>
  </si>
  <si>
    <t>Vorbereitung und virtuelle Abstimmung zur weiteren Zusammenarbeit, Klärung von div. Fragen 15:15-16:00 Uhr, anschließend Dokumentation und interne Abstimmung für die nächsten Maßnahmen (11.09., TKI)</t>
  </si>
  <si>
    <t>Kurze Vorbereitung und virtuelle Abstimmung wegen PPC-Kampagnen, 13:15-14:00 Uhr, anschließend Dokumentation und interne Abstimmung für die nächsten Maßnahmen, Pausieren der Kampagnen bei Meta und LinkedIn (18.09., TKI)</t>
  </si>
  <si>
    <t>Kurze Recherche Online-Tools, Keyword-Auswahl, Prüfung der Ergebnisse in Bezug auf organische Rankings, Abstimmung und Dokumentation per Loom-Video (02.10., TKI)</t>
  </si>
  <si>
    <t>Vorbereitung und virtuelle Abstimmung zur weitere Zusammenarbeit, Klärung von div. Fragen 11:15-11:30 Uhr, anschließend Dokumentation und interne Abstimmung für die nächsten Maßnahmen (08.10., TKI)</t>
  </si>
  <si>
    <t>Organisation, Planung, Überwachung und Steuerung der Aufgaben und Ressourcen (pro Tagessatz ca. 0,5 Std., TKI)</t>
  </si>
  <si>
    <t>Aufwand ca. insgesamt in Std.</t>
  </si>
  <si>
    <t>Aufwand in Tagessätzen</t>
  </si>
  <si>
    <t>8 Tagessätze</t>
  </si>
  <si>
    <t>Noch Rückfragen? Kontakt zur Thoxan Communications GmbH unter https://www.thoxan.com/kontakt</t>
  </si>
  <si>
    <t>25.08.-08.10.2025</t>
  </si>
  <si>
    <t>(September-Oktober)</t>
  </si>
  <si>
    <t>7. Google Ads (Monitoring, Kampagnen umbauen, etc.)</t>
  </si>
  <si>
    <t>8. Social Ads (Monitoring, Kampagnen, etc.)</t>
  </si>
  <si>
    <t>9. Beratung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</si>
</sst>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249977111117893"/>
      <name val="Arial"/>
      <family val="2"/>
    </font>
    <font>
      <sz val="10"/>
      <color rgb="FF808080"/>
      <name val="Arial"/>
      <family val="2"/>
    </font>
    <font>
      <b/>
      <sz val="10"/>
      <color theme="0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/>
    <xf numFmtId="0" fontId="6" fillId="0" borderId="1" xfId="0" applyFont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quotePrefix="1" applyFont="1"/>
    <xf numFmtId="0" fontId="8" fillId="0" borderId="0" xfId="0" quotePrefix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eelearning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453C-B424-6245-81B5-BF66FB82B8E2}">
  <dimension ref="A1:B1019"/>
  <sheetViews>
    <sheetView tabSelected="1" zoomScale="150" zoomScaleNormal="150" workbookViewId="0">
      <pane ySplit="4" topLeftCell="A48" activePane="bottomLeft" state="frozen"/>
      <selection pane="bottomLeft" activeCell="B38" sqref="B38:B43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45</v>
      </c>
    </row>
    <row r="2" spans="1:2" ht="15.75" customHeight="1" x14ac:dyDescent="0.2">
      <c r="A2" s="4" t="s">
        <v>1</v>
      </c>
      <c r="B2" s="5" t="s">
        <v>2</v>
      </c>
    </row>
    <row r="3" spans="1:2" ht="15.75" customHeight="1" x14ac:dyDescent="0.2">
      <c r="A3" s="6"/>
      <c r="B3" s="5" t="s">
        <v>46</v>
      </c>
    </row>
    <row r="4" spans="1:2" s="10" customFormat="1" ht="15.75" customHeight="1" x14ac:dyDescent="0.2">
      <c r="A4" s="7"/>
      <c r="B4" s="8" t="s">
        <v>3</v>
      </c>
    </row>
    <row r="5" spans="1:2" s="10" customFormat="1" ht="15.75" customHeight="1" x14ac:dyDescent="0.2">
      <c r="A5" s="7" t="s">
        <v>4</v>
      </c>
      <c r="B5" s="11"/>
    </row>
    <row r="6" spans="1:2" s="10" customFormat="1" ht="14" x14ac:dyDescent="0.2">
      <c r="A6" s="12" t="s">
        <v>5</v>
      </c>
      <c r="B6" s="13"/>
    </row>
    <row r="7" spans="1:2" s="10" customFormat="1" ht="15.75" customHeight="1" x14ac:dyDescent="0.2">
      <c r="A7" s="14" t="s">
        <v>3</v>
      </c>
      <c r="B7" s="15">
        <f>SUM(B6:B6)</f>
        <v>0</v>
      </c>
    </row>
    <row r="8" spans="1:2" s="10" customFormat="1" ht="15.75" customHeight="1" x14ac:dyDescent="0.2">
      <c r="A8" s="16"/>
      <c r="B8" s="17"/>
    </row>
    <row r="9" spans="1:2" s="10" customFormat="1" ht="15.75" customHeight="1" x14ac:dyDescent="0.2">
      <c r="A9" s="18" t="s">
        <v>6</v>
      </c>
      <c r="B9" s="19"/>
    </row>
    <row r="10" spans="1:2" s="10" customFormat="1" ht="84" x14ac:dyDescent="0.2">
      <c r="A10" s="12" t="s">
        <v>7</v>
      </c>
      <c r="B10" s="13">
        <v>5.5</v>
      </c>
    </row>
    <row r="11" spans="1:2" s="10" customFormat="1" ht="51" customHeight="1" x14ac:dyDescent="0.2">
      <c r="A11" s="12" t="s">
        <v>8</v>
      </c>
      <c r="B11" s="13">
        <v>0.5</v>
      </c>
    </row>
    <row r="12" spans="1:2" s="10" customFormat="1" ht="15.75" customHeight="1" x14ac:dyDescent="0.2">
      <c r="A12" s="14" t="s">
        <v>3</v>
      </c>
      <c r="B12" s="15">
        <f>SUM(B10:B11)</f>
        <v>6</v>
      </c>
    </row>
    <row r="13" spans="1:2" s="10" customFormat="1" ht="15.75" customHeight="1" x14ac:dyDescent="0.2">
      <c r="A13" s="20"/>
      <c r="B13" s="19"/>
    </row>
    <row r="14" spans="1:2" s="10" customFormat="1" ht="15.75" customHeight="1" x14ac:dyDescent="0.2">
      <c r="A14" s="18" t="s">
        <v>9</v>
      </c>
      <c r="B14" s="19"/>
    </row>
    <row r="15" spans="1:2" s="10" customFormat="1" ht="84" x14ac:dyDescent="0.2">
      <c r="A15" s="21" t="s">
        <v>10</v>
      </c>
      <c r="B15" s="13">
        <v>3</v>
      </c>
    </row>
    <row r="16" spans="1:2" s="10" customFormat="1" ht="28" x14ac:dyDescent="0.2">
      <c r="A16" s="21" t="s">
        <v>11</v>
      </c>
      <c r="B16" s="13">
        <v>1.75</v>
      </c>
    </row>
    <row r="17" spans="1:2" s="10" customFormat="1" ht="56" x14ac:dyDescent="0.2">
      <c r="A17" s="21" t="s">
        <v>12</v>
      </c>
      <c r="B17" s="13">
        <v>0.75</v>
      </c>
    </row>
    <row r="18" spans="1:2" s="10" customFormat="1" ht="15.75" customHeight="1" x14ac:dyDescent="0.2">
      <c r="A18" s="22" t="s">
        <v>3</v>
      </c>
      <c r="B18" s="23">
        <f>SUM(B15:B17)</f>
        <v>5.5</v>
      </c>
    </row>
    <row r="19" spans="1:2" s="10" customFormat="1" ht="15.75" customHeight="1" x14ac:dyDescent="0.2">
      <c r="A19" s="24"/>
      <c r="B19" s="25"/>
    </row>
    <row r="20" spans="1:2" s="9" customFormat="1" ht="15.75" customHeight="1" x14ac:dyDescent="0.15">
      <c r="A20" s="26" t="s">
        <v>13</v>
      </c>
      <c r="B20" s="13"/>
    </row>
    <row r="21" spans="1:2" s="10" customFormat="1" ht="28" x14ac:dyDescent="0.2">
      <c r="A21" s="12" t="s">
        <v>14</v>
      </c>
      <c r="B21" s="13">
        <v>0.25</v>
      </c>
    </row>
    <row r="22" spans="1:2" s="10" customFormat="1" ht="28" x14ac:dyDescent="0.2">
      <c r="A22" s="12" t="s">
        <v>15</v>
      </c>
      <c r="B22" s="13">
        <v>0.25</v>
      </c>
    </row>
    <row r="23" spans="1:2" s="10" customFormat="1" ht="28" x14ac:dyDescent="0.2">
      <c r="A23" s="21" t="s">
        <v>16</v>
      </c>
      <c r="B23" s="13">
        <v>0.25</v>
      </c>
    </row>
    <row r="24" spans="1:2" s="10" customFormat="1" ht="42" x14ac:dyDescent="0.2">
      <c r="A24" s="21" t="s">
        <v>17</v>
      </c>
      <c r="B24" s="13">
        <v>1.25</v>
      </c>
    </row>
    <row r="25" spans="1:2" s="10" customFormat="1" ht="42" x14ac:dyDescent="0.2">
      <c r="A25" s="12" t="s">
        <v>18</v>
      </c>
      <c r="B25" s="13">
        <v>2.25</v>
      </c>
    </row>
    <row r="26" spans="1:2" s="10" customFormat="1" ht="15.75" customHeight="1" x14ac:dyDescent="0.2">
      <c r="A26" s="22" t="s">
        <v>3</v>
      </c>
      <c r="B26" s="23">
        <f>SUM(B21:B25)</f>
        <v>4.25</v>
      </c>
    </row>
    <row r="27" spans="1:2" s="10" customFormat="1" ht="15.75" customHeight="1" x14ac:dyDescent="0.2">
      <c r="A27" s="27"/>
      <c r="B27" s="13"/>
    </row>
    <row r="28" spans="1:2" s="9" customFormat="1" ht="15.75" customHeight="1" x14ac:dyDescent="0.15">
      <c r="A28" s="26" t="s">
        <v>19</v>
      </c>
      <c r="B28" s="13"/>
    </row>
    <row r="29" spans="1:2" s="10" customFormat="1" ht="84" x14ac:dyDescent="0.2">
      <c r="A29" s="12" t="s">
        <v>20</v>
      </c>
      <c r="B29" s="13">
        <v>2</v>
      </c>
    </row>
    <row r="30" spans="1:2" s="10" customFormat="1" ht="56" x14ac:dyDescent="0.2">
      <c r="A30" s="12" t="s">
        <v>21</v>
      </c>
      <c r="B30" s="13">
        <v>1</v>
      </c>
    </row>
    <row r="31" spans="1:2" s="10" customFormat="1" ht="15.75" customHeight="1" x14ac:dyDescent="0.2">
      <c r="A31" s="22" t="s">
        <v>3</v>
      </c>
      <c r="B31" s="23">
        <f>SUM(B29:B30)</f>
        <v>3</v>
      </c>
    </row>
    <row r="32" spans="1:2" s="10" customFormat="1" ht="15.75" customHeight="1" x14ac:dyDescent="0.2">
      <c r="A32" s="27"/>
      <c r="B32" s="13"/>
    </row>
    <row r="33" spans="1:2" s="9" customFormat="1" ht="15.75" customHeight="1" x14ac:dyDescent="0.15">
      <c r="A33" s="26" t="s">
        <v>22</v>
      </c>
      <c r="B33" s="13"/>
    </row>
    <row r="34" spans="1:2" s="10" customFormat="1" ht="14" x14ac:dyDescent="0.2">
      <c r="A34" s="12" t="s">
        <v>5</v>
      </c>
      <c r="B34" s="13"/>
    </row>
    <row r="35" spans="1:2" s="10" customFormat="1" ht="15.75" customHeight="1" x14ac:dyDescent="0.2">
      <c r="A35" s="22" t="s">
        <v>3</v>
      </c>
      <c r="B35" s="23">
        <f>SUM(B33:B34)</f>
        <v>0</v>
      </c>
    </row>
    <row r="36" spans="1:2" s="10" customFormat="1" ht="15.75" customHeight="1" x14ac:dyDescent="0.2">
      <c r="A36" s="27"/>
      <c r="B36" s="13"/>
    </row>
    <row r="37" spans="1:2" s="10" customFormat="1" ht="15.75" customHeight="1" x14ac:dyDescent="0.2">
      <c r="A37" s="7" t="s">
        <v>47</v>
      </c>
      <c r="B37" s="13"/>
    </row>
    <row r="38" spans="1:2" s="10" customFormat="1" ht="70" x14ac:dyDescent="0.2">
      <c r="A38" s="21" t="s">
        <v>23</v>
      </c>
      <c r="B38" s="13">
        <v>11.5</v>
      </c>
    </row>
    <row r="39" spans="1:2" s="10" customFormat="1" ht="56" x14ac:dyDescent="0.2">
      <c r="A39" s="21" t="s">
        <v>24</v>
      </c>
      <c r="B39" s="13">
        <v>5.5</v>
      </c>
    </row>
    <row r="40" spans="1:2" s="10" customFormat="1" ht="42" x14ac:dyDescent="0.2">
      <c r="A40" s="21" t="s">
        <v>25</v>
      </c>
      <c r="B40" s="13">
        <v>1</v>
      </c>
    </row>
    <row r="41" spans="1:2" s="10" customFormat="1" ht="56" x14ac:dyDescent="0.2">
      <c r="A41" s="21" t="s">
        <v>26</v>
      </c>
      <c r="B41" s="13">
        <v>3.25</v>
      </c>
    </row>
    <row r="42" spans="1:2" s="10" customFormat="1" ht="28" x14ac:dyDescent="0.2">
      <c r="A42" s="21" t="s">
        <v>27</v>
      </c>
      <c r="B42" s="13">
        <v>4</v>
      </c>
    </row>
    <row r="43" spans="1:2" s="10" customFormat="1" ht="28" x14ac:dyDescent="0.2">
      <c r="A43" s="21" t="s">
        <v>28</v>
      </c>
      <c r="B43" s="13">
        <v>0.25</v>
      </c>
    </row>
    <row r="44" spans="1:2" s="10" customFormat="1" ht="112" x14ac:dyDescent="0.2">
      <c r="A44" s="21" t="s">
        <v>29</v>
      </c>
      <c r="B44" s="13">
        <v>4.5</v>
      </c>
    </row>
    <row r="45" spans="1:2" s="10" customFormat="1" ht="15.75" customHeight="1" x14ac:dyDescent="0.2">
      <c r="A45" s="22" t="s">
        <v>3</v>
      </c>
      <c r="B45" s="23">
        <f>SUM(B38:B44)</f>
        <v>30</v>
      </c>
    </row>
    <row r="46" spans="1:2" s="10" customFormat="1" ht="15.75" customHeight="1" x14ac:dyDescent="0.2">
      <c r="A46" s="29"/>
      <c r="B46" s="13"/>
    </row>
    <row r="47" spans="1:2" s="10" customFormat="1" ht="15.75" customHeight="1" x14ac:dyDescent="0.2">
      <c r="A47" s="7" t="s">
        <v>48</v>
      </c>
      <c r="B47" s="13"/>
    </row>
    <row r="48" spans="1:2" s="10" customFormat="1" ht="56" x14ac:dyDescent="0.2">
      <c r="A48" s="21" t="s">
        <v>30</v>
      </c>
      <c r="B48" s="13">
        <v>3</v>
      </c>
    </row>
    <row r="49" spans="1:2" s="10" customFormat="1" ht="56" x14ac:dyDescent="0.2">
      <c r="A49" s="21" t="s">
        <v>31</v>
      </c>
      <c r="B49" s="13">
        <v>4</v>
      </c>
    </row>
    <row r="50" spans="1:2" s="10" customFormat="1" ht="15.75" customHeight="1" x14ac:dyDescent="0.2">
      <c r="A50" s="22" t="s">
        <v>3</v>
      </c>
      <c r="B50" s="23">
        <f>SUM(B48:B49)</f>
        <v>7</v>
      </c>
    </row>
    <row r="51" spans="1:2" s="10" customFormat="1" ht="15.75" customHeight="1" x14ac:dyDescent="0.2">
      <c r="A51" s="29"/>
      <c r="B51" s="13"/>
    </row>
    <row r="52" spans="1:2" s="10" customFormat="1" ht="15.75" customHeight="1" x14ac:dyDescent="0.2">
      <c r="A52" s="7" t="s">
        <v>49</v>
      </c>
      <c r="B52" s="13"/>
    </row>
    <row r="53" spans="1:2" s="10" customFormat="1" ht="42" x14ac:dyDescent="0.2">
      <c r="A53" s="21" t="s">
        <v>32</v>
      </c>
      <c r="B53" s="17">
        <v>1</v>
      </c>
    </row>
    <row r="54" spans="1:2" s="10" customFormat="1" ht="28" x14ac:dyDescent="0.2">
      <c r="A54" s="21" t="s">
        <v>33</v>
      </c>
      <c r="B54" s="17">
        <v>0.5</v>
      </c>
    </row>
    <row r="55" spans="1:2" s="10" customFormat="1" ht="28" x14ac:dyDescent="0.2">
      <c r="A55" s="21" t="s">
        <v>34</v>
      </c>
      <c r="B55" s="17">
        <v>0.25</v>
      </c>
    </row>
    <row r="56" spans="1:2" s="10" customFormat="1" ht="28" x14ac:dyDescent="0.2">
      <c r="A56" s="30" t="s">
        <v>35</v>
      </c>
      <c r="B56" s="19">
        <v>0.5</v>
      </c>
    </row>
    <row r="57" spans="1:2" s="10" customFormat="1" ht="42" x14ac:dyDescent="0.2">
      <c r="A57" s="21" t="s">
        <v>36</v>
      </c>
      <c r="B57" s="13">
        <v>1</v>
      </c>
    </row>
    <row r="58" spans="1:2" s="10" customFormat="1" ht="56" x14ac:dyDescent="0.2">
      <c r="A58" s="21" t="s">
        <v>37</v>
      </c>
      <c r="B58" s="13">
        <v>1</v>
      </c>
    </row>
    <row r="59" spans="1:2" s="10" customFormat="1" ht="42" x14ac:dyDescent="0.2">
      <c r="A59" s="21" t="s">
        <v>38</v>
      </c>
      <c r="B59" s="13">
        <v>0.5</v>
      </c>
    </row>
    <row r="60" spans="1:2" s="10" customFormat="1" ht="42" x14ac:dyDescent="0.2">
      <c r="A60" s="21" t="s">
        <v>39</v>
      </c>
      <c r="B60" s="13">
        <v>1</v>
      </c>
    </row>
    <row r="61" spans="1:2" s="10" customFormat="1" ht="28" x14ac:dyDescent="0.2">
      <c r="A61" s="21" t="s">
        <v>40</v>
      </c>
      <c r="B61" s="13">
        <v>4</v>
      </c>
    </row>
    <row r="62" spans="1:2" s="10" customFormat="1" ht="15.75" customHeight="1" x14ac:dyDescent="0.2">
      <c r="A62" s="22" t="s">
        <v>3</v>
      </c>
      <c r="B62" s="15">
        <f>SUM(B53:B61)</f>
        <v>9.75</v>
      </c>
    </row>
    <row r="63" spans="1:2" s="10" customFormat="1" ht="15.75" customHeight="1" x14ac:dyDescent="0.2">
      <c r="A63" s="24"/>
      <c r="B63" s="31"/>
    </row>
    <row r="64" spans="1:2" s="10" customFormat="1" ht="16.5" customHeight="1" thickBot="1" x14ac:dyDescent="0.25">
      <c r="A64" s="32" t="s">
        <v>41</v>
      </c>
      <c r="B64" s="33">
        <f>SUM(B7+B12+B18+B26+B31+B35+B45+B50+B62)</f>
        <v>65.5</v>
      </c>
    </row>
    <row r="65" spans="1:2" s="10" customFormat="1" ht="16.5" customHeight="1" thickBot="1" x14ac:dyDescent="0.25">
      <c r="A65" s="32" t="s">
        <v>42</v>
      </c>
      <c r="B65" s="33" t="s">
        <v>43</v>
      </c>
    </row>
    <row r="66" spans="1:2" ht="15.75" customHeight="1" x14ac:dyDescent="0.2">
      <c r="A66" s="9"/>
      <c r="B66" s="9"/>
    </row>
    <row r="67" spans="1:2" ht="15.75" customHeight="1" x14ac:dyDescent="0.2">
      <c r="A67" s="34" t="s">
        <v>44</v>
      </c>
      <c r="B67" s="9"/>
    </row>
    <row r="68" spans="1:2" ht="15.75" customHeight="1" x14ac:dyDescent="0.2">
      <c r="A68" s="9"/>
      <c r="B68" s="9"/>
    </row>
    <row r="69" spans="1:2" ht="15.75" customHeight="1" x14ac:dyDescent="0.2">
      <c r="A69" s="9"/>
      <c r="B69" s="28"/>
    </row>
    <row r="70" spans="1:2" ht="15.75" customHeight="1" x14ac:dyDescent="0.2">
      <c r="A70" s="9"/>
      <c r="B70" s="28"/>
    </row>
    <row r="71" spans="1:2" ht="15.75" customHeight="1" x14ac:dyDescent="0.2">
      <c r="A71" s="9"/>
      <c r="B71" s="28"/>
    </row>
    <row r="72" spans="1:2" ht="15.75" customHeight="1" x14ac:dyDescent="0.2">
      <c r="A72" s="9"/>
      <c r="B72" s="35"/>
    </row>
    <row r="73" spans="1:2" ht="15.75" customHeight="1" x14ac:dyDescent="0.2">
      <c r="A73" s="9"/>
      <c r="B73" s="36"/>
    </row>
    <row r="74" spans="1:2" ht="15.75" customHeight="1" x14ac:dyDescent="0.2">
      <c r="A74" s="9"/>
      <c r="B74" s="9"/>
    </row>
    <row r="75" spans="1:2" ht="15.75" customHeight="1" x14ac:dyDescent="0.2">
      <c r="A75" s="9"/>
      <c r="B75" s="9"/>
    </row>
    <row r="76" spans="1:2" ht="15.75" customHeight="1" x14ac:dyDescent="0.2">
      <c r="A76" s="9"/>
      <c r="B76" s="9"/>
    </row>
    <row r="77" spans="1:2" ht="15.75" customHeight="1" x14ac:dyDescent="0.2">
      <c r="A77" s="9"/>
      <c r="B77" s="9"/>
    </row>
    <row r="78" spans="1:2" ht="15.75" customHeight="1" x14ac:dyDescent="0.2">
      <c r="A78" s="9"/>
      <c r="B78" s="9"/>
    </row>
    <row r="79" spans="1:2" ht="15.75" customHeight="1" x14ac:dyDescent="0.2">
      <c r="A79" s="9"/>
      <c r="B79" s="9"/>
    </row>
    <row r="80" spans="1:2" ht="15.75" customHeight="1" x14ac:dyDescent="0.2">
      <c r="A80" s="9"/>
      <c r="B80" s="9"/>
    </row>
    <row r="81" spans="1:2" ht="15.75" customHeight="1" x14ac:dyDescent="0.2">
      <c r="A81" s="9"/>
      <c r="B81" s="9"/>
    </row>
    <row r="82" spans="1:2" ht="15.75" customHeight="1" x14ac:dyDescent="0.2">
      <c r="A82" s="9"/>
      <c r="B82" s="9"/>
    </row>
    <row r="83" spans="1:2" ht="15.75" customHeight="1" x14ac:dyDescent="0.2">
      <c r="A83" s="9"/>
      <c r="B83" s="9"/>
    </row>
    <row r="84" spans="1:2" ht="15.75" customHeight="1" x14ac:dyDescent="0.2">
      <c r="A84" s="9"/>
      <c r="B84" s="9"/>
    </row>
    <row r="85" spans="1:2" ht="15.75" customHeight="1" x14ac:dyDescent="0.2">
      <c r="A85" s="9"/>
      <c r="B85" s="9"/>
    </row>
    <row r="86" spans="1:2" ht="15.75" customHeight="1" x14ac:dyDescent="0.2">
      <c r="A86" s="9"/>
      <c r="B86" s="9"/>
    </row>
    <row r="87" spans="1:2" ht="15.75" customHeight="1" x14ac:dyDescent="0.2">
      <c r="A87" s="9"/>
      <c r="B87" s="9"/>
    </row>
    <row r="88" spans="1:2" ht="15.75" customHeight="1" x14ac:dyDescent="0.2">
      <c r="A88" s="9"/>
      <c r="B88" s="9"/>
    </row>
    <row r="89" spans="1:2" ht="15.75" customHeight="1" x14ac:dyDescent="0.2">
      <c r="A89" s="9"/>
      <c r="B89" s="9"/>
    </row>
    <row r="90" spans="1:2" ht="15.75" customHeight="1" x14ac:dyDescent="0.2">
      <c r="A90" s="9"/>
      <c r="B90" s="9"/>
    </row>
    <row r="91" spans="1:2" ht="15.75" customHeight="1" x14ac:dyDescent="0.2">
      <c r="A91" s="9"/>
      <c r="B91" s="9"/>
    </row>
    <row r="92" spans="1:2" ht="15.75" customHeight="1" x14ac:dyDescent="0.2">
      <c r="A92" s="9"/>
      <c r="B92" s="9"/>
    </row>
    <row r="93" spans="1:2" ht="15.75" customHeight="1" x14ac:dyDescent="0.2">
      <c r="A93" s="9"/>
      <c r="B93" s="9"/>
    </row>
    <row r="94" spans="1:2" ht="15.75" customHeight="1" x14ac:dyDescent="0.2">
      <c r="A94" s="9"/>
      <c r="B94" s="9"/>
    </row>
    <row r="95" spans="1:2" ht="15.75" customHeight="1" x14ac:dyDescent="0.2">
      <c r="A95" s="9"/>
      <c r="B95" s="9"/>
    </row>
    <row r="96" spans="1:2" ht="15.75" customHeight="1" x14ac:dyDescent="0.2">
      <c r="A96" s="9"/>
      <c r="B96" s="9"/>
    </row>
    <row r="97" spans="1:2" ht="15.75" customHeight="1" x14ac:dyDescent="0.2">
      <c r="A97" s="9"/>
      <c r="B97" s="9"/>
    </row>
    <row r="98" spans="1:2" ht="15.75" customHeight="1" x14ac:dyDescent="0.2">
      <c r="A98" s="9"/>
      <c r="B98" s="9"/>
    </row>
    <row r="99" spans="1:2" ht="15.75" customHeight="1" x14ac:dyDescent="0.2">
      <c r="A99" s="9"/>
      <c r="B99" s="9"/>
    </row>
    <row r="100" spans="1:2" ht="15.75" customHeight="1" x14ac:dyDescent="0.2">
      <c r="A100" s="9"/>
      <c r="B100" s="9"/>
    </row>
    <row r="101" spans="1:2" ht="15.75" customHeight="1" x14ac:dyDescent="0.2">
      <c r="A101" s="9"/>
      <c r="B101" s="9"/>
    </row>
    <row r="102" spans="1:2" ht="15.75" customHeight="1" x14ac:dyDescent="0.2">
      <c r="A102" s="9"/>
      <c r="B102" s="9"/>
    </row>
    <row r="103" spans="1:2" ht="15.75" customHeight="1" x14ac:dyDescent="0.2">
      <c r="A103" s="9"/>
      <c r="B103" s="9"/>
    </row>
    <row r="104" spans="1:2" ht="15.75" customHeight="1" x14ac:dyDescent="0.2">
      <c r="A104" s="9"/>
      <c r="B104" s="9"/>
    </row>
    <row r="105" spans="1:2" ht="15.75" customHeight="1" x14ac:dyDescent="0.2">
      <c r="A105" s="9"/>
      <c r="B105" s="9"/>
    </row>
    <row r="106" spans="1:2" ht="15.75" customHeight="1" x14ac:dyDescent="0.2">
      <c r="A106" s="9"/>
      <c r="B106" s="9"/>
    </row>
    <row r="107" spans="1:2" ht="15.75" customHeight="1" x14ac:dyDescent="0.2">
      <c r="A107" s="9"/>
      <c r="B107" s="9"/>
    </row>
    <row r="108" spans="1:2" ht="15.75" customHeight="1" x14ac:dyDescent="0.2">
      <c r="A108" s="9"/>
      <c r="B108" s="9"/>
    </row>
    <row r="109" spans="1:2" ht="15.75" customHeight="1" x14ac:dyDescent="0.2">
      <c r="A109" s="9"/>
      <c r="B109" s="9"/>
    </row>
    <row r="110" spans="1:2" ht="15.75" customHeight="1" x14ac:dyDescent="0.2">
      <c r="A110" s="9"/>
      <c r="B110" s="9"/>
    </row>
    <row r="111" spans="1:2" ht="15.75" customHeight="1" x14ac:dyDescent="0.2">
      <c r="A111" s="9"/>
      <c r="B111" s="9"/>
    </row>
    <row r="112" spans="1:2" ht="15.75" customHeight="1" x14ac:dyDescent="0.2">
      <c r="A112" s="9"/>
      <c r="B112" s="9"/>
    </row>
    <row r="113" spans="1:2" ht="15.75" customHeight="1" x14ac:dyDescent="0.2">
      <c r="A113" s="9"/>
      <c r="B113" s="9"/>
    </row>
    <row r="114" spans="1:2" ht="15.75" customHeight="1" x14ac:dyDescent="0.2">
      <c r="A114" s="9"/>
      <c r="B114" s="9"/>
    </row>
    <row r="115" spans="1:2" ht="15.75" customHeight="1" x14ac:dyDescent="0.2">
      <c r="A115" s="9"/>
      <c r="B115" s="9"/>
    </row>
    <row r="116" spans="1:2" ht="15.75" customHeight="1" x14ac:dyDescent="0.2">
      <c r="A116" s="9"/>
      <c r="B116" s="9"/>
    </row>
    <row r="117" spans="1:2" ht="15.75" customHeight="1" x14ac:dyDescent="0.2">
      <c r="A117" s="9"/>
      <c r="B117" s="9"/>
    </row>
    <row r="118" spans="1:2" ht="15.75" customHeight="1" x14ac:dyDescent="0.2">
      <c r="A118" s="9"/>
      <c r="B118" s="9"/>
    </row>
    <row r="119" spans="1:2" ht="15.75" customHeight="1" x14ac:dyDescent="0.2">
      <c r="A119" s="9"/>
      <c r="B119" s="9"/>
    </row>
    <row r="120" spans="1:2" ht="15.75" customHeight="1" x14ac:dyDescent="0.2">
      <c r="A120" s="9"/>
      <c r="B120" s="9"/>
    </row>
    <row r="121" spans="1:2" ht="15.75" customHeight="1" x14ac:dyDescent="0.2">
      <c r="A121" s="9"/>
      <c r="B121" s="9"/>
    </row>
    <row r="122" spans="1:2" ht="15.75" customHeight="1" x14ac:dyDescent="0.2">
      <c r="A122" s="9"/>
      <c r="B122" s="9"/>
    </row>
    <row r="123" spans="1:2" ht="15.75" customHeight="1" x14ac:dyDescent="0.2">
      <c r="A123" s="9"/>
      <c r="B123" s="9"/>
    </row>
    <row r="124" spans="1:2" ht="15.75" customHeight="1" x14ac:dyDescent="0.2">
      <c r="A124" s="9"/>
      <c r="B124" s="9"/>
    </row>
    <row r="125" spans="1:2" ht="15.75" customHeight="1" x14ac:dyDescent="0.2">
      <c r="A125" s="9"/>
      <c r="B125" s="9"/>
    </row>
    <row r="126" spans="1:2" ht="15.75" customHeight="1" x14ac:dyDescent="0.2">
      <c r="A126" s="9"/>
      <c r="B126" s="9"/>
    </row>
    <row r="127" spans="1:2" ht="15.75" customHeight="1" x14ac:dyDescent="0.2">
      <c r="A127" s="9"/>
      <c r="B127" s="9"/>
    </row>
    <row r="128" spans="1:2" ht="15.75" customHeight="1" x14ac:dyDescent="0.2">
      <c r="A128" s="9"/>
      <c r="B128" s="9"/>
    </row>
    <row r="129" spans="1:2" ht="15.75" customHeight="1" x14ac:dyDescent="0.2">
      <c r="A129" s="9"/>
      <c r="B129" s="9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  <row r="1004" spans="1:2" ht="15.75" customHeight="1" x14ac:dyDescent="0.2">
      <c r="A1004" s="3"/>
      <c r="B1004" s="3"/>
    </row>
    <row r="1005" spans="1:2" ht="15.75" customHeight="1" x14ac:dyDescent="0.2">
      <c r="A1005" s="3"/>
      <c r="B1005" s="3"/>
    </row>
    <row r="1006" spans="1:2" ht="15.75" customHeight="1" x14ac:dyDescent="0.2">
      <c r="A1006" s="3"/>
      <c r="B1006" s="3"/>
    </row>
    <row r="1007" spans="1:2" ht="15.75" customHeight="1" x14ac:dyDescent="0.2">
      <c r="A1007" s="3"/>
      <c r="B1007" s="3"/>
    </row>
    <row r="1008" spans="1:2" ht="15.75" customHeight="1" x14ac:dyDescent="0.2">
      <c r="A1008" s="3"/>
      <c r="B1008" s="3"/>
    </row>
    <row r="1009" spans="1:2" ht="15.75" customHeight="1" x14ac:dyDescent="0.2">
      <c r="A1009" s="3"/>
      <c r="B1009" s="3"/>
    </row>
    <row r="1010" spans="1:2" ht="15.75" customHeight="1" x14ac:dyDescent="0.2">
      <c r="A1010" s="3"/>
      <c r="B1010" s="3"/>
    </row>
    <row r="1011" spans="1:2" ht="15.75" customHeight="1" x14ac:dyDescent="0.2">
      <c r="A1011" s="3"/>
      <c r="B1011" s="3"/>
    </row>
    <row r="1012" spans="1:2" ht="15.75" customHeight="1" x14ac:dyDescent="0.2">
      <c r="A1012" s="3"/>
      <c r="B1012" s="3"/>
    </row>
    <row r="1013" spans="1:2" ht="15.75" customHeight="1" x14ac:dyDescent="0.2">
      <c r="A1013" s="3"/>
      <c r="B1013" s="3"/>
    </row>
    <row r="1014" spans="1:2" ht="15.75" customHeight="1" x14ac:dyDescent="0.2">
      <c r="A1014" s="3"/>
      <c r="B1014" s="3"/>
    </row>
    <row r="1015" spans="1:2" ht="15.75" customHeight="1" x14ac:dyDescent="0.2">
      <c r="A1015" s="3"/>
      <c r="B1015" s="3"/>
    </row>
    <row r="1016" spans="1:2" ht="15.75" customHeight="1" x14ac:dyDescent="0.2">
      <c r="A1016" s="3"/>
      <c r="B1016" s="3"/>
    </row>
    <row r="1017" spans="1:2" ht="15.75" customHeight="1" x14ac:dyDescent="0.2">
      <c r="A1017" s="3"/>
      <c r="B1017" s="3"/>
    </row>
    <row r="1018" spans="1:2" ht="15.75" customHeight="1" x14ac:dyDescent="0.2">
      <c r="A1018" s="3"/>
      <c r="B1018" s="3"/>
    </row>
    <row r="1019" spans="1:2" ht="15.75" customHeight="1" x14ac:dyDescent="0.2">
      <c r="A1019" s="3"/>
      <c r="B1019" s="3"/>
    </row>
  </sheetData>
  <hyperlinks>
    <hyperlink ref="A67" r:id="rId1" display="https://www.thoxan.com/kontakt/" xr:uid="{A7C6D347-2E48-3B40-9635-4FA7E3EC0941}"/>
    <hyperlink ref="A2" r:id="rId2" xr:uid="{99F39901-9EA6-A941-95C6-5D7A6793EA2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2025-10-08T15:17:35Z</dcterms:created>
  <dcterms:modified xsi:type="dcterms:W3CDTF">2025-10-08T16:04:06Z</dcterms:modified>
</cp:coreProperties>
</file>