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0/"/>
    </mc:Choice>
  </mc:AlternateContent>
  <xr:revisionPtr revIDLastSave="0" documentId="8_{EB1DB34B-F9DB-E744-ABC0-C41BA9411B5B}" xr6:coauthVersionLast="47" xr6:coauthVersionMax="47" xr10:uidLastSave="{00000000-0000-0000-0000-000000000000}"/>
  <bookViews>
    <workbookView xWindow="10420" yWindow="500" windowWidth="36780" windowHeight="26760" xr2:uid="{4EC350CD-E38C-DF4A-8E98-B48399031A1B}"/>
  </bookViews>
  <sheets>
    <sheet name="BK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47" i="1"/>
  <c r="B41" i="1"/>
  <c r="B37" i="1"/>
  <c r="B33" i="1"/>
  <c r="B28" i="1"/>
  <c r="B57" i="1" l="1"/>
</calcChain>
</file>

<file path=xl/sharedStrings.xml><?xml version="1.0" encoding="utf-8"?>
<sst xmlns="http://schemas.openxmlformats.org/spreadsheetml/2006/main" count="54" uniqueCount="48">
  <si>
    <t>BKK GILDEMEISTER SEIDENSTICKER</t>
  </si>
  <si>
    <t>Sept.-Okt. 2025</t>
  </si>
  <si>
    <t>www.bkkgs.de</t>
  </si>
  <si>
    <t>Monatliche Optimierung</t>
  </si>
  <si>
    <t>Aufwand ca. in Std.</t>
  </si>
  <si>
    <t>1. Linkaufbau, Online-PR</t>
  </si>
  <si>
    <t>Textarbeiten (Material, Gastartikel-Vorlage, Grafikdesign): Briefing und Recherche, Texterstellung für Gastbeitrag auf schwangerinmeinerstadt.de, Lektorat, Abstimmung und Vorbereitung zur Veröffentlichung, div. Abstimmung wegen Werbekooperation (03.-15.09., 29.09.-06.10., EXT, TKI)</t>
  </si>
  <si>
    <t>Textarbeiten (Gastartikel): Briefing und Recherche, Texterstellung für Gastbeitrag auf hallo-frau.de, Lektorat, Abstimmung und Vorbereitung zur Veröffentlichung (03.09., EXT, TKI)</t>
  </si>
  <si>
    <t>Textarbeiten (Gastartikel): Briefing und Recherche, Texterstellung für Gastbeitrag auf familienwegweiser.com, Lektorat, Abstimmung und Vorbereitung zur Veröffentlichung (10.09., EXT, TKI)</t>
  </si>
  <si>
    <t>Textarbeiten (Gastartikel): Briefing und Recherche, Texterstellung für Gastbeitrag auf elternwissen.com, Lektorat, Abstimmung und Vorbereitung zur Veröffentlichung (12.09., EXT, TKI)</t>
  </si>
  <si>
    <t>Textarbeiten (Gastartikel): Briefing und Recherche, Texterstellung für Gastbeitrag auf ichbinmutter.com, Lektorat, Abstimmung und Vorbereitung zur Veröffentlichung (06.10., EXT, TKI)</t>
  </si>
  <si>
    <t>Textarbeiten (Gastartikel): Briefing und Recherche, Texterstellung für Gastbeitrag auf familienjournal.com, Lektorat, Abstimmung und Vorbereitung zur Veröffentlichung (08.10., EXT, TKI)</t>
  </si>
  <si>
    <t>Textarbeiten (Gastartikel): Briefing und Recherche, Texterstellung für Gastbeitrag auf papa.de, Lektorat, Abstimmung und Vorbereitung zur Veröffentlichung (08.-09.10., EXT, TKI)</t>
  </si>
  <si>
    <t>Textarbeiten (Gastartikel): Briefing und Recherche, Texterstellung für Gastbeitrag auf kindererziehung.com, Lektorat, Abstimmung und Vorbereitung zur Veröffentlichung (09.10., EXT, TKI)</t>
  </si>
  <si>
    <t>Linkaufbau-Organisation und Abstimmung mit den Seitenbetreibern zur Veröffentlichung der vorbereiteten Gastartikel, Prüfung der Link-Integration, Abrechnung der Linkaufbau-Auslagen, Abstimmung und Dokumentation  (25.08.-30.10., TKI)</t>
  </si>
  <si>
    <t>https://www.hallo-frau.de/allgemein/mitten-im-zyklus-und-mitten-im-leben/</t>
  </si>
  <si>
    <t>https://www.familienwegweiser.com/so-lernen-kinder-mit-geld-umzugehen/</t>
  </si>
  <si>
    <t>https://www.elternwissen.com/kindergesundheit/gesunde-zaehne/gesunde-zaehne-von-anfang-an/</t>
  </si>
  <si>
    <t>https://www.schwangerinmeinerstadt.de/informationen/schwangerschaft/vorbereitung-auf-die-geburt/bkk-gildemeister-seidensticker-info-reihe-fuer-schwangere.aspx</t>
  </si>
  <si>
    <t>https://www.kindererziehung.com/news-leser/ein-neuer-lebensabschnitt-erste-schritte-in-der-schwangerschaft02394.php</t>
  </si>
  <si>
    <t>https://ichbinmutter.com/gesundheit/pflege-und-gesunde-gewohnheiten/was-tun-wenn-sich-mein-kind-verletzt/</t>
  </si>
  <si>
    <t>https://www.familienjournal.com/kleine-gefaehrten-grosse-wirkung-haustiere-in-der-familie/</t>
  </si>
  <si>
    <t>https://www.papa.de/ich-werde-papa/</t>
  </si>
  <si>
    <t>Pressemeldung: Abstimmung und Recherche für eine Pressemeldung zum Thema "Krankenstand 2024", Texterstellung inkl. Abbinder, interne Verlinkung, ggf. Zitate, etc., Lektorat und Dokumentation der Anpassungen via Loom-Videos, finale Absprachen (03.-06.10., TKI)</t>
  </si>
  <si>
    <t>Pressebilder: Abstimmung wegen Pressebildern, begleitend zur aktuellen Pressemeldung, Bildbearbeitung und Vorbereitung der Medien zur einheitlichen Veröffentlichung (06.10., TKI)</t>
  </si>
  <si>
    <t>Presseportale: Pressemeldung auf gepflegten und geprüften (kostenfreien) Presseportalen online einstellen, Profile aktualisieren, Prüfung der Veröffentlichungen, Abstimmung und Dokumentation, Portale siehe Asana (20.-22.10., TKI)</t>
  </si>
  <si>
    <t>Link-Monitoring: Neue Verlinkungen aus Link-Tools der letzten 30 Tage überprüft, einzeln bewertet (monatlich ca. 0,25 Std., TKI)</t>
  </si>
  <si>
    <t>2. Redaktionelle Arbeiten (Gaby)</t>
  </si>
  <si>
    <t>Abstimmung, Prüfung der Spitzenstellungsbehauptungen, Kommunikation, Dokumentation (30.09.-02.10., GBO, TKI)</t>
  </si>
  <si>
    <t>Durchsicht / Planung der aktuellen Textaufträge für die fortlaufende Aktualisierung von wichtigen Unterseiten, Maßnahmenplanung, interne Abstimmung, Asana-Tickets, Dokumentation (02.-06.10., GBO, TKI)</t>
  </si>
  <si>
    <t>3. Website-Pflegearbeiten</t>
  </si>
  <si>
    <t>Anleitung für das Erstellen und Einpflegen von Alt-Attributen für Bilder in der TYPO3-Mediathek, Abstimmung und Dokumentation (09.-10.09., VKO, TKI)</t>
  </si>
  <si>
    <t>4. Technische Arbeiten, Onpage-Optimierung, UX-Optimierung</t>
  </si>
  <si>
    <t>Überprüfung der Maßnahmen und der technischen Anpassungen von move:elevator, siehe Ticket-Dokumentation – Ladezeit-Optimierung, Core Web Vitals, PDF im Index, W3C-Validierung, etc., Abstimmung und Dokumentation (01.09.-29.10., TKI)</t>
  </si>
  <si>
    <t>5. Google Ads, Social Ads, Monitoring</t>
  </si>
  <si>
    <t>Display-Kampagne zur Trafficgewinnung, Konzeption, Einrichtung, Abstimmung und fortlaufende Dokumentation (01.09.-22.10., JST, JDR, TKI)</t>
  </si>
  <si>
    <t>6. Beratung &amp; Sonstiges</t>
  </si>
  <si>
    <t>Kurze Vorbereitung und virtuelle Abstimmung zur aktuellen Zusammenarbeit, Linkaufbau, Google Ads, Workshops, Klärung von div. Fragen, 14-14:30 Uhr, anschließend Dokumentation und interne Abstimmung für die nächsten Maßnahmen (27.08., TKI)</t>
  </si>
  <si>
    <t>Kurze Vorbereitung und virtuelle Abstimmung zur aktuellen Zusammenarbeit, Workhop m:e, Online-PR / Pressemeldungen, Klärung von div. Fragen, 14-14:30 Uhr, anschließend Dokumentation und interne Abstimmung für die nächsten Maßnahmen (23.09., TKI)</t>
  </si>
  <si>
    <t>Kurze Vorbereitung und virtuelle Abstimmung zur aktuellen Zusammenarbeit, Klärung von div. Fragen, 11:15-12:00 Uhr, anschließend Dokumentation und interne Abstimmung für die nächsten Maßnahmen (24.10., TKI) // ohne Berechnung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</si>
  <si>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</si>
  <si>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</si>
  <si>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</si>
  <si>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</si>
  <si>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Einstellen von kl. Beiträgen in Google My Business, Widerspruch wegen falscher Einstufung, Abstimmung und Dokumentation (27.08., 03.09., 10.09., 17.09., 24.09., 01.10., 08.10., 15.10., 22., 29.10., TKI)</t>
  </si>
  <si>
    <t>Google Ads: 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(25.08.-31.10., JST, DHE, TKI)</t>
  </si>
  <si>
    <t>Social Ads: Fortlaufendes Monitoring der Werbekampagnen bei Facebook und Instagram, Anpassen der Werbeanzeigen, Verfeinern der Zielgruppe, kl. Arbeiten am Werbekonto, Abstimmung und Dokumentation (25.08.-31.10., JST, DHE, TKI)</t>
  </si>
  <si>
    <t>Workhop mit dem m:e-Team in Bielefeld, Vorbereitung (Präsentation durcharbeiten, Themenplanung), Workshop 10-14 Uhr (29.10., TKI) // ohne Berechnung von Fahrtzeit / Fahrtkosten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</si>
</sst>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0" xfId="1" applyFont="1"/>
    <xf numFmtId="0" fontId="8" fillId="0" borderId="0" xfId="0" applyFont="1"/>
    <xf numFmtId="0" fontId="5" fillId="0" borderId="6" xfId="0" applyFont="1" applyBorder="1"/>
    <xf numFmtId="0" fontId="5" fillId="2" borderId="6" xfId="0" applyFont="1" applyFill="1" applyBorder="1" applyAlignment="1">
      <alignment vertical="center"/>
    </xf>
    <xf numFmtId="0" fontId="5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chbinmutter.com/gesundheit/pflege-und-gesunde-gewohnheiten/was-tun-wenn-sich-mein-kind-verletzt/" TargetMode="External"/><Relationship Id="rId3" Type="http://schemas.openxmlformats.org/officeDocument/2006/relationships/hyperlink" Target="https://www.hallo-frau.de/allgemein/mitten-im-zyklus-und-mitten-im-leben/" TargetMode="External"/><Relationship Id="rId7" Type="http://schemas.openxmlformats.org/officeDocument/2006/relationships/hyperlink" Target="https://www.kindererziehung.com/news-leser/ein-neuer-lebensabschnitt-erste-schritte-in-der-schwangerschaft02394.php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6" Type="http://schemas.openxmlformats.org/officeDocument/2006/relationships/hyperlink" Target="https://www.schwangerinmeinerstadt.de/informationen/schwangerschaft/vorbereitung-auf-die-geburt/bkk-gildemeister-seidensticker-info-reihe-fuer-schwangere.aspx" TargetMode="External"/><Relationship Id="rId5" Type="http://schemas.openxmlformats.org/officeDocument/2006/relationships/hyperlink" Target="https://www.elternwissen.com/kindergesundheit/gesunde-zaehne/gesunde-zaehne-von-anfang-an/" TargetMode="External"/><Relationship Id="rId10" Type="http://schemas.openxmlformats.org/officeDocument/2006/relationships/hyperlink" Target="https://www.papa.de/ich-werde-papa/" TargetMode="External"/><Relationship Id="rId4" Type="http://schemas.openxmlformats.org/officeDocument/2006/relationships/hyperlink" Target="https://www.familienwegweiser.com/so-lernen-kinder-mit-geld-umzugehen/" TargetMode="External"/><Relationship Id="rId9" Type="http://schemas.openxmlformats.org/officeDocument/2006/relationships/hyperlink" Target="https://www.familienjournal.com/kleine-gefaehrten-grosse-wirkung-haustiere-in-der-famil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3391-7A66-EB42-BFB7-C6BD8CA77AD0}">
  <dimension ref="A1:B1016"/>
  <sheetViews>
    <sheetView tabSelected="1" zoomScale="150" zoomScaleNormal="150" workbookViewId="0">
      <pane ySplit="4" topLeftCell="A5" activePane="bottomLeft" state="frozen"/>
      <selection pane="bottomLeft" activeCell="A62" sqref="A62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25"/>
      <c r="B4" s="26" t="s">
        <v>4</v>
      </c>
    </row>
    <row r="5" spans="1:2" s="6" customFormat="1" ht="15.75" customHeight="1" x14ac:dyDescent="0.15">
      <c r="A5" s="10" t="s">
        <v>5</v>
      </c>
      <c r="B5" s="11"/>
    </row>
    <row r="6" spans="1:2" ht="70" x14ac:dyDescent="0.2">
      <c r="A6" s="12" t="s">
        <v>6</v>
      </c>
      <c r="B6" s="13">
        <v>2.25</v>
      </c>
    </row>
    <row r="7" spans="1:2" ht="42" x14ac:dyDescent="0.2">
      <c r="A7" s="12" t="s">
        <v>7</v>
      </c>
      <c r="B7" s="13">
        <v>3</v>
      </c>
    </row>
    <row r="8" spans="1:2" ht="42" x14ac:dyDescent="0.2">
      <c r="A8" s="12" t="s">
        <v>8</v>
      </c>
      <c r="B8" s="13">
        <v>3</v>
      </c>
    </row>
    <row r="9" spans="1:2" ht="42" x14ac:dyDescent="0.2">
      <c r="A9" s="12" t="s">
        <v>9</v>
      </c>
      <c r="B9" s="13">
        <v>3</v>
      </c>
    </row>
    <row r="10" spans="1:2" ht="42" x14ac:dyDescent="0.2">
      <c r="A10" s="12" t="s">
        <v>10</v>
      </c>
      <c r="B10" s="13">
        <v>3</v>
      </c>
    </row>
    <row r="11" spans="1:2" ht="42" x14ac:dyDescent="0.2">
      <c r="A11" s="12" t="s">
        <v>11</v>
      </c>
      <c r="B11" s="13">
        <v>3</v>
      </c>
    </row>
    <row r="12" spans="1:2" ht="42" x14ac:dyDescent="0.2">
      <c r="A12" s="12" t="s">
        <v>12</v>
      </c>
      <c r="B12" s="13">
        <v>3</v>
      </c>
    </row>
    <row r="13" spans="1:2" ht="42" x14ac:dyDescent="0.2">
      <c r="A13" s="12" t="s">
        <v>13</v>
      </c>
      <c r="B13" s="13">
        <v>3</v>
      </c>
    </row>
    <row r="14" spans="1:2" s="6" customFormat="1" ht="56" x14ac:dyDescent="0.15">
      <c r="A14" s="12" t="s">
        <v>14</v>
      </c>
      <c r="B14" s="13">
        <v>4</v>
      </c>
    </row>
    <row r="15" spans="1:2" s="6" customFormat="1" ht="14" x14ac:dyDescent="0.15">
      <c r="A15" s="15" t="s">
        <v>15</v>
      </c>
      <c r="B15" s="29"/>
    </row>
    <row r="16" spans="1:2" s="6" customFormat="1" ht="28" x14ac:dyDescent="0.15">
      <c r="A16" s="15" t="s">
        <v>16</v>
      </c>
      <c r="B16" s="29"/>
    </row>
    <row r="17" spans="1:2" s="6" customFormat="1" ht="28" x14ac:dyDescent="0.15">
      <c r="A17" s="15" t="s">
        <v>17</v>
      </c>
      <c r="B17" s="29"/>
    </row>
    <row r="18" spans="1:2" s="6" customFormat="1" ht="42" x14ac:dyDescent="0.15">
      <c r="A18" s="15" t="s">
        <v>18</v>
      </c>
      <c r="B18" s="13"/>
    </row>
    <row r="19" spans="1:2" s="6" customFormat="1" ht="28" x14ac:dyDescent="0.15">
      <c r="A19" s="15" t="s">
        <v>19</v>
      </c>
      <c r="B19" s="13"/>
    </row>
    <row r="20" spans="1:2" s="6" customFormat="1" ht="28" x14ac:dyDescent="0.15">
      <c r="A20" s="15" t="s">
        <v>20</v>
      </c>
      <c r="B20" s="13"/>
    </row>
    <row r="21" spans="1:2" s="6" customFormat="1" ht="28" x14ac:dyDescent="0.15">
      <c r="A21" s="16" t="s">
        <v>21</v>
      </c>
      <c r="B21" s="30"/>
    </row>
    <row r="22" spans="1:2" s="6" customFormat="1" ht="14" x14ac:dyDescent="0.15">
      <c r="A22" s="16" t="s">
        <v>22</v>
      </c>
      <c r="B22" s="30"/>
    </row>
    <row r="23" spans="1:2" s="6" customFormat="1" ht="56" x14ac:dyDescent="0.15">
      <c r="A23" s="12" t="s">
        <v>23</v>
      </c>
      <c r="B23" s="13">
        <v>2.25</v>
      </c>
    </row>
    <row r="24" spans="1:2" s="6" customFormat="1" ht="42" x14ac:dyDescent="0.15">
      <c r="A24" s="12" t="s">
        <v>24</v>
      </c>
      <c r="B24" s="13">
        <v>0.25</v>
      </c>
    </row>
    <row r="25" spans="1:2" s="6" customFormat="1" ht="56" x14ac:dyDescent="0.15">
      <c r="A25" s="12" t="s">
        <v>25</v>
      </c>
      <c r="B25" s="13">
        <v>2.5</v>
      </c>
    </row>
    <row r="26" spans="1:2" s="6" customFormat="1" ht="42" x14ac:dyDescent="0.15">
      <c r="A26" s="17" t="s">
        <v>44</v>
      </c>
      <c r="B26" s="13">
        <v>2.5</v>
      </c>
    </row>
    <row r="27" spans="1:2" s="6" customFormat="1" ht="27.75" customHeight="1" x14ac:dyDescent="0.15">
      <c r="A27" s="12" t="s">
        <v>26</v>
      </c>
      <c r="B27" s="13">
        <v>0.5</v>
      </c>
    </row>
    <row r="28" spans="1:2" s="6" customFormat="1" ht="15.75" customHeight="1" x14ac:dyDescent="0.15">
      <c r="A28" s="8" t="s">
        <v>4</v>
      </c>
      <c r="B28" s="9">
        <f>SUM(B6:B27)</f>
        <v>35.25</v>
      </c>
    </row>
    <row r="29" spans="1:2" s="6" customFormat="1" ht="15.75" customHeight="1" x14ac:dyDescent="0.15">
      <c r="A29" s="7"/>
      <c r="B29" s="13"/>
    </row>
    <row r="30" spans="1:2" s="6" customFormat="1" ht="15.75" customHeight="1" x14ac:dyDescent="0.15">
      <c r="A30" s="10" t="s">
        <v>27</v>
      </c>
      <c r="B30" s="13"/>
    </row>
    <row r="31" spans="1:2" s="6" customFormat="1" ht="28" x14ac:dyDescent="0.15">
      <c r="A31" s="12" t="s">
        <v>28</v>
      </c>
      <c r="B31" s="14">
        <v>1.5</v>
      </c>
    </row>
    <row r="32" spans="1:2" s="6" customFormat="1" ht="42" x14ac:dyDescent="0.15">
      <c r="A32" s="12" t="s">
        <v>29</v>
      </c>
      <c r="B32" s="14">
        <v>3</v>
      </c>
    </row>
    <row r="33" spans="1:2" s="6" customFormat="1" ht="15.75" customHeight="1" x14ac:dyDescent="0.15">
      <c r="A33" s="8" t="s">
        <v>4</v>
      </c>
      <c r="B33" s="9">
        <f>SUM(B31:B32)</f>
        <v>4.5</v>
      </c>
    </row>
    <row r="34" spans="1:2" s="6" customFormat="1" ht="15.75" customHeight="1" x14ac:dyDescent="0.15">
      <c r="A34" s="18"/>
      <c r="B34" s="13"/>
    </row>
    <row r="35" spans="1:2" s="6" customFormat="1" ht="15.75" customHeight="1" x14ac:dyDescent="0.15">
      <c r="A35" s="10" t="s">
        <v>30</v>
      </c>
      <c r="B35" s="13"/>
    </row>
    <row r="36" spans="1:2" s="6" customFormat="1" ht="42" x14ac:dyDescent="0.15">
      <c r="A36" s="12" t="s">
        <v>31</v>
      </c>
      <c r="B36" s="13">
        <v>0.5</v>
      </c>
    </row>
    <row r="37" spans="1:2" s="6" customFormat="1" ht="15.75" customHeight="1" x14ac:dyDescent="0.15">
      <c r="A37" s="8" t="s">
        <v>4</v>
      </c>
      <c r="B37" s="9">
        <f>SUM(B36:B36)</f>
        <v>0.5</v>
      </c>
    </row>
    <row r="38" spans="1:2" s="6" customFormat="1" ht="15.75" customHeight="1" x14ac:dyDescent="0.15">
      <c r="A38" s="18"/>
      <c r="B38" s="13"/>
    </row>
    <row r="39" spans="1:2" s="6" customFormat="1" ht="15.75" customHeight="1" x14ac:dyDescent="0.15">
      <c r="A39" s="10" t="s">
        <v>32</v>
      </c>
      <c r="B39" s="13"/>
    </row>
    <row r="40" spans="1:2" s="6" customFormat="1" ht="56" x14ac:dyDescent="0.15">
      <c r="A40" s="12" t="s">
        <v>33</v>
      </c>
      <c r="B40" s="13">
        <v>4</v>
      </c>
    </row>
    <row r="41" spans="1:2" s="6" customFormat="1" ht="15.75" customHeight="1" x14ac:dyDescent="0.15">
      <c r="A41" s="8" t="s">
        <v>4</v>
      </c>
      <c r="B41" s="9">
        <f>SUM(B40:B40)</f>
        <v>4</v>
      </c>
    </row>
    <row r="42" spans="1:2" s="6" customFormat="1" ht="15.75" customHeight="1" x14ac:dyDescent="0.15">
      <c r="A42" s="18"/>
      <c r="B42" s="13"/>
    </row>
    <row r="43" spans="1:2" s="6" customFormat="1" ht="15.75" customHeight="1" x14ac:dyDescent="0.15">
      <c r="A43" s="10" t="s">
        <v>34</v>
      </c>
      <c r="B43" s="13"/>
    </row>
    <row r="44" spans="1:2" s="6" customFormat="1" ht="42" x14ac:dyDescent="0.15">
      <c r="A44" s="12" t="s">
        <v>35</v>
      </c>
      <c r="B44" s="13">
        <v>4</v>
      </c>
    </row>
    <row r="45" spans="1:2" s="6" customFormat="1" ht="67" customHeight="1" x14ac:dyDescent="0.15">
      <c r="A45" s="12" t="s">
        <v>45</v>
      </c>
      <c r="B45" s="13">
        <v>6</v>
      </c>
    </row>
    <row r="46" spans="1:2" s="6" customFormat="1" ht="56" x14ac:dyDescent="0.15">
      <c r="A46" s="12" t="s">
        <v>46</v>
      </c>
      <c r="B46" s="13">
        <v>2.75</v>
      </c>
    </row>
    <row r="47" spans="1:2" s="6" customFormat="1" ht="15.75" customHeight="1" x14ac:dyDescent="0.15">
      <c r="A47" s="8" t="s">
        <v>4</v>
      </c>
      <c r="B47" s="9">
        <f>SUM(B44:B46)</f>
        <v>12.75</v>
      </c>
    </row>
    <row r="48" spans="1:2" s="6" customFormat="1" ht="15.75" customHeight="1" x14ac:dyDescent="0.15">
      <c r="A48" s="18"/>
      <c r="B48" s="13"/>
    </row>
    <row r="49" spans="1:2" s="6" customFormat="1" ht="15.75" customHeight="1" x14ac:dyDescent="0.15">
      <c r="A49" s="10" t="s">
        <v>36</v>
      </c>
      <c r="B49" s="13"/>
    </row>
    <row r="50" spans="1:2" s="6" customFormat="1" ht="56" x14ac:dyDescent="0.15">
      <c r="A50" s="17" t="s">
        <v>37</v>
      </c>
      <c r="B50" s="13">
        <v>0.5</v>
      </c>
    </row>
    <row r="51" spans="1:2" s="6" customFormat="1" ht="56" x14ac:dyDescent="0.15">
      <c r="A51" s="17" t="s">
        <v>38</v>
      </c>
      <c r="B51" s="13">
        <v>0.5</v>
      </c>
    </row>
    <row r="52" spans="1:2" s="6" customFormat="1" ht="56" x14ac:dyDescent="0.15">
      <c r="A52" s="17" t="s">
        <v>39</v>
      </c>
      <c r="B52" s="13">
        <v>0</v>
      </c>
    </row>
    <row r="53" spans="1:2" s="6" customFormat="1" ht="42" x14ac:dyDescent="0.15">
      <c r="A53" s="12" t="s">
        <v>47</v>
      </c>
      <c r="B53" s="13">
        <v>5</v>
      </c>
    </row>
    <row r="54" spans="1:2" s="6" customFormat="1" ht="28" x14ac:dyDescent="0.15">
      <c r="A54" s="27" t="s">
        <v>40</v>
      </c>
      <c r="B54" s="28">
        <v>4</v>
      </c>
    </row>
    <row r="55" spans="1:2" s="6" customFormat="1" ht="15.75" customHeight="1" x14ac:dyDescent="0.15">
      <c r="A55" s="8" t="s">
        <v>4</v>
      </c>
      <c r="B55" s="9">
        <f>SUM(B50:B54)</f>
        <v>10</v>
      </c>
    </row>
    <row r="56" spans="1:2" s="6" customFormat="1" ht="15" customHeight="1" x14ac:dyDescent="0.15">
      <c r="A56" s="18"/>
      <c r="B56" s="13"/>
    </row>
    <row r="57" spans="1:2" s="6" customFormat="1" ht="16.5" customHeight="1" thickBot="1" x14ac:dyDescent="0.2">
      <c r="A57" s="19" t="s">
        <v>41</v>
      </c>
      <c r="B57" s="20">
        <f>SUM(B55+B47+B41+B37+B33+B28)</f>
        <v>67</v>
      </c>
    </row>
    <row r="58" spans="1:2" s="6" customFormat="1" ht="16.5" customHeight="1" thickBot="1" x14ac:dyDescent="0.2">
      <c r="A58" s="21" t="s">
        <v>42</v>
      </c>
      <c r="B58" s="22">
        <v>8</v>
      </c>
    </row>
    <row r="59" spans="1:2" ht="15.75" customHeight="1" x14ac:dyDescent="0.2">
      <c r="A59" s="6"/>
      <c r="B59" s="6"/>
    </row>
    <row r="60" spans="1:2" s="24" customFormat="1" ht="15.75" customHeight="1" x14ac:dyDescent="0.15">
      <c r="A60" s="23" t="s">
        <v>43</v>
      </c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6"/>
      <c r="B106" s="6"/>
    </row>
    <row r="107" spans="1:2" ht="15.75" customHeight="1" x14ac:dyDescent="0.2">
      <c r="A107" s="6"/>
      <c r="B107" s="6"/>
    </row>
    <row r="108" spans="1:2" ht="15.75" customHeight="1" x14ac:dyDescent="0.2">
      <c r="A108" s="6"/>
      <c r="B108" s="6"/>
    </row>
    <row r="109" spans="1:2" ht="15.75" customHeight="1" x14ac:dyDescent="0.2">
      <c r="A109" s="6"/>
      <c r="B109" s="6"/>
    </row>
    <row r="110" spans="1:2" ht="15.75" customHeight="1" x14ac:dyDescent="0.2">
      <c r="A110" s="6"/>
      <c r="B110" s="6"/>
    </row>
    <row r="111" spans="1:2" ht="15.75" customHeight="1" x14ac:dyDescent="0.2">
      <c r="A111" s="6"/>
      <c r="B111" s="6"/>
    </row>
    <row r="112" spans="1:2" ht="15.75" customHeight="1" x14ac:dyDescent="0.2">
      <c r="A112" s="6"/>
      <c r="B112" s="6"/>
    </row>
    <row r="113" spans="1:2" ht="15.75" customHeight="1" x14ac:dyDescent="0.2">
      <c r="A113" s="6"/>
      <c r="B113" s="6"/>
    </row>
    <row r="114" spans="1:2" ht="15.75" customHeight="1" x14ac:dyDescent="0.2">
      <c r="A114" s="6"/>
      <c r="B114" s="6"/>
    </row>
    <row r="115" spans="1:2" ht="15.75" customHeight="1" x14ac:dyDescent="0.2">
      <c r="A115" s="6"/>
      <c r="B115" s="6"/>
    </row>
    <row r="116" spans="1:2" ht="15.75" customHeight="1" x14ac:dyDescent="0.2">
      <c r="A116" s="6"/>
      <c r="B116" s="6"/>
    </row>
    <row r="117" spans="1:2" ht="15.75" customHeight="1" x14ac:dyDescent="0.2">
      <c r="A117" s="6"/>
      <c r="B117" s="6"/>
    </row>
    <row r="118" spans="1:2" ht="15.75" customHeight="1" x14ac:dyDescent="0.2">
      <c r="A118" s="6"/>
      <c r="B118" s="6"/>
    </row>
    <row r="119" spans="1:2" ht="15.75" customHeight="1" x14ac:dyDescent="0.2">
      <c r="A119" s="6"/>
      <c r="B119" s="6"/>
    </row>
    <row r="120" spans="1:2" ht="15.75" customHeight="1" x14ac:dyDescent="0.2">
      <c r="A120" s="6"/>
      <c r="B120" s="6"/>
    </row>
    <row r="121" spans="1:2" ht="15.75" customHeight="1" x14ac:dyDescent="0.2">
      <c r="A121" s="6"/>
      <c r="B121" s="6"/>
    </row>
    <row r="122" spans="1:2" ht="15.75" customHeight="1" x14ac:dyDescent="0.2">
      <c r="A122" s="6"/>
      <c r="B122" s="6"/>
    </row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hyperlinks>
    <hyperlink ref="A2" r:id="rId1" xr:uid="{C7B489F0-EAC2-0744-BEC8-EE1E4F129CCB}"/>
    <hyperlink ref="A60" r:id="rId2" display="https://www.thoxan.com/kontakt/" xr:uid="{E44EA842-FB89-974D-83AA-63EF72C16BAC}"/>
    <hyperlink ref="A15" r:id="rId3" xr:uid="{425ABDD1-1D5A-0E4B-91FF-FAE89301C240}"/>
    <hyperlink ref="A16" r:id="rId4" xr:uid="{5740314A-BEB0-624B-B298-DDB39F7DF956}"/>
    <hyperlink ref="A17" r:id="rId5" xr:uid="{998DFF59-7CDF-454B-9067-7446F0FF9A98}"/>
    <hyperlink ref="A18" r:id="rId6" xr:uid="{3200CF4D-E9A7-5540-BA27-412C58DF7DA8}"/>
    <hyperlink ref="A19" r:id="rId7" xr:uid="{E354BA9A-76FC-5046-9836-74971D058966}"/>
    <hyperlink ref="A20" r:id="rId8" xr:uid="{85830936-AA8C-1740-9837-77831D095FF4}"/>
    <hyperlink ref="A21" r:id="rId9" xr:uid="{A50F6546-B65F-6F4C-9D2B-969B5527C3D4}"/>
    <hyperlink ref="A22" r:id="rId10" xr:uid="{207C815A-EF18-8847-BC46-45054EA9379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2025-10-30T09:05:59Z</dcterms:created>
  <dcterms:modified xsi:type="dcterms:W3CDTF">2025-10-30T09:08:32Z</dcterms:modified>
</cp:coreProperties>
</file>