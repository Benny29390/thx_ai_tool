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E7D634C1-946E-AF4E-921B-9187D70469D3}" xr6:coauthVersionLast="47" xr6:coauthVersionMax="47" xr10:uidLastSave="{00000000-0000-0000-0000-000000000000}"/>
  <bookViews>
    <workbookView xWindow="4880" yWindow="500" windowWidth="36300" windowHeight="26020" xr2:uid="{A63E6CCA-58E3-2B49-8CAF-708F3BC8CF61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4" i="1"/>
  <c r="B39" i="1"/>
  <c r="B35" i="1"/>
  <c r="B14" i="1"/>
  <c r="B50" i="1" l="1"/>
</calcChain>
</file>

<file path=xl/sharedStrings.xml><?xml version="1.0" encoding="utf-8"?>
<sst xmlns="http://schemas.openxmlformats.org/spreadsheetml/2006/main" count="49" uniqueCount="44">
  <si>
    <t>Pflegedienst Hessen Süd Janssen GmbH</t>
  </si>
  <si>
    <t>4. Quartal 2025</t>
  </si>
  <si>
    <t>www.pflegedienst-hessen-sued.de</t>
  </si>
  <si>
    <t>Monatliche Optimierung</t>
  </si>
  <si>
    <t>Aufwand ca. in Std.</t>
  </si>
  <si>
    <t>1. Linkaufbau, Linkabbau, Online-PR</t>
  </si>
  <si>
    <t>Textarbeiten Gastartikel: Briefing und Recherche, Texterstellung für Gastbeitrag auf seniorenportal.de, Lektorat, Abstimmung und Vorbereitung zur Veröffentlichung (08.-10.10., EXT, TKI)</t>
  </si>
  <si>
    <t>Textarbeiten Gastartikel: Briefing und Recherche, Texterstellung für Gastbeitrag auf arztphobie.de, Lektorat, Abstimmung und Vorbereitung zur Veröffentlichung (27.10., EXT, TKI)</t>
  </si>
  <si>
    <t>Textarbeiten Gastartikel: Briefing und Recherche, Texterstellung für Gastbeitrag auf deutsches-pflegeportal.de, Lektorat, Abstimmung und Vorbereitung zur Veröffentlichung (27.-28.11., EXT, TKI)</t>
  </si>
  <si>
    <t>Linkaufbau-Organisation und Abstimmung mit den Seitenbetreibern zur Veröffentlichung der vorbereiteten Gastartikel, Prüfung der Link-Integration, Abrechnung der Linkaufbau-Auslagen, Abstimmung und Dokumentation (06.10.-10.12., TKI)</t>
  </si>
  <si>
    <t>https://www.seniorenportal.de/ratgeber/gesundheit-pflege/pflege-zu-hause/von-der-klinik-nach-hause</t>
  </si>
  <si>
    <t>https://www.arztphobie.com/magazin/haeusliche-pflege-tipps/</t>
  </si>
  <si>
    <t>https://www.deutsches-pflegeportal.de/magazin/pflege-als-beruf/arbeit-in-der-pflege-ist-aufgabe-mit-sinn-und-zukunft</t>
  </si>
  <si>
    <t>Link-Monitoring: Neue Verlinkungen aus Link-Tools der letzten 30 Tage kurz gesichtet, überprüft und bewertet (monatliches Monitoring, TKI)</t>
  </si>
  <si>
    <t>2. Redaktionelle Arbeiten &amp; Website-Pflege</t>
  </si>
  <si>
    <t>Textarbeiten Unterseite "Ausbildungsplätze in der Pflege": Abstimmung, Briefing und inhaltliche Konzeption, Recherche und Zusammentragen der Informationen, Texterstellung, Keyword-Optimierung nach WDF*IDF, Ergänzungen und kl. Anpassungen, Lektorat und finale Bearbeitung, Versand an Kunden und Dokumentation (14.-17.10., GBO)</t>
  </si>
  <si>
    <t>Einpflegen der optimierten Unterseiten "Ausbildungsplätze in der Pflege"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(17.-18.12., MGO, RBO)</t>
  </si>
  <si>
    <t>Textarbeiten Unterseite "Ausbildung Pflegefachfrau / Pflegefachmann (m/w/d)": Abstimmung, Briefing und inhaltliche Konzeption, Recherche und Zusammentragen der Informationen, Texterstellung, Keyword-Optimierung nach WDF*IDF, Ergänzungen und kl. Anpassungen, Lektorat und finale Bearbeitung, Versand an Kunden und Dokumentation (15.-27.10., GBO)</t>
  </si>
  <si>
    <t>Einpflegen der optimierten Unterseiten "Ausbildung Pflegefachfrau / Pflegefachmann (m/w/d)"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(17.-18.12., MGO, RBO)</t>
  </si>
  <si>
    <t>Textarbeiten Unterseite "Altenpflegehelfer Ausbildung (m/w/d)": Abstimmung, Briefing und inhaltliche Konzeption, Recherche und Zusammentragen der Informationen, Texterstellung, Keyword-Optimierung nach WDF*IDF, Ergänzungen und kl. Anpassungen, Lektorat und finale Bearbeitung, Versand an Kunden und Dokumentation (10.-28.11., GBO)</t>
  </si>
  <si>
    <t>Einpflegen der optimierten Unterseiten "Altenpflegehelfer Ausbildung (m/w/d)"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(10.-18.12., MGO, RBO)</t>
  </si>
  <si>
    <t>Textarbeiten Unterseite "Ausbildung Kauffrau / Kaufmann im Gesundheitswesen (m/w/d)": Abstimmung, Briefing und inhaltliche Konzeption, Recherche und Zusammentragen der Informationen, Texterstellung, Keyword-Optimierung nach WDF*IDF, Ergänzungen und kl. Anpassungen, Lektorat und finale Bearbeitung, Versand an Kunden und Dokumentation (25.-28.11., GBO)</t>
  </si>
  <si>
    <t>Einpflegen der optimierten Unterseiten "Ausbildung Kauffrau / Kaufmann im Gesundheitswesen (m/w/d)"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(17.-18.12., MGO, RBO)</t>
  </si>
  <si>
    <t>Textoptimierung Blogartikel "Barrierefreies Wohnen": Abstimmung, Recherche und Textoptimierung für bestehende Unterseite, Überarbeitung des Bestandstexts und Texterweiterung, Keyword-Optimierung, Ergänzungen und kl. Anpassungen, Lektorat und finale Bearbeitung, Versand an Kunden und Dokumentation (15.-22.10., 07.11., GBO, MWA)</t>
  </si>
  <si>
    <t>Einpflegen des geänderten Blogbeitrags "Barrierefreies Wohnen" nach Freigabe: Interne Abstimmung und Einpflegen des neuen Textes inkl. Optimierung der Darstellung im Block-Editor, finale Prüfung, senden an Kunde, Dokumentation (17.-18.12., MGO, RBO)</t>
  </si>
  <si>
    <t>Textoptimierung Blogartikel "Der richtige Pflegeplatz": Abstimmung, Recherche und Textoptimierung für bestehende Unterseite, Überarbeitung des Bestandstexts und Texterweiterung, Keyword-Optimierung, Ergänzungen und kl. Anpassungen, Lektorat und finale Bearbeitung, Versand an Kunden und Dokumentation (13.-28.11., GBO, MWA)</t>
  </si>
  <si>
    <t>Einpflegen des geänderten Blogbeitrags "Der richtige Pflegeplatz" nach Freigabe: Interne Abstimmung und Einpflegen des neuen Textes inkl. Optimierung der Darstellung im Block-Editor, finale Prüfung, senden an Kunde, Dokumentation (17.-18.12., MGO, RBO)</t>
  </si>
  <si>
    <t>Blogartikel "pdhs-academy-gegruendet": Interne / externe Kommunikation, löschen des Beitrags in WordPress, Weiterleitung eingerichtet, Info an Kunde und Dokumentation (06.12., GBO)</t>
  </si>
  <si>
    <t>Anpassung geänderter Daten wie Benefits, MA-Anzahl usw.: Interne Abstimmung und Einpflegen geänderter Inhalte inkl. Optimierung der Darstellungim Block-Editor, finale Prüfung, Dokumentation (09.-27.10., MGO, GBO, RBO)</t>
  </si>
  <si>
    <t>Hero-Collage für Startseite und Pflegedienst-Unterseite aufgrund der gekündigten Kollegin neu erstellt und eingebaut, Abstimmung (27.10., RBO)</t>
  </si>
  <si>
    <t>Klärung Kontraste und CTA-Elemente nach Designumstellung, interne Abstimmung und kl. Anpassungen Detailseiten (27.10., RBO)</t>
  </si>
  <si>
    <t>Mobiler Friseurdienst rausnehmen, bisherige URL umleiten, Iconboxen anpassen, Abstimmung und Dokumentation (11.12., RBO)</t>
  </si>
  <si>
    <t>Planung Blogbeiträge-Optimierung 2025-2026, interne und externe Kommunikation, Dokumentation (10.11.-18.12., GBO)</t>
  </si>
  <si>
    <t>3. Technische Arbeiten, Programmierung</t>
  </si>
  <si>
    <t>Google Ads-Monitoring (3. Quartal): Monatliches Monitoring der Kampagnen, kl. Anpassungen, fortlaufendes Ausschließen und Ergänzen von Keywords, Auswertung am Monats- bzw. Quartalsende (01.10.-31.12., JST, TKI)</t>
  </si>
  <si>
    <t>Social Ads-Monitoring (3. Quartal): Monatliches Monitoring der Werbe-kampagnen bei Facebook und Instagram, Anpassen der Werbeanzeigen, Verfeinern der Zielgruppe, kl. Arbeiten am Werbekonto, Abstimmung und Dokumentation (01.10.-31.12., JST, TKI)</t>
  </si>
  <si>
    <t>Organisation, Planung, Überwachung und Steuerung der Aufgaben und Ressourcen (monatlich, TKI)</t>
  </si>
  <si>
    <t>Aufwand ca. insgesamt in Std.</t>
  </si>
  <si>
    <t>Aufwand in Tagessätzen</t>
  </si>
  <si>
    <t>6 TS</t>
  </si>
  <si>
    <t>Noch Rückfragen? Kontakt zur Thoxan Communications GmbH unter https://www.thoxan.com/kontakt/</t>
  </si>
  <si>
    <t>---</t>
  </si>
  <si>
    <t>4. Google Ads, Social Ads, Monitoring</t>
  </si>
  <si>
    <t>5. Abstimmung, Beratung, Projektmanagement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</si>
</sst>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theme="0" tint="-0.249977111117893"/>
      <name val="Arial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5" fillId="0" borderId="3" xfId="1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3" xfId="0" applyFont="1" applyBorder="1"/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vertical="top" wrapText="1"/>
      <protection locked="0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2" borderId="6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6" fillId="0" borderId="7" xfId="0" applyFont="1" applyBorder="1"/>
    <xf numFmtId="0" fontId="4" fillId="0" borderId="3" xfId="0" quotePrefix="1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/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niorenportal.de/ratgeber/gesundheit-pflege/pflege-zu-hause/von-der-klinik-nach-hause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5" Type="http://schemas.openxmlformats.org/officeDocument/2006/relationships/hyperlink" Target="https://www.deutsches-pflegeportal.de/magazin/pflege-als-beruf/arbeit-in-der-pflege-ist-aufgabe-mit-sinn-und-zukunft" TargetMode="External"/><Relationship Id="rId4" Type="http://schemas.openxmlformats.org/officeDocument/2006/relationships/hyperlink" Target="https://www.arztphobie.com/magazin/haeusliche-pflege-tip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F230-A081-414F-9B07-1DCB84596977}">
  <dimension ref="A1:B995"/>
  <sheetViews>
    <sheetView tabSelected="1" zoomScale="150" zoomScaleNormal="150" workbookViewId="0">
      <pane ySplit="4" topLeftCell="A5" activePane="bottomLeft" state="frozen"/>
      <selection pane="bottomLeft" activeCell="C43" sqref="C43"/>
    </sheetView>
  </sheetViews>
  <sheetFormatPr baseColWidth="10" defaultColWidth="11.1640625" defaultRowHeight="15" customHeight="1" x14ac:dyDescent="0.2"/>
  <cols>
    <col min="1" max="1" width="57.5" style="3" customWidth="1"/>
    <col min="2" max="2" width="23" style="3" customWidth="1"/>
    <col min="3" max="16384" width="11.1640625" style="3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0" customFormat="1" ht="15.75" customHeight="1" x14ac:dyDescent="0.15">
      <c r="A4" s="8"/>
      <c r="B4" s="9" t="s">
        <v>4</v>
      </c>
    </row>
    <row r="5" spans="1:2" s="10" customFormat="1" ht="15.75" customHeight="1" x14ac:dyDescent="0.15">
      <c r="A5" s="8" t="s">
        <v>5</v>
      </c>
      <c r="B5" s="11"/>
    </row>
    <row r="6" spans="1:2" s="10" customFormat="1" ht="42" x14ac:dyDescent="0.15">
      <c r="A6" s="13" t="s">
        <v>6</v>
      </c>
      <c r="B6" s="14">
        <v>3</v>
      </c>
    </row>
    <row r="7" spans="1:2" s="10" customFormat="1" ht="42" x14ac:dyDescent="0.15">
      <c r="A7" s="13" t="s">
        <v>7</v>
      </c>
      <c r="B7" s="14">
        <v>3</v>
      </c>
    </row>
    <row r="8" spans="1:2" s="10" customFormat="1" ht="42" x14ac:dyDescent="0.15">
      <c r="A8" s="13" t="s">
        <v>8</v>
      </c>
      <c r="B8" s="14">
        <v>3</v>
      </c>
    </row>
    <row r="9" spans="1:2" s="10" customFormat="1" ht="56" x14ac:dyDescent="0.15">
      <c r="A9" s="15" t="s">
        <v>9</v>
      </c>
      <c r="B9" s="16">
        <v>2</v>
      </c>
    </row>
    <row r="10" spans="1:2" s="10" customFormat="1" ht="28" x14ac:dyDescent="0.15">
      <c r="A10" s="17" t="s">
        <v>10</v>
      </c>
      <c r="B10" s="12"/>
    </row>
    <row r="11" spans="1:2" s="10" customFormat="1" ht="14" x14ac:dyDescent="0.15">
      <c r="A11" s="17" t="s">
        <v>11</v>
      </c>
      <c r="B11" s="12"/>
    </row>
    <row r="12" spans="1:2" s="10" customFormat="1" ht="28" x14ac:dyDescent="0.15">
      <c r="A12" s="17" t="s">
        <v>12</v>
      </c>
      <c r="B12" s="19"/>
    </row>
    <row r="13" spans="1:2" s="10" customFormat="1" ht="27.75" customHeight="1" x14ac:dyDescent="0.15">
      <c r="A13" s="20" t="s">
        <v>13</v>
      </c>
      <c r="B13" s="12">
        <v>0.75</v>
      </c>
    </row>
    <row r="14" spans="1:2" s="10" customFormat="1" ht="15.75" customHeight="1" x14ac:dyDescent="0.15">
      <c r="A14" s="21" t="s">
        <v>4</v>
      </c>
      <c r="B14" s="22">
        <f>SUM(B6:B13)</f>
        <v>11.75</v>
      </c>
    </row>
    <row r="15" spans="1:2" s="10" customFormat="1" ht="15.75" customHeight="1" x14ac:dyDescent="0.15">
      <c r="A15" s="23"/>
      <c r="B15" s="16"/>
    </row>
    <row r="16" spans="1:2" s="10" customFormat="1" ht="15.75" customHeight="1" x14ac:dyDescent="0.15">
      <c r="A16" s="24" t="s">
        <v>14</v>
      </c>
      <c r="B16" s="12"/>
    </row>
    <row r="17" spans="1:2" s="10" customFormat="1" ht="84" x14ac:dyDescent="0.15">
      <c r="A17" s="26" t="s">
        <v>15</v>
      </c>
      <c r="B17" s="12">
        <v>2.25</v>
      </c>
    </row>
    <row r="18" spans="1:2" s="10" customFormat="1" ht="98" x14ac:dyDescent="0.15">
      <c r="A18" s="26" t="s">
        <v>16</v>
      </c>
      <c r="B18" s="12">
        <v>1.75</v>
      </c>
    </row>
    <row r="19" spans="1:2" s="10" customFormat="1" ht="84" x14ac:dyDescent="0.15">
      <c r="A19" s="26" t="s">
        <v>17</v>
      </c>
      <c r="B19" s="12">
        <v>2.5</v>
      </c>
    </row>
    <row r="20" spans="1:2" s="10" customFormat="1" ht="98" x14ac:dyDescent="0.15">
      <c r="A20" s="26" t="s">
        <v>18</v>
      </c>
      <c r="B20" s="12">
        <v>1.5</v>
      </c>
    </row>
    <row r="21" spans="1:2" s="10" customFormat="1" ht="84" x14ac:dyDescent="0.15">
      <c r="A21" s="26" t="s">
        <v>19</v>
      </c>
      <c r="B21" s="12">
        <v>2.25</v>
      </c>
    </row>
    <row r="22" spans="1:2" s="10" customFormat="1" ht="98" x14ac:dyDescent="0.15">
      <c r="A22" s="26" t="s">
        <v>20</v>
      </c>
      <c r="B22" s="12">
        <v>1.5</v>
      </c>
    </row>
    <row r="23" spans="1:2" s="10" customFormat="1" ht="84" x14ac:dyDescent="0.15">
      <c r="A23" s="26" t="s">
        <v>21</v>
      </c>
      <c r="B23" s="12">
        <v>2.25</v>
      </c>
    </row>
    <row r="24" spans="1:2" s="10" customFormat="1" ht="98" x14ac:dyDescent="0.15">
      <c r="A24" s="26" t="s">
        <v>22</v>
      </c>
      <c r="B24" s="12">
        <v>1.5</v>
      </c>
    </row>
    <row r="25" spans="1:2" s="10" customFormat="1" ht="84" x14ac:dyDescent="0.15">
      <c r="A25" s="26" t="s">
        <v>23</v>
      </c>
      <c r="B25" s="12">
        <v>2.75</v>
      </c>
    </row>
    <row r="26" spans="1:2" s="10" customFormat="1" ht="56" x14ac:dyDescent="0.15">
      <c r="A26" s="20" t="s">
        <v>24</v>
      </c>
      <c r="B26" s="12">
        <v>1</v>
      </c>
    </row>
    <row r="27" spans="1:2" s="10" customFormat="1" ht="84" x14ac:dyDescent="0.15">
      <c r="A27" s="26" t="s">
        <v>25</v>
      </c>
      <c r="B27" s="12">
        <v>2.5</v>
      </c>
    </row>
    <row r="28" spans="1:2" s="10" customFormat="1" ht="56" x14ac:dyDescent="0.15">
      <c r="A28" s="20" t="s">
        <v>26</v>
      </c>
      <c r="B28" s="12">
        <v>1</v>
      </c>
    </row>
    <row r="29" spans="1:2" s="10" customFormat="1" ht="42" x14ac:dyDescent="0.15">
      <c r="A29" s="20" t="s">
        <v>27</v>
      </c>
      <c r="B29" s="12">
        <v>0.25</v>
      </c>
    </row>
    <row r="30" spans="1:2" s="10" customFormat="1" ht="56" x14ac:dyDescent="0.15">
      <c r="A30" s="27" t="s">
        <v>28</v>
      </c>
      <c r="B30" s="12">
        <v>4</v>
      </c>
    </row>
    <row r="31" spans="1:2" s="10" customFormat="1" ht="42" x14ac:dyDescent="0.15">
      <c r="A31" s="27" t="s">
        <v>29</v>
      </c>
      <c r="B31" s="12">
        <v>1.5</v>
      </c>
    </row>
    <row r="32" spans="1:2" s="10" customFormat="1" ht="28" x14ac:dyDescent="0.15">
      <c r="A32" s="28" t="s">
        <v>30</v>
      </c>
      <c r="B32" s="12">
        <v>0.5</v>
      </c>
    </row>
    <row r="33" spans="1:2" s="10" customFormat="1" ht="28" x14ac:dyDescent="0.15">
      <c r="A33" s="28" t="s">
        <v>31</v>
      </c>
      <c r="B33" s="12">
        <v>1</v>
      </c>
    </row>
    <row r="34" spans="1:2" s="10" customFormat="1" ht="28" x14ac:dyDescent="0.15">
      <c r="A34" s="28" t="s">
        <v>32</v>
      </c>
      <c r="B34" s="12">
        <v>2</v>
      </c>
    </row>
    <row r="35" spans="1:2" s="10" customFormat="1" ht="15.75" customHeight="1" x14ac:dyDescent="0.15">
      <c r="A35" s="29" t="s">
        <v>4</v>
      </c>
      <c r="B35" s="30">
        <f>SUM(B17:B34)</f>
        <v>32</v>
      </c>
    </row>
    <row r="36" spans="1:2" s="10" customFormat="1" ht="15.75" customHeight="1" x14ac:dyDescent="0.15">
      <c r="A36" s="31"/>
      <c r="B36" s="12"/>
    </row>
    <row r="37" spans="1:2" s="10" customFormat="1" ht="15.75" customHeight="1" x14ac:dyDescent="0.15">
      <c r="A37" s="32" t="s">
        <v>33</v>
      </c>
      <c r="B37" s="25"/>
    </row>
    <row r="38" spans="1:2" s="10" customFormat="1" ht="14" x14ac:dyDescent="0.15">
      <c r="A38" s="33" t="s">
        <v>41</v>
      </c>
      <c r="B38" s="12"/>
    </row>
    <row r="39" spans="1:2" s="10" customFormat="1" ht="15.75" customHeight="1" x14ac:dyDescent="0.15">
      <c r="A39" s="34" t="s">
        <v>4</v>
      </c>
      <c r="B39" s="35">
        <f>SUM(B37:B38)</f>
        <v>0</v>
      </c>
    </row>
    <row r="40" spans="1:2" s="10" customFormat="1" ht="15.75" customHeight="1" x14ac:dyDescent="0.15">
      <c r="A40" s="36"/>
      <c r="B40" s="14"/>
    </row>
    <row r="41" spans="1:2" s="10" customFormat="1" ht="15.75" customHeight="1" x14ac:dyDescent="0.15">
      <c r="A41" s="37" t="s">
        <v>42</v>
      </c>
      <c r="B41" s="14"/>
    </row>
    <row r="42" spans="1:2" s="10" customFormat="1" ht="56" x14ac:dyDescent="0.15">
      <c r="A42" s="15" t="s">
        <v>34</v>
      </c>
      <c r="B42" s="16">
        <v>3</v>
      </c>
    </row>
    <row r="43" spans="1:2" s="10" customFormat="1" ht="60" customHeight="1" x14ac:dyDescent="0.15">
      <c r="A43" s="15" t="s">
        <v>35</v>
      </c>
      <c r="B43" s="14">
        <v>0.25</v>
      </c>
    </row>
    <row r="44" spans="1:2" s="10" customFormat="1" ht="15.75" customHeight="1" x14ac:dyDescent="0.15">
      <c r="A44" s="38" t="s">
        <v>4</v>
      </c>
      <c r="B44" s="39">
        <f>SUM(B42:B43)</f>
        <v>3.25</v>
      </c>
    </row>
    <row r="45" spans="1:2" s="10" customFormat="1" ht="15.75" customHeight="1" x14ac:dyDescent="0.15">
      <c r="A45" s="40"/>
      <c r="B45" s="14"/>
    </row>
    <row r="46" spans="1:2" s="10" customFormat="1" ht="15.75" customHeight="1" x14ac:dyDescent="0.15">
      <c r="A46" s="24" t="s">
        <v>43</v>
      </c>
      <c r="B46" s="12"/>
    </row>
    <row r="47" spans="1:2" s="10" customFormat="1" ht="28" x14ac:dyDescent="0.15">
      <c r="A47" s="20" t="s">
        <v>36</v>
      </c>
      <c r="B47" s="12">
        <v>3</v>
      </c>
    </row>
    <row r="48" spans="1:2" s="10" customFormat="1" ht="15.75" customHeight="1" x14ac:dyDescent="0.15">
      <c r="A48" s="41" t="s">
        <v>4</v>
      </c>
      <c r="B48" s="35">
        <f>SUM(B47:B47)</f>
        <v>3</v>
      </c>
    </row>
    <row r="49" spans="1:2" s="10" customFormat="1" ht="15.75" customHeight="1" x14ac:dyDescent="0.15">
      <c r="A49" s="42"/>
      <c r="B49" s="18"/>
    </row>
    <row r="50" spans="1:2" s="10" customFormat="1" ht="16.5" customHeight="1" thickBot="1" x14ac:dyDescent="0.2">
      <c r="A50" s="43" t="s">
        <v>37</v>
      </c>
      <c r="B50" s="44">
        <f>SUM(B48+B44+B39+B35+B14)</f>
        <v>50</v>
      </c>
    </row>
    <row r="51" spans="1:2" s="10" customFormat="1" ht="16.5" customHeight="1" thickBot="1" x14ac:dyDescent="0.2">
      <c r="A51" s="43" t="s">
        <v>38</v>
      </c>
      <c r="B51" s="44" t="s">
        <v>39</v>
      </c>
    </row>
    <row r="52" spans="1:2" ht="15.75" customHeight="1" x14ac:dyDescent="0.2">
      <c r="A52" s="10"/>
      <c r="B52" s="10"/>
    </row>
    <row r="53" spans="1:2" ht="15.75" customHeight="1" x14ac:dyDescent="0.2">
      <c r="A53" s="45" t="s">
        <v>40</v>
      </c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>
      <c r="A115" s="10"/>
      <c r="B115" s="10"/>
    </row>
    <row r="116" spans="1:2" ht="15.75" customHeight="1" x14ac:dyDescent="0.2">
      <c r="A116" s="10"/>
      <c r="B116" s="10"/>
    </row>
    <row r="117" spans="1:2" ht="15.75" customHeight="1" x14ac:dyDescent="0.2"/>
    <row r="118" spans="1:2" ht="15.75" customHeight="1" x14ac:dyDescent="0.2"/>
    <row r="119" spans="1:2" ht="15.75" customHeight="1" x14ac:dyDescent="0.2"/>
    <row r="120" spans="1:2" ht="15.75" customHeight="1" x14ac:dyDescent="0.2"/>
    <row r="121" spans="1:2" ht="15.75" customHeight="1" x14ac:dyDescent="0.2"/>
    <row r="122" spans="1:2" ht="15.75" customHeight="1" x14ac:dyDescent="0.2"/>
    <row r="123" spans="1:2" ht="15.75" customHeight="1" x14ac:dyDescent="0.2"/>
    <row r="124" spans="1:2" ht="15.75" customHeight="1" x14ac:dyDescent="0.2"/>
    <row r="125" spans="1:2" ht="15.75" customHeight="1" x14ac:dyDescent="0.2"/>
    <row r="126" spans="1:2" ht="15.75" customHeight="1" x14ac:dyDescent="0.2"/>
    <row r="127" spans="1:2" ht="15.75" customHeight="1" x14ac:dyDescent="0.2"/>
    <row r="128" spans="1: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hyperlinks>
    <hyperlink ref="A2" r:id="rId1" xr:uid="{1171BB15-449B-6B4F-B399-EFC12CFFE77E}"/>
    <hyperlink ref="A53" r:id="rId2" display="https://www.thoxan.com/kontakt/" xr:uid="{CA739DEC-248F-0945-917C-ECD5769E2ADA}"/>
    <hyperlink ref="A10" r:id="rId3" xr:uid="{9D768AA5-AC15-EC4F-8481-D336587EF4EA}"/>
    <hyperlink ref="A11" r:id="rId4" xr:uid="{F8BB0502-146B-A643-BA7F-6A1BFF990A98}"/>
    <hyperlink ref="A12" r:id="rId5" xr:uid="{F622B11D-D682-9D48-8334-5F88E59D0D1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2025-12-21T08:27:43Z</dcterms:created>
  <dcterms:modified xsi:type="dcterms:W3CDTF">2025-12-21T08:29:06Z</dcterms:modified>
</cp:coreProperties>
</file>