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5-12/"/>
    </mc:Choice>
  </mc:AlternateContent>
  <xr:revisionPtr revIDLastSave="0" documentId="8_{A75ACEE3-57D9-6D4B-99F9-8570942EA333}" xr6:coauthVersionLast="47" xr6:coauthVersionMax="47" xr10:uidLastSave="{00000000-0000-0000-0000-000000000000}"/>
  <bookViews>
    <workbookView xWindow="7740" yWindow="760" windowWidth="34900" windowHeight="25120" xr2:uid="{E615D2BE-739E-7E41-9839-037414B3D1D2}"/>
  </bookViews>
  <sheets>
    <sheet name="CAY"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1" l="1"/>
  <c r="B43" i="1"/>
  <c r="B34" i="1"/>
  <c r="B30" i="1"/>
  <c r="B24" i="1"/>
  <c r="B17" i="1"/>
  <c r="B51" i="1" l="1"/>
</calcChain>
</file>

<file path=xl/sharedStrings.xml><?xml version="1.0" encoding="utf-8"?>
<sst xmlns="http://schemas.openxmlformats.org/spreadsheetml/2006/main" count="49" uniqueCount="43">
  <si>
    <t>Cayas Software GmbH</t>
  </si>
  <si>
    <t>4. Quartal 2025</t>
  </si>
  <si>
    <t>www.cayas.de</t>
  </si>
  <si>
    <t>Monatliche Optimierung</t>
  </si>
  <si>
    <t>Aufwand ca. in Std.</t>
  </si>
  <si>
    <t>1. Linkaufbau, Linkabbau, Online-PR</t>
  </si>
  <si>
    <t>Textarbeiten (Gastartikel): Briefing und Recherche, Texterstellung für Gastbeitrag auf commerce-mag.de, Lektorat, Abstimmung und Vorbereitung zur Veröffentlichung (07.-10.10., EXT, TKI)</t>
  </si>
  <si>
    <t>Textarbeiten (Gastartikel): Briefing und Recherche, Texterstellung für Gastbeitrag auf foerderland.de, Lektorat, Abstimmung und Vorbereitung zur Veröffentlichung (17.-18.11., EXT, TKI)</t>
  </si>
  <si>
    <t>Textarbeiten (Gastartikel): Briefing und Recherche, Texterstellung für Gastbeitrag auf unternehmerinfo.de, Lektorat, Abstimmung und Vorbereitung zur Veröffentlichung (02.-03.12., EXT, TKI)</t>
  </si>
  <si>
    <t>Linkaufbau-Organisation und Abstimmung mit den Seitenbetreibern zur Veröffentlichung der vorbereiteten Gastartikel, Prüfung der Link-Integration, Abrechnung der Linkaufbau-Auslagen, Abstimmung und Dokumentation  (06.10.-09.12., TKI)</t>
  </si>
  <si>
    <t>https://www.commerce-mag.de/mehr-tempo-weniger-reibung-warum-apps-im-e-commerce-hinter-den-kulissen-den-unterschied-machen/</t>
  </si>
  <si>
    <t>https://www.foerderland.de/digitale-wirtschaft/digitale-geschaeftsmodelle-entwickeln-vom-konzept-zur-marktreife/</t>
  </si>
  <si>
    <t>https://www.unternehmerinfo.de/digital/geschaeftsmodelle-im-digitalbereich/</t>
  </si>
  <si>
    <t>Pressemeldung: Abstimmung und Recherche für eine Pressemeldung zum Thema "10-jähriges Firmenjubiläum", Texterstellung inkl. Abbinder, interne Verlinkung, ggf. Zitate, etc., Lektorat und Dokumentation, finale Absprachen (09.-12.12., GBO, TKI)</t>
  </si>
  <si>
    <t>Pressebilder: Abstimmung wegen Pressebildern, begleitend zur aktuellen Pressemeldung, Bildbearbeitung und Vorbereitung der Medien zur einheitlichen Veröffentlichung (12.12., TKI)</t>
  </si>
  <si>
    <r>
      <t xml:space="preserve">Presseportale: Pressemeldung auf gepflegten und geprüften (kostenfreien) Presseportalen online einstellen, Profile anlegen und befüllen, Prüfung der Veröffentlichungen, Abstimmung und Dokumentation, Portale siehe Asana + Google My Business (15.-19.12., TKI) // </t>
    </r>
    <r>
      <rPr>
        <sz val="10"/>
        <color theme="0" tint="-0.249977111117893"/>
        <rFont val="Arial"/>
        <family val="2"/>
      </rPr>
      <t>Hinweis: Erst 2 von 5 möglichen Portalen genutzt!</t>
    </r>
  </si>
  <si>
    <t>Link-Monitoring: Neue Verlinkungen aus Link-Tools der letzten 30 Tage überprüft, einzeln bewertet (monatlich, TKI)</t>
  </si>
  <si>
    <t>2. Redaktionelle Arbeiten</t>
  </si>
  <si>
    <t>Textarbeiten Unterseiten "iOS App / Android App": Abstimmung und Textanpassung bezüglich "Migration", Keyword-Optimierung nach WDF*IDF, Versand an Kunden und Dokumentation (24.10., GBO)</t>
  </si>
  <si>
    <t>Textarbeiten Unterseite "App Entwicklung": Abstimmung, Briefing und inhaltliche Konzeption, Recherche und Zusammentragen der Informationen, Texterstellung, Keyword-Optimierung nach WDF*IDF, Ergänzungen und kl. Anpassungen, Lektorat und finale Bearbeitung, Versand an Kunden und Dokumentation (22.-24.10., 27.11., GBO, TKI)</t>
  </si>
  <si>
    <t>Textarbeiten Unterseite "App Design": Abstimmung, Briefing und inhaltliche Konzeption, Recherche und Zusammentragen der Informationen, Texterstellung, Keyword-Optimierung nach WDF*IDF, Ergänzungen und kl. Anpassungen, Lektorat und finale Bearbeitung, Versand an Kunden und Dokumentation (10.-27.11., MWA, GBO, TKI)</t>
  </si>
  <si>
    <t>Textarbeiten Unterseite "App Programmierung": Abstimmung, Briefing und inhaltliche Konzeption, Recherche und Zusammentragen der Informationen, Texterstellung, Keyword-Optimierung nach WDF*IDF, Ergänzungen und kl. Anpassungen, Lektorat und finale Bearbeitung, Versand an Kunden und Dokumentation (04.-18.12., MWA, GBO, TKI)</t>
  </si>
  <si>
    <t>3. Website-Pflege, Onpage-Optimierung, etc.</t>
  </si>
  <si>
    <t>Seitentitel und Meta-Descriptions prüfen und komplett überarbeiten, inhaltliche Ergänzungen, Vereinheitlichung sowie Keyword-Fokus für ca. 30 Unterseiten, Abstimmung und Dokumentation (09.-10.10., TKI)</t>
  </si>
  <si>
    <t>Diverse Prüfungen, Anmerkungen zu Asana-Tickets, 404-Fehler, Bildsprache-Konzept, etc., Klären von div. Fragen, Abstimmung und Dokumentation (20.-22.10., TKI)</t>
  </si>
  <si>
    <t>Index-Management (OnPage-Analyse): Vorbereitung und Recherche, Überprüfung der Website in der Google Search-Console, Durchsicht und Aufruf der indexierten Unterseiten bei Google (site:URL), Durchführung einer vollständigen Onpage-Analyse mit Sistrix und XOVI, Ladezeit, etc., weitere Fehler und Abweichungen markiert, Handlungsempfehlungen für Optimierungsmaßnahmen, Dokumentation und Abstimmung (25.11., TKI)</t>
  </si>
  <si>
    <t>4. UX-Optimierung, technische Begleitung</t>
  </si>
  <si>
    <t>5. Google Ads, Conversion-Tracking, Monitoring, etc.</t>
  </si>
  <si>
    <t>Conversion-Tracking Setup, Abstimmung und Einrichtung des Conversion-Trackings für E-Mail, Telefon, Formular, etc. via Usercentrics und Google Tag Manager, Abstimmung und Dokumentation (02.-13.10., BJU, TKI)</t>
  </si>
  <si>
    <t>Google Ads Einrichtung: Abstimmung, Anpassungen im Google Ads Konto, erste Keyword-Kampagne erstellt, verschiedene Anzeigengruppen erstellt, Keywords recherchiert und hinzugefügt, Anzeigentexte für die verschiedenen Kampagnen erstellt, Anzeigenerweiterungen und Sitelinks erstellt, Google Tag Manager Konto konfiguriert, Budgets eingestellt, kl. Anpassungen, Dokumentation und Abstimmung (13.10.-06.11., BJU, TKI)</t>
  </si>
  <si>
    <t>Google Ads-Monitoring (November 2025): Monatliches Monitoring der Kampagnen, kl. Anpassungen, diverse Abstimmungen wegen Konto, Support, etc. (10.-30.11., JST, TKI)</t>
  </si>
  <si>
    <t>Google Ads Umbau: Abstimmung, Anpassungen im (neuen) Google Ads Konto, Übertragen der Keyword-Kampagnen und Anzeigengruppen, kl. Anpassungen, Budgets eingestellt, Abstimmung und Dokumentation (09.-18.12., BJU, TKI)</t>
  </si>
  <si>
    <t>Abstimmung wegen Google My Business und Anbindung an Google Ads, finale Anpassungen im neuen Google Ads Konto, Dokumentation (18.12., BJU, TKI)</t>
  </si>
  <si>
    <t>Google Ads-Monitoring (Dezember 2025): Monatliches Monitoring der Kampagnen, kl. Anpassungen, fortlaufendes Ausschließen und Ergänzen von Keywords, bedarfsgemäße Auswertung (15.-31.12., JST, TKI)</t>
  </si>
  <si>
    <t>6. Beratung &amp; Sonstiges</t>
  </si>
  <si>
    <t>Kurze Vorbereitung und Zoomcall zur Abstimmung weiterer Maßnahmen, Planung der nächsten Schritte, Klären von div. Fragen, 15:15-16 Uhr, Abstimmung und Dokumentation der geplanten Maßnahmen in Asana (01.10., TKI)</t>
  </si>
  <si>
    <t>Kurze Vorbereitung und Zoomcall zur Abstimmung weiterer Maßnahmen, Planung der nächsten Schritte, Klären von div. Fragen, 14:30-15:00 Uhr sowie 16-16:15 Uhr Uhr, Abstimmung und Dokumentation der geplanten Maßnahmen in Asana (24.11., TKI)</t>
  </si>
  <si>
    <t>Organisation, Planung, Überwachung und Steuerung der Aufgaben und Ressourcen (pro Tagessatz ca. 0,5 Std., TKI)</t>
  </si>
  <si>
    <t>Aufwand ca. insgesamt in Std.</t>
  </si>
  <si>
    <t>Aufwand in Tagessätzen</t>
  </si>
  <si>
    <t>6 Tagessätze</t>
  </si>
  <si>
    <t>Noch Rückfragen? Kontakt zur Thoxan Communications GmbH unter https://www.thoxan.com/kontakt/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</si>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</sst>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u/>
      <sz val="12"/>
      <color theme="10"/>
      <name val="Calibri"/>
      <family val="2"/>
      <scheme val="minor"/>
    </font>
    <font>
      <b/>
      <sz val="16"/>
      <color theme="1"/>
      <name val="Arial"/>
      <family val="2"/>
    </font>
    <font>
      <sz val="12"/>
      <color theme="1"/>
      <name val="Arial"/>
      <family val="2"/>
    </font>
    <font>
      <u/>
      <sz val="10"/>
      <color theme="10"/>
      <name val="Arial"/>
      <family val="2"/>
    </font>
    <font>
      <sz val="10"/>
      <color theme="1"/>
      <name val="Arial"/>
      <family val="2"/>
    </font>
    <font>
      <b/>
      <sz val="10"/>
      <color theme="1"/>
      <name val="Arial"/>
      <family val="2"/>
    </font>
    <font>
      <sz val="10"/>
      <color rgb="FFFF0000"/>
      <name val="Arial"/>
      <family val="2"/>
    </font>
    <font>
      <sz val="10"/>
      <color theme="0" tint="-0.249977111117893"/>
      <name val="Arial"/>
      <family val="2"/>
    </font>
    <font>
      <u/>
      <sz val="10"/>
      <color rgb="FF808080"/>
      <name val="Arial"/>
      <family val="2"/>
    </font>
  </fonts>
  <fills count="3">
    <fill>
      <patternFill patternType="none"/>
    </fill>
    <fill>
      <patternFill patternType="gray125"/>
    </fill>
    <fill>
      <patternFill patternType="solid">
        <fgColor rgb="FFD8D8D8"/>
        <bgColor rgb="FFD8D8D8"/>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2">
    <xf numFmtId="0" fontId="0" fillId="0" borderId="0"/>
    <xf numFmtId="0" fontId="1" fillId="0" borderId="0" applyNumberFormat="0" applyFill="0" applyBorder="0" applyAlignment="0" applyProtection="0"/>
  </cellStyleXfs>
  <cellXfs count="29">
    <xf numFmtId="0" fontId="0" fillId="0" borderId="0" xfId="0"/>
    <xf numFmtId="0" fontId="2" fillId="0" borderId="0" xfId="0" applyFont="1"/>
    <xf numFmtId="49" fontId="2" fillId="0" borderId="0" xfId="0" applyNumberFormat="1" applyFont="1" applyAlignment="1">
      <alignment horizontal="right"/>
    </xf>
    <xf numFmtId="0" fontId="3" fillId="0" borderId="0" xfId="0" applyFont="1"/>
    <xf numFmtId="0" fontId="4" fillId="0" borderId="0" xfId="1" applyFont="1"/>
    <xf numFmtId="49" fontId="5" fillId="0" borderId="0" xfId="0" applyNumberFormat="1" applyFont="1" applyAlignment="1">
      <alignment horizontal="right"/>
    </xf>
    <xf numFmtId="0" fontId="4" fillId="0" borderId="0" xfId="0" applyFont="1"/>
    <xf numFmtId="0" fontId="5" fillId="0" borderId="0" xfId="0" applyFont="1"/>
    <xf numFmtId="0" fontId="6" fillId="0" borderId="1" xfId="0" applyFont="1" applyBorder="1"/>
    <xf numFmtId="0" fontId="6" fillId="2"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xf numFmtId="0" fontId="5" fillId="0" borderId="1" xfId="0" applyFont="1" applyBorder="1" applyAlignment="1">
      <alignment vertical="top" wrapText="1"/>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2" xfId="0" applyFont="1" applyBorder="1" applyAlignment="1">
      <alignment horizontal="center" vertical="center"/>
    </xf>
    <xf numFmtId="0" fontId="5" fillId="0" borderId="3" xfId="0" applyFont="1" applyBorder="1" applyAlignment="1">
      <alignment horizontal="left" vertical="top" wrapText="1"/>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0" fillId="0" borderId="1" xfId="0" applyBorder="1"/>
    <xf numFmtId="0" fontId="5" fillId="0" borderId="1" xfId="0" applyFont="1" applyBorder="1" applyAlignment="1">
      <alignment vertical="center"/>
    </xf>
    <xf numFmtId="0" fontId="5" fillId="0" borderId="1" xfId="0" quotePrefix="1" applyFont="1" applyBorder="1" applyAlignment="1">
      <alignment vertical="top" wrapText="1"/>
    </xf>
    <xf numFmtId="0" fontId="6" fillId="0" borderId="1" xfId="0" applyFont="1" applyBorder="1" applyAlignment="1">
      <alignment wrapText="1"/>
    </xf>
    <xf numFmtId="0" fontId="5" fillId="2" borderId="4" xfId="0" applyFont="1" applyFill="1" applyBorder="1" applyAlignment="1">
      <alignment vertical="center"/>
    </xf>
    <xf numFmtId="0" fontId="6" fillId="2" borderId="4" xfId="0" applyFont="1" applyFill="1" applyBorder="1" applyAlignment="1">
      <alignment horizontal="center" vertical="center"/>
    </xf>
    <xf numFmtId="0" fontId="5" fillId="2" borderId="5" xfId="0" applyFont="1" applyFill="1" applyBorder="1" applyAlignment="1">
      <alignment vertical="center"/>
    </xf>
    <xf numFmtId="0" fontId="6" fillId="2" borderId="6" xfId="0" applyFont="1" applyFill="1" applyBorder="1" applyAlignment="1">
      <alignment horizontal="center" vertical="center"/>
    </xf>
    <xf numFmtId="0" fontId="9" fillId="0" borderId="0" xfId="0" applyFont="1"/>
    <xf numFmtId="0" fontId="4" fillId="0" borderId="3" xfId="1" applyFont="1" applyBorder="1" applyAlignment="1">
      <alignment horizontal="left" vertical="top"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commerce-mag.de/mehr-tempo-weniger-reibung-warum-apps-im-e-commerce-hinter-den-kulissen-den-unterschied-machen/" TargetMode="External"/><Relationship Id="rId2" Type="http://schemas.openxmlformats.org/officeDocument/2006/relationships/hyperlink" Target="http://www.cayas.de/" TargetMode="External"/><Relationship Id="rId1" Type="http://schemas.openxmlformats.org/officeDocument/2006/relationships/hyperlink" Target="https://www.thoxan.com/kontakt/" TargetMode="External"/><Relationship Id="rId5" Type="http://schemas.openxmlformats.org/officeDocument/2006/relationships/hyperlink" Target="https://www.unternehmerinfo.de/digital/geschaeftsmodelle-im-digitalbereich/" TargetMode="External"/><Relationship Id="rId4" Type="http://schemas.openxmlformats.org/officeDocument/2006/relationships/hyperlink" Target="https://www.foerderland.de/digitale-wirtschaft/digitale-geschaeftsmodelle-entwickeln-vom-konzept-zur-marktreif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89B4-EBC7-BB42-B2C9-12AC0AC98EC7}">
  <dimension ref="A1:B1007"/>
  <sheetViews>
    <sheetView tabSelected="1" zoomScale="160" zoomScaleNormal="160" workbookViewId="0">
      <pane ySplit="4" topLeftCell="A5" activePane="bottomLeft" state="frozen"/>
      <selection pane="bottomLeft" activeCell="D46" sqref="D46"/>
    </sheetView>
  </sheetViews>
  <sheetFormatPr baseColWidth="10" defaultColWidth="11.1640625" defaultRowHeight="15" customHeight="1" x14ac:dyDescent="0.2"/>
  <cols>
    <col min="1" max="1" width="57.5" customWidth="1"/>
    <col min="2" max="2" width="23" customWidth="1"/>
  </cols>
  <sheetData>
    <row r="1" spans="1:2" ht="20" x14ac:dyDescent="0.2">
      <c r="A1" s="1" t="s">
        <v>0</v>
      </c>
      <c r="B1" s="2" t="s">
        <v>1</v>
      </c>
    </row>
    <row r="2" spans="1:2" ht="15.75" customHeight="1" x14ac:dyDescent="0.2">
      <c r="A2" s="4" t="s">
        <v>2</v>
      </c>
      <c r="B2" s="5" t="s">
        <v>3</v>
      </c>
    </row>
    <row r="3" spans="1:2" ht="15.75" customHeight="1" x14ac:dyDescent="0.2">
      <c r="A3" s="6"/>
      <c r="B3" s="7"/>
    </row>
    <row r="4" spans="1:2" ht="16" x14ac:dyDescent="0.2">
      <c r="A4" s="8"/>
      <c r="B4" s="9" t="s">
        <v>4</v>
      </c>
    </row>
    <row r="5" spans="1:2" ht="15.75" customHeight="1" x14ac:dyDescent="0.2">
      <c r="A5" s="8" t="s">
        <v>5</v>
      </c>
      <c r="B5" s="10"/>
    </row>
    <row r="6" spans="1:2" s="7" customFormat="1" ht="42" x14ac:dyDescent="0.15">
      <c r="A6" s="12" t="s">
        <v>6</v>
      </c>
      <c r="B6" s="13">
        <v>3</v>
      </c>
    </row>
    <row r="7" spans="1:2" s="7" customFormat="1" ht="42" x14ac:dyDescent="0.15">
      <c r="A7" s="12" t="s">
        <v>7</v>
      </c>
      <c r="B7" s="13">
        <v>3</v>
      </c>
    </row>
    <row r="8" spans="1:2" s="7" customFormat="1" ht="42" x14ac:dyDescent="0.15">
      <c r="A8" s="12" t="s">
        <v>8</v>
      </c>
      <c r="B8" s="13">
        <v>3.25</v>
      </c>
    </row>
    <row r="9" spans="1:2" s="7" customFormat="1" ht="56" x14ac:dyDescent="0.15">
      <c r="A9" s="12" t="s">
        <v>9</v>
      </c>
      <c r="B9" s="13">
        <v>2</v>
      </c>
    </row>
    <row r="10" spans="1:2" s="7" customFormat="1" ht="28" x14ac:dyDescent="0.15">
      <c r="A10" s="28" t="s">
        <v>10</v>
      </c>
      <c r="B10" s="15"/>
    </row>
    <row r="11" spans="1:2" s="7" customFormat="1" ht="28" x14ac:dyDescent="0.15">
      <c r="A11" s="28" t="s">
        <v>11</v>
      </c>
      <c r="B11" s="15"/>
    </row>
    <row r="12" spans="1:2" s="7" customFormat="1" ht="28" x14ac:dyDescent="0.15">
      <c r="A12" s="28" t="s">
        <v>12</v>
      </c>
      <c r="B12" s="15"/>
    </row>
    <row r="13" spans="1:2" s="7" customFormat="1" ht="56" x14ac:dyDescent="0.15">
      <c r="A13" s="12" t="s">
        <v>13</v>
      </c>
      <c r="B13" s="14">
        <v>2.5</v>
      </c>
    </row>
    <row r="14" spans="1:2" s="7" customFormat="1" ht="42" x14ac:dyDescent="0.15">
      <c r="A14" s="12" t="s">
        <v>14</v>
      </c>
      <c r="B14" s="14">
        <v>0.25</v>
      </c>
    </row>
    <row r="15" spans="1:2" s="7" customFormat="1" ht="70" x14ac:dyDescent="0.15">
      <c r="A15" s="12" t="s">
        <v>15</v>
      </c>
      <c r="B15" s="14">
        <v>2.25</v>
      </c>
    </row>
    <row r="16" spans="1:2" ht="30.75" customHeight="1" x14ac:dyDescent="0.2">
      <c r="A16" s="16" t="s">
        <v>16</v>
      </c>
      <c r="B16" s="13">
        <v>0.5</v>
      </c>
    </row>
    <row r="17" spans="1:2" ht="15.75" customHeight="1" x14ac:dyDescent="0.2">
      <c r="A17" s="17" t="s">
        <v>4</v>
      </c>
      <c r="B17" s="18">
        <f>SUM(B5:B16)</f>
        <v>16.75</v>
      </c>
    </row>
    <row r="18" spans="1:2" ht="15.75" customHeight="1" x14ac:dyDescent="0.2">
      <c r="A18" s="11"/>
      <c r="B18" s="14"/>
    </row>
    <row r="19" spans="1:2" ht="16" x14ac:dyDescent="0.2">
      <c r="A19" s="8" t="s">
        <v>17</v>
      </c>
      <c r="B19" s="14"/>
    </row>
    <row r="20" spans="1:2" ht="42" x14ac:dyDescent="0.2">
      <c r="A20" s="12" t="s">
        <v>18</v>
      </c>
      <c r="B20" s="14">
        <v>0.75</v>
      </c>
    </row>
    <row r="21" spans="1:2" ht="70" x14ac:dyDescent="0.2">
      <c r="A21" s="12" t="s">
        <v>19</v>
      </c>
      <c r="B21" s="14">
        <v>4.25</v>
      </c>
    </row>
    <row r="22" spans="1:2" ht="70" x14ac:dyDescent="0.2">
      <c r="A22" s="12" t="s">
        <v>20</v>
      </c>
      <c r="B22" s="14">
        <v>4.5</v>
      </c>
    </row>
    <row r="23" spans="1:2" ht="70" x14ac:dyDescent="0.2">
      <c r="A23" s="12" t="s">
        <v>21</v>
      </c>
      <c r="B23" s="14">
        <v>4.25</v>
      </c>
    </row>
    <row r="24" spans="1:2" ht="15.75" customHeight="1" x14ac:dyDescent="0.2">
      <c r="A24" s="17" t="s">
        <v>4</v>
      </c>
      <c r="B24" s="18">
        <f>SUM(B20:B23)</f>
        <v>13.75</v>
      </c>
    </row>
    <row r="25" spans="1:2" ht="15.75" customHeight="1" x14ac:dyDescent="0.2">
      <c r="A25" s="20"/>
      <c r="B25" s="14"/>
    </row>
    <row r="26" spans="1:2" ht="16" x14ac:dyDescent="0.2">
      <c r="A26" s="8" t="s">
        <v>22</v>
      </c>
      <c r="B26" s="19"/>
    </row>
    <row r="27" spans="1:2" ht="42" x14ac:dyDescent="0.2">
      <c r="A27" s="21" t="s">
        <v>23</v>
      </c>
      <c r="B27" s="14">
        <v>2.5</v>
      </c>
    </row>
    <row r="28" spans="1:2" ht="42" x14ac:dyDescent="0.2">
      <c r="A28" s="21" t="s">
        <v>24</v>
      </c>
      <c r="B28" s="14">
        <v>1.25</v>
      </c>
    </row>
    <row r="29" spans="1:2" ht="98" x14ac:dyDescent="0.2">
      <c r="A29" s="12" t="s">
        <v>25</v>
      </c>
      <c r="B29" s="14">
        <v>0.75</v>
      </c>
    </row>
    <row r="30" spans="1:2" ht="15.75" customHeight="1" x14ac:dyDescent="0.2">
      <c r="A30" s="17" t="s">
        <v>4</v>
      </c>
      <c r="B30" s="18">
        <f>SUM(B27:B29)</f>
        <v>4.5</v>
      </c>
    </row>
    <row r="31" spans="1:2" ht="15.75" customHeight="1" x14ac:dyDescent="0.2">
      <c r="A31" s="20"/>
      <c r="B31" s="14"/>
    </row>
    <row r="32" spans="1:2" ht="16" x14ac:dyDescent="0.2">
      <c r="A32" s="8" t="s">
        <v>26</v>
      </c>
      <c r="B32" s="19"/>
    </row>
    <row r="33" spans="1:2" ht="16" x14ac:dyDescent="0.2">
      <c r="A33" s="21" t="s">
        <v>42</v>
      </c>
      <c r="B33" s="14"/>
    </row>
    <row r="34" spans="1:2" ht="15.75" customHeight="1" x14ac:dyDescent="0.2">
      <c r="A34" s="17" t="s">
        <v>4</v>
      </c>
      <c r="B34" s="18">
        <f>SUM(B33:B33)</f>
        <v>0</v>
      </c>
    </row>
    <row r="35" spans="1:2" ht="15.75" customHeight="1" x14ac:dyDescent="0.2">
      <c r="A35" s="20"/>
      <c r="B35" s="14"/>
    </row>
    <row r="36" spans="1:2" ht="16" x14ac:dyDescent="0.2">
      <c r="A36" s="8" t="s">
        <v>27</v>
      </c>
      <c r="B36" s="19"/>
    </row>
    <row r="37" spans="1:2" ht="56" x14ac:dyDescent="0.2">
      <c r="A37" s="12" t="s">
        <v>28</v>
      </c>
      <c r="B37" s="14">
        <v>2</v>
      </c>
    </row>
    <row r="38" spans="1:2" ht="98" x14ac:dyDescent="0.2">
      <c r="A38" s="12" t="s">
        <v>29</v>
      </c>
      <c r="B38" s="14">
        <v>4.5</v>
      </c>
    </row>
    <row r="39" spans="1:2" ht="42" x14ac:dyDescent="0.2">
      <c r="A39" s="12" t="s">
        <v>30</v>
      </c>
      <c r="B39" s="14">
        <v>1</v>
      </c>
    </row>
    <row r="40" spans="1:2" ht="56" x14ac:dyDescent="0.2">
      <c r="A40" s="12" t="s">
        <v>31</v>
      </c>
      <c r="B40" s="14">
        <v>1.5</v>
      </c>
    </row>
    <row r="41" spans="1:2" ht="42" x14ac:dyDescent="0.2">
      <c r="A41" s="12" t="s">
        <v>32</v>
      </c>
      <c r="B41" s="14">
        <v>0.75</v>
      </c>
    </row>
    <row r="42" spans="1:2" ht="56" x14ac:dyDescent="0.2">
      <c r="A42" s="12" t="s">
        <v>33</v>
      </c>
      <c r="B42" s="14">
        <v>0.5</v>
      </c>
    </row>
    <row r="43" spans="1:2" ht="15.75" customHeight="1" x14ac:dyDescent="0.2">
      <c r="A43" s="17" t="s">
        <v>4</v>
      </c>
      <c r="B43" s="18">
        <f>SUM(B37:B42)</f>
        <v>10.25</v>
      </c>
    </row>
    <row r="44" spans="1:2" ht="15.75" customHeight="1" x14ac:dyDescent="0.2">
      <c r="A44" s="20"/>
      <c r="B44" s="14"/>
    </row>
    <row r="45" spans="1:2" ht="16" x14ac:dyDescent="0.2">
      <c r="A45" s="22" t="s">
        <v>34</v>
      </c>
      <c r="B45" s="19"/>
    </row>
    <row r="46" spans="1:2" ht="56" x14ac:dyDescent="0.2">
      <c r="A46" s="12" t="s">
        <v>35</v>
      </c>
      <c r="B46" s="14">
        <v>0.25</v>
      </c>
    </row>
    <row r="47" spans="1:2" ht="56" x14ac:dyDescent="0.2">
      <c r="A47" s="12" t="s">
        <v>36</v>
      </c>
      <c r="B47" s="14">
        <v>1</v>
      </c>
    </row>
    <row r="48" spans="1:2" ht="28" x14ac:dyDescent="0.2">
      <c r="A48" s="12" t="s">
        <v>37</v>
      </c>
      <c r="B48" s="14">
        <v>3</v>
      </c>
    </row>
    <row r="49" spans="1:2" ht="15.75" customHeight="1" x14ac:dyDescent="0.2">
      <c r="A49" s="17" t="s">
        <v>4</v>
      </c>
      <c r="B49" s="18">
        <f>SUM(B46:B48)</f>
        <v>4.25</v>
      </c>
    </row>
    <row r="50" spans="1:2" ht="16.5" customHeight="1" x14ac:dyDescent="0.2">
      <c r="A50" s="20"/>
      <c r="B50" s="14"/>
    </row>
    <row r="51" spans="1:2" ht="16.5" customHeight="1" thickBot="1" x14ac:dyDescent="0.25">
      <c r="A51" s="23" t="s">
        <v>38</v>
      </c>
      <c r="B51" s="24">
        <f>SUM(B17+B24+B30+B34+B43+B49)</f>
        <v>49.5</v>
      </c>
    </row>
    <row r="52" spans="1:2" ht="15.75" customHeight="1" thickBot="1" x14ac:dyDescent="0.25">
      <c r="A52" s="25" t="s">
        <v>39</v>
      </c>
      <c r="B52" s="26" t="s">
        <v>40</v>
      </c>
    </row>
    <row r="53" spans="1:2" ht="15.75" customHeight="1" x14ac:dyDescent="0.2">
      <c r="A53" s="7"/>
      <c r="B53" s="7"/>
    </row>
    <row r="54" spans="1:2" ht="15.75" customHeight="1" x14ac:dyDescent="0.2">
      <c r="A54" s="27" t="s">
        <v>41</v>
      </c>
      <c r="B54" s="7"/>
    </row>
    <row r="55" spans="1:2" ht="15.75" customHeight="1" x14ac:dyDescent="0.2">
      <c r="A55" s="7"/>
      <c r="B55" s="7"/>
    </row>
    <row r="56" spans="1:2" ht="15.75" customHeight="1" x14ac:dyDescent="0.2">
      <c r="A56" s="7"/>
      <c r="B56" s="7"/>
    </row>
    <row r="57" spans="1:2" ht="15.75" customHeight="1" x14ac:dyDescent="0.2">
      <c r="A57" s="7"/>
      <c r="B57" s="7"/>
    </row>
    <row r="58" spans="1:2" ht="15.75" customHeight="1" x14ac:dyDescent="0.2">
      <c r="A58" s="7"/>
      <c r="B58" s="7"/>
    </row>
    <row r="59" spans="1:2" ht="15.75" customHeight="1" x14ac:dyDescent="0.2">
      <c r="A59" s="7"/>
      <c r="B59" s="7"/>
    </row>
    <row r="60" spans="1:2" ht="15.75" customHeight="1" x14ac:dyDescent="0.2">
      <c r="A60" s="7"/>
      <c r="B60" s="7"/>
    </row>
    <row r="61" spans="1:2" ht="15.75" customHeight="1" x14ac:dyDescent="0.2">
      <c r="A61" s="7"/>
      <c r="B61" s="7"/>
    </row>
    <row r="62" spans="1:2" ht="15.75" customHeight="1" x14ac:dyDescent="0.2">
      <c r="A62" s="7"/>
      <c r="B62" s="7"/>
    </row>
    <row r="63" spans="1:2" ht="15.75" customHeight="1" x14ac:dyDescent="0.2">
      <c r="A63" s="7"/>
      <c r="B63" s="7"/>
    </row>
    <row r="64" spans="1:2" ht="15.75" customHeight="1" x14ac:dyDescent="0.2">
      <c r="A64" s="7"/>
      <c r="B64" s="7"/>
    </row>
    <row r="65" spans="1:2" ht="15.75" customHeight="1" x14ac:dyDescent="0.2">
      <c r="A65" s="7"/>
      <c r="B65" s="7"/>
    </row>
    <row r="66" spans="1:2" ht="15.75" customHeight="1" x14ac:dyDescent="0.2">
      <c r="A66" s="7"/>
      <c r="B66" s="7"/>
    </row>
    <row r="67" spans="1:2" ht="15.75" customHeight="1" x14ac:dyDescent="0.2">
      <c r="A67" s="7"/>
      <c r="B67" s="7"/>
    </row>
    <row r="68" spans="1:2" ht="15.75" customHeight="1" x14ac:dyDescent="0.2">
      <c r="A68" s="7"/>
      <c r="B68" s="7"/>
    </row>
    <row r="69" spans="1:2" ht="15.75" customHeight="1" x14ac:dyDescent="0.2">
      <c r="A69" s="7"/>
      <c r="B69" s="7"/>
    </row>
    <row r="70" spans="1:2" ht="15.75" customHeight="1" x14ac:dyDescent="0.2">
      <c r="A70" s="7"/>
      <c r="B70" s="7"/>
    </row>
    <row r="71" spans="1:2" ht="15.75" customHeight="1" x14ac:dyDescent="0.2">
      <c r="A71" s="7"/>
      <c r="B71" s="7"/>
    </row>
    <row r="72" spans="1:2" ht="15.75" customHeight="1" x14ac:dyDescent="0.2">
      <c r="A72" s="7"/>
      <c r="B72" s="7"/>
    </row>
    <row r="73" spans="1:2" ht="15.75" customHeight="1" x14ac:dyDescent="0.2">
      <c r="A73" s="7"/>
      <c r="B73" s="7"/>
    </row>
    <row r="74" spans="1:2" ht="15.75" customHeight="1" x14ac:dyDescent="0.2">
      <c r="A74" s="7"/>
      <c r="B74" s="7"/>
    </row>
    <row r="75" spans="1:2" ht="15.75" customHeight="1" x14ac:dyDescent="0.2">
      <c r="A75" s="7"/>
      <c r="B75" s="7"/>
    </row>
    <row r="76" spans="1:2" ht="15.75" customHeight="1" x14ac:dyDescent="0.2">
      <c r="A76" s="7"/>
      <c r="B76" s="7"/>
    </row>
    <row r="77" spans="1:2" ht="15.75" customHeight="1" x14ac:dyDescent="0.2">
      <c r="A77" s="7"/>
      <c r="B77" s="7"/>
    </row>
    <row r="78" spans="1:2" ht="15.75" customHeight="1" x14ac:dyDescent="0.2">
      <c r="A78" s="7"/>
      <c r="B78" s="7"/>
    </row>
    <row r="79" spans="1:2" ht="15.75" customHeight="1" x14ac:dyDescent="0.2">
      <c r="A79" s="7"/>
      <c r="B79" s="7"/>
    </row>
    <row r="80" spans="1:2" ht="15.75" customHeight="1" x14ac:dyDescent="0.2">
      <c r="A80" s="7"/>
      <c r="B80" s="7"/>
    </row>
    <row r="81" spans="1:2" ht="15.75" customHeight="1" x14ac:dyDescent="0.2">
      <c r="A81" s="7"/>
      <c r="B81" s="7"/>
    </row>
    <row r="82" spans="1:2" ht="15.75" customHeight="1" x14ac:dyDescent="0.2">
      <c r="A82" s="7"/>
      <c r="B82" s="7"/>
    </row>
    <row r="83" spans="1:2" ht="15.75" customHeight="1" x14ac:dyDescent="0.2">
      <c r="A83" s="7"/>
      <c r="B83" s="7"/>
    </row>
    <row r="84" spans="1:2" ht="15.75" customHeight="1" x14ac:dyDescent="0.2">
      <c r="A84" s="7"/>
      <c r="B84" s="7"/>
    </row>
    <row r="85" spans="1:2" ht="15.75" customHeight="1" x14ac:dyDescent="0.2">
      <c r="A85" s="7"/>
      <c r="B85" s="7"/>
    </row>
    <row r="86" spans="1:2" ht="15.75" customHeight="1" x14ac:dyDescent="0.2">
      <c r="A86" s="7"/>
      <c r="B86" s="7"/>
    </row>
    <row r="87" spans="1:2" ht="15.75" customHeight="1" x14ac:dyDescent="0.2">
      <c r="A87" s="7"/>
      <c r="B87" s="7"/>
    </row>
    <row r="88" spans="1:2" ht="15.75" customHeight="1" x14ac:dyDescent="0.2">
      <c r="A88" s="7"/>
      <c r="B88" s="7"/>
    </row>
    <row r="89" spans="1:2" ht="15.75" customHeight="1" x14ac:dyDescent="0.2">
      <c r="A89" s="7"/>
      <c r="B89" s="7"/>
    </row>
    <row r="90" spans="1:2" ht="15.75" customHeight="1" x14ac:dyDescent="0.2">
      <c r="A90" s="7"/>
      <c r="B90" s="7"/>
    </row>
    <row r="91" spans="1:2" ht="15.75" customHeight="1" x14ac:dyDescent="0.2">
      <c r="A91" s="7"/>
      <c r="B91" s="7"/>
    </row>
    <row r="92" spans="1:2" ht="15.75" customHeight="1" x14ac:dyDescent="0.2">
      <c r="A92" s="7"/>
      <c r="B92" s="7"/>
    </row>
    <row r="93" spans="1:2" ht="15.75" customHeight="1" x14ac:dyDescent="0.2">
      <c r="A93" s="7"/>
      <c r="B93" s="7"/>
    </row>
    <row r="94" spans="1:2" ht="15.75" customHeight="1" x14ac:dyDescent="0.2">
      <c r="A94" s="7"/>
      <c r="B94" s="7"/>
    </row>
    <row r="95" spans="1:2" ht="15.75" customHeight="1" x14ac:dyDescent="0.2">
      <c r="A95" s="7"/>
      <c r="B95" s="7"/>
    </row>
    <row r="96" spans="1:2" ht="15.75" customHeight="1" x14ac:dyDescent="0.2">
      <c r="A96" s="7"/>
      <c r="B96" s="7"/>
    </row>
    <row r="97" spans="1:2" ht="15.75" customHeight="1" x14ac:dyDescent="0.2">
      <c r="A97" s="7"/>
      <c r="B97" s="7"/>
    </row>
    <row r="98" spans="1:2" ht="15.75" customHeight="1" x14ac:dyDescent="0.2">
      <c r="A98" s="7"/>
      <c r="B98" s="7"/>
    </row>
    <row r="99" spans="1:2" ht="15.75" customHeight="1" x14ac:dyDescent="0.2">
      <c r="A99" s="7"/>
      <c r="B99" s="7"/>
    </row>
    <row r="100" spans="1:2" ht="15.75" customHeight="1" x14ac:dyDescent="0.2">
      <c r="A100" s="7"/>
      <c r="B100" s="7"/>
    </row>
    <row r="101" spans="1:2" ht="15.75" customHeight="1" x14ac:dyDescent="0.2">
      <c r="A101" s="7"/>
      <c r="B101" s="7"/>
    </row>
    <row r="102" spans="1:2" ht="15.75" customHeight="1" x14ac:dyDescent="0.2">
      <c r="A102" s="7"/>
      <c r="B102" s="7"/>
    </row>
    <row r="103" spans="1:2" ht="15.75" customHeight="1" x14ac:dyDescent="0.2">
      <c r="A103" s="7"/>
      <c r="B103" s="7"/>
    </row>
    <row r="104" spans="1:2" ht="15.75" customHeight="1" x14ac:dyDescent="0.2">
      <c r="A104" s="7"/>
      <c r="B104" s="7"/>
    </row>
    <row r="105" spans="1:2" ht="15.75" customHeight="1" x14ac:dyDescent="0.2">
      <c r="A105" s="7"/>
      <c r="B105" s="7"/>
    </row>
    <row r="106" spans="1:2" ht="15.75" customHeight="1" x14ac:dyDescent="0.2">
      <c r="A106" s="7"/>
      <c r="B106" s="7"/>
    </row>
    <row r="107" spans="1:2" ht="15.75" customHeight="1" x14ac:dyDescent="0.2">
      <c r="A107" s="7"/>
      <c r="B107" s="7"/>
    </row>
    <row r="108" spans="1:2" ht="15.75" customHeight="1" x14ac:dyDescent="0.2">
      <c r="A108" s="7"/>
      <c r="B108" s="7"/>
    </row>
    <row r="109" spans="1:2" ht="15.75" customHeight="1" x14ac:dyDescent="0.2">
      <c r="A109" s="7"/>
      <c r="B109" s="7"/>
    </row>
    <row r="110" spans="1:2" ht="15.75" customHeight="1" x14ac:dyDescent="0.2">
      <c r="A110" s="7"/>
      <c r="B110" s="7"/>
    </row>
    <row r="111" spans="1:2" ht="15.75" customHeight="1" x14ac:dyDescent="0.2">
      <c r="A111" s="7"/>
      <c r="B111" s="7"/>
    </row>
    <row r="112" spans="1:2" ht="15.75" customHeight="1" x14ac:dyDescent="0.2">
      <c r="A112" s="7"/>
      <c r="B112" s="7"/>
    </row>
    <row r="113" spans="1:2" ht="15.75" customHeight="1" x14ac:dyDescent="0.2">
      <c r="A113" s="7"/>
      <c r="B113" s="7"/>
    </row>
    <row r="114" spans="1:2" ht="15.75" customHeight="1" x14ac:dyDescent="0.2">
      <c r="A114" s="7"/>
      <c r="B114" s="7"/>
    </row>
    <row r="115" spans="1:2" ht="15.75" customHeight="1" x14ac:dyDescent="0.2">
      <c r="A115" s="7"/>
      <c r="B115" s="7"/>
    </row>
    <row r="116" spans="1:2" ht="15.75" customHeight="1" x14ac:dyDescent="0.2">
      <c r="A116" s="7"/>
      <c r="B116" s="7"/>
    </row>
    <row r="117" spans="1:2" ht="15.75" customHeight="1" x14ac:dyDescent="0.2">
      <c r="A117" s="7"/>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row r="1001" spans="1:2" ht="15.75" customHeight="1" x14ac:dyDescent="0.2">
      <c r="A1001" s="3"/>
      <c r="B1001" s="3"/>
    </row>
    <row r="1002" spans="1:2" ht="15.75" customHeight="1" x14ac:dyDescent="0.2">
      <c r="A1002" s="3"/>
      <c r="B1002" s="3"/>
    </row>
    <row r="1003" spans="1:2" ht="15.75" customHeight="1" x14ac:dyDescent="0.2">
      <c r="A1003" s="3"/>
      <c r="B1003" s="3"/>
    </row>
    <row r="1004" spans="1:2" ht="15.75" customHeight="1" x14ac:dyDescent="0.2">
      <c r="A1004" s="3"/>
      <c r="B1004" s="3"/>
    </row>
    <row r="1005" spans="1:2" ht="15.75" customHeight="1" x14ac:dyDescent="0.2">
      <c r="A1005" s="3"/>
      <c r="B1005" s="3"/>
    </row>
    <row r="1006" spans="1:2" ht="15.75" customHeight="1" x14ac:dyDescent="0.2">
      <c r="A1006" s="3"/>
      <c r="B1006" s="3"/>
    </row>
    <row r="1007" spans="1:2" ht="15" customHeight="1" x14ac:dyDescent="0.2">
      <c r="A1007" s="3"/>
    </row>
  </sheetData>
  <hyperlinks>
    <hyperlink ref="A54" r:id="rId1" xr:uid="{4FE08FA0-BB5E-EE4A-B463-4B08AE61FD3F}"/>
    <hyperlink ref="A2" r:id="rId2" xr:uid="{BC86CA43-8A37-B04D-AB22-ED3539831F5E}"/>
    <hyperlink ref="A10" r:id="rId3" xr:uid="{5695C93F-774A-9C44-BEBC-C4017BE8E343}"/>
    <hyperlink ref="A11" r:id="rId4" xr:uid="{469A6AA7-0AA7-8145-9C18-9C69F9378C03}"/>
    <hyperlink ref="A12" r:id="rId5" xr:uid="{20695F18-D538-9A43-8575-A0141EF19B43}"/>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CAY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2025-12-19T07:30:00Z</dcterms:created>
  <dcterms:modified xsi:type="dcterms:W3CDTF">2025-12-19T07:31:43Z</dcterms:modified>
</cp:coreProperties>
</file>