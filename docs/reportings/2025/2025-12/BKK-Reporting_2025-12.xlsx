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12/"/>
    </mc:Choice>
  </mc:AlternateContent>
  <xr:revisionPtr revIDLastSave="0" documentId="8_{4743ADB3-80AF-DA4B-BC5C-5F0703B5683E}" xr6:coauthVersionLast="47" xr6:coauthVersionMax="47" xr10:uidLastSave="{00000000-0000-0000-0000-000000000000}"/>
  <bookViews>
    <workbookView xWindow="8020" yWindow="500" windowWidth="33620" windowHeight="26260" xr2:uid="{D80A7E2F-B0CD-A14D-9FF5-9E87F2EDF3E0}"/>
  </bookViews>
  <sheets>
    <sheet name="BKK"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1" l="1"/>
  <c r="B55" i="1"/>
  <c r="B46" i="1"/>
  <c r="B40" i="1"/>
  <c r="B36" i="1"/>
  <c r="B26" i="1"/>
  <c r="B64" i="1" l="1"/>
</calcChain>
</file>

<file path=xl/sharedStrings.xml><?xml version="1.0" encoding="utf-8"?>
<sst xmlns="http://schemas.openxmlformats.org/spreadsheetml/2006/main" count="62" uniqueCount="56">
  <si>
    <t>BKK GILDEMEISTER SEIDENSTICKER</t>
  </si>
  <si>
    <t>Nov.-Dez. 2025</t>
  </si>
  <si>
    <t>www.bkkgs.de</t>
  </si>
  <si>
    <t>Monatliche Optimierung</t>
  </si>
  <si>
    <t>Aufwand ca. in Std.</t>
  </si>
  <si>
    <t>1. Linkaufbau, Online-PR</t>
  </si>
  <si>
    <t>Linkquellen-Recherche (Gastartikel): Thematisch passende Linkquellen zur Veröffentlichung von Gastbeiträgen recherchiert, nach Duplikatskontrolle anhand kurzer Sichtprüfung und SEO-Kennzahlen dokumentiert, Aussortieren unpassender Websites, erste Kontaktdaten ermittelt (10.-28.11., TKI)</t>
  </si>
  <si>
    <t>Linkakquise (Gastartikel): Kontaktaufnahme mit Seitenbetreibern aus der Linkquellen-Recherche sowie innerhalb des eigenen Netzwerks per E-Mail / Social Media / Telefon, Dokumentation der Preise und Konditionen, Auswahl und Zusammenstellen sinnvoller Linkoptionen zur Freigabe, Abstimmung (17.11.-05.12., TKI)</t>
  </si>
  <si>
    <t>Textarbeiten (Gastartikel): Briefing und Recherche, Texterstellung für Gastbeitrag auf moderne-familie.de, Lektorat, Abstimmung und Vorbereitung zur Veröffentlichung (12.11., EXT, TKI)</t>
  </si>
  <si>
    <t>Textarbeiten (Gastartikel): Briefing und Recherche, Texterstellung für Gastbeitrag auf pro-kita.com, Lektorat, Abstimmung und Vorbereitung zur Veröffentlichung (13.-14-11., EXT, TKI)</t>
  </si>
  <si>
    <t>Textarbeiten (Gastartikel): Briefing und Recherche, Texterstellung für Gastbeitrag auf bessergesundleben.de, Lektorat, Abstimmung und Vorbereitung zur Veröffentlichung (20.-21.11., EXT, TKI)</t>
  </si>
  <si>
    <t>Textarbeiten (Gastartikel): Briefing und Recherche, Texterstellung für Gastbeitrag auf babywippe.net, Lektorat, Abstimmung und Vorbereitung zur Veröffentlichung (27.11., EXT, TKI)</t>
  </si>
  <si>
    <t>Textarbeiten (Gastartikel): Briefing und Recherche, Texterstellung für Gastbeitrag auf dietestfamilie.de, Lektorat, Abstimmung und Vorbereitung zur Veröffentlichung (10.12., EXT, TKI)</t>
  </si>
  <si>
    <t>Textarbeiten (Gastartikel): Briefing und Recherche, Texterstellung für Gastbeitrag auf ratgebergesund.de, Lektorat, Abstimmung und Vorbereitung zur Veröffentlichung (11.12., EXT, TKI)</t>
  </si>
  <si>
    <t>Linkaufbau-Organisation und Abstimmung mit den Seitenbetreibern zur Veröffentlichung der vorbereiteten Gastartikel, Prüfung der Link-Integration, Abrechnung der Linkaufbau-Auslagen, Abstimmung und Dokumentation  (01.11.-17.12., TKI)</t>
  </si>
  <si>
    <t>https://moderne-familie.de/kuren-und-hilfsangebote-fuer-familien-gesundheitsfuersorge/</t>
  </si>
  <si>
    <t>https://www.pro-kita.com/eltern/elterngespraeche/u-untersuchungen-als-kitapersonal-begleiten/</t>
  </si>
  <si>
    <t>https://bessergesundleben.de/zahngesundheit-im-erwachsenenalter/</t>
  </si>
  <si>
    <t>https://www.babywippe.net/gesundheitsvorsorge-fuer-eltern/</t>
  </si>
  <si>
    <t>https://dietestfamilie.de/fitnessbaender-im-test-flexibel-trainieren-im-alltag/</t>
  </si>
  <si>
    <t>https://www.ratgebergesund.de/grippeschutz-fuer-die-ganze-familie/</t>
  </si>
  <si>
    <t>Pressemeldung: Abstimmung und Recherche für eine Pressemeldung zum Thema "Versorgungslücke", Texterstellung inkl. Abbinder, interne Verlinkung, ggf. Zitate, etc., Lektorat und Dokumentation der Anpassungen via Loom-Videos, finale Absprachen (13.-14.11., TKI)</t>
  </si>
  <si>
    <t>Pressebilder: Abstimmung wegen Pressebildern, begleitend zur aktuellen Pressemeldung, Bildbearbeitung und Vorbereitung der Medien zur einheitlichen Veröffentlichung (14.11., TKI)</t>
  </si>
  <si>
    <t>Presseportale: Pressemeldung auf gepflegten und geprüften (kostenfreien) Presseportalen online einstellen, Profile aktualisieren, Prüfung der Veröffentlichungen, Abstimmung und Dokumentation, Portale siehe Asana (20.11., TKI)</t>
  </si>
  <si>
    <t>Einstellen von kl. Beiträgen in Google My Business, Widerspruch wegen falscher Einstufung, Abstimmung und Dokumentation (29.10., 10.11., 17.11., 27.11., 08.12., 16.12., TKI)</t>
  </si>
  <si>
    <t>Link-Monitoring: Neue Verlinkungen aus Link-Tools der letzten 30 Tage überprüft, einzeln bewertet (monatlich ca. 0,25 Std., TKI)</t>
  </si>
  <si>
    <t>2. Redaktionelle Arbeiten (Gaby)</t>
  </si>
  <si>
    <t>Textkorrektur "Ambulante Vorsorgekuren":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(06.11., GBO)</t>
  </si>
  <si>
    <t>Textkorrektur "Kuren":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(06.11., GBO)</t>
  </si>
  <si>
    <t>Interne Abstimmung, Mehrwerte für Landingpages (Infoboxen, Journalbeiträge, Linklisten, etc.) individuell entwickeln und planen (06.11., GBO, MWA, TKI)</t>
  </si>
  <si>
    <t>Redaktionelle Überarbeitung der Unterseite "Freiwillige Krankenversicherung": Abstimmung, Briefing und inhaltliche Konzeption, Recherche und Optimierung der Inhalte (Aktualisierung, Struktur / Aufbau, Keyword-Optimierung nach WDF*IDF), Ergänzungen und kl. Anpassungen, Lektorat und finale Bearbeitung, Versand an Kunden und Dokumentation (06.-17.11., GBO)</t>
  </si>
  <si>
    <t>Textkorrektur "Kuren":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(27.11., GBO)</t>
  </si>
  <si>
    <t>UX-Prüfung, redaktionelle Überarbeitung der Unterseite "Freiwillige Krankenversicherung": Abstimmung, Briefing und inhaltliche Konzeption, Recherche und Optimierung der Inhalte (Aktualisierung, Struktur / Aufbau, Keyword-Optimierung nach WDF*IDF), Ergänzungen und kl. Anpassungen, Lektorat und finale Bearbeitung, Versand an Kunden und Dokumentation (28.11.-04.12., GBO, BKO, TKI)</t>
  </si>
  <si>
    <t>3. Website-Pflegearbeiten, Content-Management</t>
  </si>
  <si>
    <t>---</t>
  </si>
  <si>
    <t>4. Technische Arbeiten, Onpage-Optimierung, UX-Optimierung</t>
  </si>
  <si>
    <t>Finale Prüfung der Anpassungen an der Unterseite "Vorteilspaket", Abstimmung und Dokumentation (29.10.-10.11., BKO, TKI)</t>
  </si>
  <si>
    <t>Prüfung und Abstimmung wegen Bereichsüberschriften (04.-19.12., TKI)</t>
  </si>
  <si>
    <t>Überprüfung der Maßnahmen und der technischen Anpassungen von move:elevator, siehe Ticket-Dokumentation – Ladezeit-Optimierung, Core Web Vitals, PDF im Index, W3C-Validierung, etc., Abstimmung und Dokumentation (01.11.-19.12., TKI)</t>
  </si>
  <si>
    <t>5. Google Ads, Social Ads, Monitoring</t>
  </si>
  <si>
    <t>Abstimmung wegen Social Recruiting-Kampagne Ausbildung FN (19.-20.11., JST, TKI)</t>
  </si>
  <si>
    <t>Div. Abstimmungen wegen Google Ads, Conversion-Tracking (Matomo), Conversions Gewinnspiele,  Social Ads, kl. Anpassungen, Dokumentation (06.-21.11., JST, JDR, TKI)</t>
  </si>
  <si>
    <t>Kurze Vorbereitung, Austausch Tim Apler wegen Matomo, interne Suche, Tracking &amp; Co. (11.12., JST)</t>
  </si>
  <si>
    <t>Google Ads: Fortlaufendes Monitoring der eingerichteten Kampagnen und Anzeigengruppen, Anlegen weiterer Anzeigengruppen mit div. Keywords lt. Cluster-Auswahl, Texten von Anzeigen, Ergänzung und Ausschluss von passenden / unpassenden Keywords, kl. Änderungen, Auswertung jeweils zum Monatsende (01.11.-31.12., JST, DHE, TKI)</t>
  </si>
  <si>
    <t>Planung und Abstimmung einer Social Recruiting Kampagne für die Ausbildung Friedrichshafen via Meta (Facebook / Instagram) mit grafischen Anzeigen, Anlegen der Werbekampagne auf Facebook und Instagram über den Businessmanager, u.a. Einrichten von Zielgruppen, Festlegen des tägl. Budgets, weitere Abstimmungen und finale Anpassungen zur Online-Schaltung ab Mitte Dezember (19.11.-15.12., JST, JDR, TKI)</t>
  </si>
  <si>
    <t>Social Ads: Fortlaufendes Monitoring der Werbekampagnen bei Facebook und Instagram, Anpassen der Werbeanzeigen, Verfeinern der Zielgruppe, kl. Arbeiten am Werbekonto, Abstimmung und Dokumentation (01.11.-31.12., JST, DHE, TKI)</t>
  </si>
  <si>
    <t>6. Beratung &amp; Sonstiges</t>
  </si>
  <si>
    <t>Kurze Recherche, E-Mailantwort an Heribert Müller wegen sinnvollwechseln.de Domainübertragung, Abstimmung und Dokumentation (10.11., TKI)</t>
  </si>
  <si>
    <t>Kurze Recherche wegen URL-Schreibweisen "Finder", logische Struktur empfohlen, Rankingcheck bzw. kurze Keyword-Prüfung, Abstimmung und Dokumentation (10.11., TKI)</t>
  </si>
  <si>
    <t>Kurze Vorbereitung / Recherche, Video-Aufnahme zum Einsatz von KI im Online-Marketing, Vergleich SEO vs. "GEO / LLMO", Rankingfaktoren, Abstimmung und Dokumentation (19.11., TKI)</t>
  </si>
  <si>
    <t>Organisation, Planung, Überwachung und Steuerung der Aufgaben und Ressourcen (pro Tagessatz ca. 0,5 Std., TKI)</t>
  </si>
  <si>
    <t>Aufwand ca. insgesamt in Std.</t>
  </si>
  <si>
    <t>Aufwand in Tagessätzen</t>
  </si>
  <si>
    <t>8 Tagessätze</t>
  </si>
  <si>
    <t>Noch Rückfragen? Kontakt zur Thoxan Communications GmbH unter https://www.thoxan.com/kontakt</t>
  </si>
  <si>
    <t>Planung der aktuellen Textaufträge, interne Abstimmung, Asana-Tickets, Dokumentation (06.11.-19.12., GBO)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</si>
</sst>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font>
    <font>
      <b/>
      <sz val="16"/>
      <color theme="1"/>
      <name val="Arial"/>
      <family val="2"/>
    </font>
    <font>
      <sz val="12"/>
      <color theme="1"/>
      <name val="Arial"/>
      <family val="2"/>
    </font>
    <font>
      <b/>
      <sz val="10"/>
      <color theme="1"/>
      <name val="Arial"/>
      <family val="2"/>
    </font>
    <font>
      <u/>
      <sz val="10"/>
      <color theme="10"/>
      <name val="Arial"/>
      <family val="2"/>
    </font>
    <font>
      <sz val="10"/>
      <color theme="1"/>
      <name val="Arial"/>
      <family val="2"/>
    </font>
    <font>
      <u/>
      <sz val="12"/>
      <color theme="10"/>
      <name val="Calibri"/>
      <family val="2"/>
    </font>
    <font>
      <sz val="10"/>
      <color rgb="FF000000"/>
      <name val="Arial"/>
      <family val="2"/>
    </font>
    <font>
      <sz val="10"/>
      <color theme="0" tint="-0.499984740745262"/>
      <name val="Arial"/>
      <family val="2"/>
    </font>
    <font>
      <sz val="10"/>
      <color theme="0" tint="-0.14999847407452621"/>
      <name val="Arial"/>
      <family val="2"/>
    </font>
    <font>
      <sz val="10.5"/>
      <color theme="1"/>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32">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4" fillId="0" borderId="0" xfId="0" applyFont="1"/>
    <xf numFmtId="49" fontId="5" fillId="0" borderId="0" xfId="0" applyNumberFormat="1" applyFont="1" applyAlignment="1">
      <alignment horizontal="right"/>
    </xf>
    <xf numFmtId="0" fontId="5" fillId="0" borderId="0" xfId="0" applyFont="1"/>
    <xf numFmtId="0" fontId="5" fillId="0" borderId="1" xfId="0" applyFont="1" applyBorder="1"/>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3" fillId="0" borderId="1" xfId="0" applyFont="1" applyBorder="1"/>
    <xf numFmtId="0" fontId="3" fillId="0" borderId="1" xfId="0" applyFont="1" applyBorder="1" applyAlignment="1">
      <alignment horizontal="center"/>
    </xf>
    <xf numFmtId="0" fontId="5" fillId="0" borderId="1" xfId="0" applyFont="1" applyBorder="1" applyAlignment="1">
      <alignment vertical="top"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4" xfId="0" applyFont="1" applyBorder="1" applyAlignment="1">
      <alignment horizontal="center" vertical="center"/>
    </xf>
    <xf numFmtId="0" fontId="4" fillId="0" borderId="1" xfId="1" applyFont="1" applyBorder="1" applyAlignment="1">
      <alignment vertical="center" wrapText="1"/>
    </xf>
    <xf numFmtId="0" fontId="5" fillId="0" borderId="4" xfId="0" applyFont="1" applyBorder="1" applyAlignment="1">
      <alignment horizontal="center" vertical="top"/>
    </xf>
    <xf numFmtId="0" fontId="6" fillId="0" borderId="1" xfId="1" applyBorder="1" applyAlignment="1">
      <alignment vertical="center" wrapText="1"/>
    </xf>
    <xf numFmtId="0" fontId="5" fillId="3" borderId="1" xfId="0" applyFont="1" applyFill="1" applyBorder="1" applyAlignment="1">
      <alignment vertical="top" wrapText="1"/>
    </xf>
    <xf numFmtId="0" fontId="5" fillId="2" borderId="3" xfId="0" applyFont="1" applyFill="1" applyBorder="1" applyAlignment="1">
      <alignment horizontal="center" vertical="center"/>
    </xf>
    <xf numFmtId="0" fontId="9" fillId="0" borderId="0" xfId="0" applyFont="1"/>
    <xf numFmtId="0" fontId="5" fillId="0" borderId="1" xfId="0" applyFont="1" applyBorder="1" applyAlignment="1">
      <alignment vertical="center"/>
    </xf>
    <xf numFmtId="0" fontId="5" fillId="0" borderId="1" xfId="0" quotePrefix="1" applyFont="1" applyBorder="1" applyAlignment="1">
      <alignment vertical="top" wrapText="1"/>
    </xf>
    <xf numFmtId="0" fontId="7" fillId="0" borderId="1" xfId="0" applyFont="1" applyBorder="1" applyAlignment="1">
      <alignment vertical="top" wrapText="1"/>
    </xf>
    <xf numFmtId="0" fontId="7" fillId="0" borderId="3" xfId="0" applyFont="1" applyBorder="1" applyAlignment="1">
      <alignment horizontal="center" vertical="center"/>
    </xf>
    <xf numFmtId="0" fontId="5" fillId="2" borderId="5" xfId="0" applyFont="1" applyFill="1" applyBorder="1" applyAlignment="1">
      <alignment vertical="center"/>
    </xf>
    <xf numFmtId="0" fontId="3" fillId="2" borderId="2" xfId="0" applyFont="1" applyFill="1" applyBorder="1" applyAlignment="1">
      <alignment horizontal="center" vertical="center"/>
    </xf>
    <xf numFmtId="0" fontId="5" fillId="2" borderId="6" xfId="0" applyFont="1" applyFill="1" applyBorder="1" applyAlignment="1">
      <alignment vertical="center"/>
    </xf>
    <xf numFmtId="0" fontId="3" fillId="2" borderId="7" xfId="0" applyFont="1" applyFill="1" applyBorder="1" applyAlignment="1">
      <alignment horizontal="center" vertical="center"/>
    </xf>
    <xf numFmtId="0" fontId="8" fillId="0" borderId="0" xfId="1" applyFont="1"/>
    <xf numFmtId="0" fontId="10"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ratgebergesund.de/grippeschutz-fuer-die-ganze-familie/" TargetMode="External"/><Relationship Id="rId3" Type="http://schemas.openxmlformats.org/officeDocument/2006/relationships/hyperlink" Target="https://moderne-familie.de/kuren-und-hilfsangebote-fuer-familien-gesundheitsfuersorge/" TargetMode="External"/><Relationship Id="rId7" Type="http://schemas.openxmlformats.org/officeDocument/2006/relationships/hyperlink" Target="https://dietestfamilie.de/fitnessbaender-im-test-flexibel-trainieren-im-alltag/" TargetMode="External"/><Relationship Id="rId2" Type="http://schemas.openxmlformats.org/officeDocument/2006/relationships/hyperlink" Target="https://www.thoxan.com/kontakt/" TargetMode="External"/><Relationship Id="rId1" Type="http://schemas.openxmlformats.org/officeDocument/2006/relationships/hyperlink" Target="http://www.bkkgs.de/" TargetMode="External"/><Relationship Id="rId6" Type="http://schemas.openxmlformats.org/officeDocument/2006/relationships/hyperlink" Target="https://www.babywippe.net/gesundheitsvorsorge-fuer-eltern/" TargetMode="External"/><Relationship Id="rId5" Type="http://schemas.openxmlformats.org/officeDocument/2006/relationships/hyperlink" Target="https://www.pro-kita.com/eltern/elterngespraeche/u-untersuchungen-als-kitapersonal-begleiten/" TargetMode="External"/><Relationship Id="rId4" Type="http://schemas.openxmlformats.org/officeDocument/2006/relationships/hyperlink" Target="https://bessergesundleben.de/zahngesundheit-im-erwachsenenal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2A052-89CB-1048-8EDB-1F947E8BD116}">
  <dimension ref="A1:B1023"/>
  <sheetViews>
    <sheetView tabSelected="1" zoomScale="160" zoomScaleNormal="160" workbookViewId="0">
      <pane ySplit="4" topLeftCell="A5" activePane="bottomLeft" state="frozen"/>
      <selection pane="bottomLeft" activeCell="A60" sqref="A60"/>
    </sheetView>
  </sheetViews>
  <sheetFormatPr baseColWidth="10" defaultColWidth="11.1640625" defaultRowHeight="15" customHeight="1" x14ac:dyDescent="0.2"/>
  <cols>
    <col min="1" max="1" width="57.5" style="3" customWidth="1"/>
    <col min="2" max="2" width="23" style="3" customWidth="1"/>
    <col min="3" max="16384" width="11.1640625" style="3"/>
  </cols>
  <sheetData>
    <row r="1" spans="1:2" ht="19.5" customHeight="1" x14ac:dyDescent="0.2">
      <c r="A1" s="1" t="s">
        <v>0</v>
      </c>
      <c r="B1" s="2" t="s">
        <v>1</v>
      </c>
    </row>
    <row r="2" spans="1:2" ht="15.75" customHeight="1" x14ac:dyDescent="0.2">
      <c r="A2" s="4" t="s">
        <v>2</v>
      </c>
      <c r="B2" s="5" t="s">
        <v>3</v>
      </c>
    </row>
    <row r="3" spans="1:2" ht="15.75" customHeight="1" x14ac:dyDescent="0.2">
      <c r="A3" s="4"/>
      <c r="B3" s="6"/>
    </row>
    <row r="4" spans="1:2" s="6" customFormat="1" ht="15.75" customHeight="1" x14ac:dyDescent="0.15">
      <c r="A4" s="7"/>
      <c r="B4" s="8" t="s">
        <v>4</v>
      </c>
    </row>
    <row r="5" spans="1:2" s="6" customFormat="1" ht="15.75" customHeight="1" x14ac:dyDescent="0.15">
      <c r="A5" s="10" t="s">
        <v>5</v>
      </c>
      <c r="B5" s="11"/>
    </row>
    <row r="6" spans="1:2" ht="70" x14ac:dyDescent="0.2">
      <c r="A6" s="12" t="s">
        <v>6</v>
      </c>
      <c r="B6" s="13">
        <v>2.5</v>
      </c>
    </row>
    <row r="7" spans="1:2" ht="70" x14ac:dyDescent="0.2">
      <c r="A7" s="12" t="s">
        <v>7</v>
      </c>
      <c r="B7" s="13">
        <v>5.5</v>
      </c>
    </row>
    <row r="8" spans="1:2" ht="42" x14ac:dyDescent="0.2">
      <c r="A8" s="12" t="s">
        <v>8</v>
      </c>
      <c r="B8" s="13">
        <v>3</v>
      </c>
    </row>
    <row r="9" spans="1:2" ht="42" x14ac:dyDescent="0.2">
      <c r="A9" s="12" t="s">
        <v>9</v>
      </c>
      <c r="B9" s="13">
        <v>3.5</v>
      </c>
    </row>
    <row r="10" spans="1:2" ht="42" x14ac:dyDescent="0.2">
      <c r="A10" s="12" t="s">
        <v>10</v>
      </c>
      <c r="B10" s="13">
        <v>3</v>
      </c>
    </row>
    <row r="11" spans="1:2" ht="42" x14ac:dyDescent="0.2">
      <c r="A11" s="12" t="s">
        <v>11</v>
      </c>
      <c r="B11" s="13">
        <v>3</v>
      </c>
    </row>
    <row r="12" spans="1:2" ht="42" x14ac:dyDescent="0.2">
      <c r="A12" s="12" t="s">
        <v>12</v>
      </c>
      <c r="B12" s="13">
        <v>2.5</v>
      </c>
    </row>
    <row r="13" spans="1:2" ht="42" x14ac:dyDescent="0.2">
      <c r="A13" s="12" t="s">
        <v>13</v>
      </c>
      <c r="B13" s="13">
        <v>3</v>
      </c>
    </row>
    <row r="14" spans="1:2" s="6" customFormat="1" ht="56" x14ac:dyDescent="0.15">
      <c r="A14" s="12" t="s">
        <v>14</v>
      </c>
      <c r="B14" s="15">
        <v>3</v>
      </c>
    </row>
    <row r="15" spans="1:2" s="6" customFormat="1" ht="28" x14ac:dyDescent="0.15">
      <c r="A15" s="16" t="s">
        <v>15</v>
      </c>
      <c r="B15" s="17"/>
    </row>
    <row r="16" spans="1:2" s="6" customFormat="1" ht="28" x14ac:dyDescent="0.15">
      <c r="A16" s="16" t="s">
        <v>16</v>
      </c>
      <c r="B16" s="17"/>
    </row>
    <row r="17" spans="1:2" s="6" customFormat="1" ht="14" x14ac:dyDescent="0.15">
      <c r="A17" s="16" t="s">
        <v>17</v>
      </c>
      <c r="B17" s="17"/>
    </row>
    <row r="18" spans="1:2" s="6" customFormat="1" ht="14" x14ac:dyDescent="0.15">
      <c r="A18" s="16" t="s">
        <v>18</v>
      </c>
      <c r="B18" s="15"/>
    </row>
    <row r="19" spans="1:2" s="6" customFormat="1" ht="34" x14ac:dyDescent="0.15">
      <c r="A19" s="18" t="s">
        <v>19</v>
      </c>
      <c r="B19" s="15"/>
    </row>
    <row r="20" spans="1:2" s="6" customFormat="1" ht="14" x14ac:dyDescent="0.15">
      <c r="A20" s="16" t="s">
        <v>20</v>
      </c>
      <c r="B20" s="15"/>
    </row>
    <row r="21" spans="1:2" s="6" customFormat="1" ht="56" x14ac:dyDescent="0.15">
      <c r="A21" s="12" t="s">
        <v>21</v>
      </c>
      <c r="B21" s="13">
        <v>0.75</v>
      </c>
    </row>
    <row r="22" spans="1:2" s="6" customFormat="1" ht="42" x14ac:dyDescent="0.15">
      <c r="A22" s="12" t="s">
        <v>22</v>
      </c>
      <c r="B22" s="13">
        <v>0.25</v>
      </c>
    </row>
    <row r="23" spans="1:2" s="6" customFormat="1" ht="56" x14ac:dyDescent="0.15">
      <c r="A23" s="12" t="s">
        <v>23</v>
      </c>
      <c r="B23" s="13">
        <v>2.5</v>
      </c>
    </row>
    <row r="24" spans="1:2" s="6" customFormat="1" ht="42" x14ac:dyDescent="0.15">
      <c r="A24" s="19" t="s">
        <v>24</v>
      </c>
      <c r="B24" s="13">
        <v>1.5</v>
      </c>
    </row>
    <row r="25" spans="1:2" s="6" customFormat="1" ht="27.75" customHeight="1" x14ac:dyDescent="0.15">
      <c r="A25" s="12" t="s">
        <v>25</v>
      </c>
      <c r="B25" s="15">
        <v>0.5</v>
      </c>
    </row>
    <row r="26" spans="1:2" s="6" customFormat="1" ht="15.75" customHeight="1" x14ac:dyDescent="0.15">
      <c r="A26" s="8" t="s">
        <v>4</v>
      </c>
      <c r="B26" s="20">
        <f>SUM(B6:B25)</f>
        <v>34.5</v>
      </c>
    </row>
    <row r="27" spans="1:2" s="6" customFormat="1" ht="15.75" customHeight="1" x14ac:dyDescent="0.15">
      <c r="A27" s="7"/>
      <c r="B27" s="15"/>
    </row>
    <row r="28" spans="1:2" s="6" customFormat="1" ht="15.75" customHeight="1" x14ac:dyDescent="0.15">
      <c r="A28" s="10" t="s">
        <v>26</v>
      </c>
      <c r="B28" s="13"/>
    </row>
    <row r="29" spans="1:2" s="6" customFormat="1" ht="84" x14ac:dyDescent="0.15">
      <c r="A29" s="12" t="s">
        <v>27</v>
      </c>
      <c r="B29" s="14">
        <v>0.5</v>
      </c>
    </row>
    <row r="30" spans="1:2" s="6" customFormat="1" ht="84" x14ac:dyDescent="0.15">
      <c r="A30" s="12" t="s">
        <v>28</v>
      </c>
      <c r="B30" s="14">
        <v>0.75</v>
      </c>
    </row>
    <row r="31" spans="1:2" s="21" customFormat="1" ht="42" x14ac:dyDescent="0.15">
      <c r="A31" s="12" t="s">
        <v>29</v>
      </c>
      <c r="B31" s="13">
        <v>0.75</v>
      </c>
    </row>
    <row r="32" spans="1:2" s="21" customFormat="1" ht="84" x14ac:dyDescent="0.15">
      <c r="A32" s="12" t="s">
        <v>30</v>
      </c>
      <c r="B32" s="13">
        <v>5</v>
      </c>
    </row>
    <row r="33" spans="1:2" s="21" customFormat="1" ht="84" x14ac:dyDescent="0.15">
      <c r="A33" s="12" t="s">
        <v>31</v>
      </c>
      <c r="B33" s="13">
        <v>0.25</v>
      </c>
    </row>
    <row r="34" spans="1:2" s="21" customFormat="1" ht="84" x14ac:dyDescent="0.15">
      <c r="A34" s="12" t="s">
        <v>32</v>
      </c>
      <c r="B34" s="13">
        <v>1.5</v>
      </c>
    </row>
    <row r="35" spans="1:2" s="6" customFormat="1" ht="28" x14ac:dyDescent="0.15">
      <c r="A35" s="12" t="s">
        <v>55</v>
      </c>
      <c r="B35" s="13">
        <v>0.75</v>
      </c>
    </row>
    <row r="36" spans="1:2" s="6" customFormat="1" ht="15.75" customHeight="1" x14ac:dyDescent="0.15">
      <c r="A36" s="8" t="s">
        <v>4</v>
      </c>
      <c r="B36" s="9">
        <f>SUM(B29:B35)</f>
        <v>9.5</v>
      </c>
    </row>
    <row r="37" spans="1:2" s="6" customFormat="1" ht="15.75" customHeight="1" x14ac:dyDescent="0.15">
      <c r="A37" s="22"/>
      <c r="B37" s="13"/>
    </row>
    <row r="38" spans="1:2" s="6" customFormat="1" ht="15.75" customHeight="1" x14ac:dyDescent="0.15">
      <c r="A38" s="10" t="s">
        <v>33</v>
      </c>
      <c r="B38" s="13"/>
    </row>
    <row r="39" spans="1:2" s="6" customFormat="1" ht="14" x14ac:dyDescent="0.15">
      <c r="A39" s="23" t="s">
        <v>34</v>
      </c>
      <c r="B39" s="13"/>
    </row>
    <row r="40" spans="1:2" s="6" customFormat="1" ht="15.75" customHeight="1" x14ac:dyDescent="0.15">
      <c r="A40" s="8" t="s">
        <v>4</v>
      </c>
      <c r="B40" s="9">
        <f>SUM(B39:B39)</f>
        <v>0</v>
      </c>
    </row>
    <row r="41" spans="1:2" s="6" customFormat="1" ht="15.75" customHeight="1" x14ac:dyDescent="0.15">
      <c r="A41" s="22"/>
      <c r="B41" s="13"/>
    </row>
    <row r="42" spans="1:2" s="6" customFormat="1" ht="15.75" customHeight="1" x14ac:dyDescent="0.15">
      <c r="A42" s="10" t="s">
        <v>35</v>
      </c>
      <c r="B42" s="13"/>
    </row>
    <row r="43" spans="1:2" s="6" customFormat="1" ht="28" x14ac:dyDescent="0.15">
      <c r="A43" s="12" t="s">
        <v>36</v>
      </c>
      <c r="B43" s="13">
        <v>0.5</v>
      </c>
    </row>
    <row r="44" spans="1:2" s="6" customFormat="1" ht="14" x14ac:dyDescent="0.15">
      <c r="A44" s="12" t="s">
        <v>37</v>
      </c>
      <c r="B44" s="13">
        <v>0.5</v>
      </c>
    </row>
    <row r="45" spans="1:2" s="6" customFormat="1" ht="56" x14ac:dyDescent="0.15">
      <c r="A45" s="12" t="s">
        <v>38</v>
      </c>
      <c r="B45" s="13">
        <v>3.5</v>
      </c>
    </row>
    <row r="46" spans="1:2" s="6" customFormat="1" ht="15.75" customHeight="1" x14ac:dyDescent="0.15">
      <c r="A46" s="8" t="s">
        <v>4</v>
      </c>
      <c r="B46" s="9">
        <f>SUM(B43:B45)</f>
        <v>4.5</v>
      </c>
    </row>
    <row r="47" spans="1:2" s="6" customFormat="1" ht="15.75" customHeight="1" x14ac:dyDescent="0.15">
      <c r="A47" s="22"/>
      <c r="B47" s="13"/>
    </row>
    <row r="48" spans="1:2" s="6" customFormat="1" ht="15.75" customHeight="1" x14ac:dyDescent="0.15">
      <c r="A48" s="10" t="s">
        <v>39</v>
      </c>
      <c r="B48" s="13"/>
    </row>
    <row r="49" spans="1:2" s="6" customFormat="1" ht="28" x14ac:dyDescent="0.15">
      <c r="A49" s="24" t="s">
        <v>40</v>
      </c>
      <c r="B49" s="25">
        <v>0.5</v>
      </c>
    </row>
    <row r="50" spans="1:2" s="6" customFormat="1" ht="42" x14ac:dyDescent="0.15">
      <c r="A50" s="12" t="s">
        <v>41</v>
      </c>
      <c r="B50" s="13">
        <v>1</v>
      </c>
    </row>
    <row r="51" spans="1:2" s="6" customFormat="1" ht="28" x14ac:dyDescent="0.15">
      <c r="A51" s="12" t="s">
        <v>42</v>
      </c>
      <c r="B51" s="13">
        <v>0.5</v>
      </c>
    </row>
    <row r="52" spans="1:2" s="6" customFormat="1" ht="67" customHeight="1" x14ac:dyDescent="0.15">
      <c r="A52" s="12" t="s">
        <v>43</v>
      </c>
      <c r="B52" s="13">
        <v>6</v>
      </c>
    </row>
    <row r="53" spans="1:2" s="6" customFormat="1" ht="98" x14ac:dyDescent="0.15">
      <c r="A53" s="23" t="s">
        <v>44</v>
      </c>
      <c r="B53" s="13">
        <v>2.25</v>
      </c>
    </row>
    <row r="54" spans="1:2" s="6" customFormat="1" ht="56" x14ac:dyDescent="0.15">
      <c r="A54" s="12" t="s">
        <v>45</v>
      </c>
      <c r="B54" s="13">
        <v>2.5</v>
      </c>
    </row>
    <row r="55" spans="1:2" s="6" customFormat="1" ht="15.75" customHeight="1" x14ac:dyDescent="0.15">
      <c r="A55" s="8" t="s">
        <v>4</v>
      </c>
      <c r="B55" s="9">
        <f>SUM(B49:B54)</f>
        <v>12.75</v>
      </c>
    </row>
    <row r="56" spans="1:2" s="6" customFormat="1" ht="15.75" customHeight="1" x14ac:dyDescent="0.15">
      <c r="A56" s="22"/>
      <c r="B56" s="13"/>
    </row>
    <row r="57" spans="1:2" s="6" customFormat="1" ht="15.75" customHeight="1" x14ac:dyDescent="0.15">
      <c r="A57" s="10" t="s">
        <v>46</v>
      </c>
      <c r="B57" s="13"/>
    </row>
    <row r="58" spans="1:2" s="6" customFormat="1" ht="42" x14ac:dyDescent="0.15">
      <c r="A58" s="19" t="s">
        <v>47</v>
      </c>
      <c r="B58" s="13">
        <v>0.5</v>
      </c>
    </row>
    <row r="59" spans="1:2" s="6" customFormat="1" ht="42" x14ac:dyDescent="0.15">
      <c r="A59" s="19" t="s">
        <v>48</v>
      </c>
      <c r="B59" s="13">
        <v>0.5</v>
      </c>
    </row>
    <row r="60" spans="1:2" s="6" customFormat="1" ht="42" x14ac:dyDescent="0.15">
      <c r="A60" s="19" t="s">
        <v>49</v>
      </c>
      <c r="B60" s="13">
        <v>0.5</v>
      </c>
    </row>
    <row r="61" spans="1:2" s="6" customFormat="1" ht="28" x14ac:dyDescent="0.15">
      <c r="A61" s="12" t="s">
        <v>50</v>
      </c>
      <c r="B61" s="13">
        <v>4</v>
      </c>
    </row>
    <row r="62" spans="1:2" s="6" customFormat="1" ht="15.75" customHeight="1" x14ac:dyDescent="0.15">
      <c r="A62" s="8" t="s">
        <v>4</v>
      </c>
      <c r="B62" s="9">
        <f>SUM(B58:B61)</f>
        <v>5.5</v>
      </c>
    </row>
    <row r="63" spans="1:2" s="6" customFormat="1" ht="15" customHeight="1" x14ac:dyDescent="0.15">
      <c r="A63" s="22"/>
      <c r="B63" s="13"/>
    </row>
    <row r="64" spans="1:2" s="6" customFormat="1" ht="16.5" customHeight="1" thickBot="1" x14ac:dyDescent="0.2">
      <c r="A64" s="26" t="s">
        <v>51</v>
      </c>
      <c r="B64" s="27">
        <f>SUM(B62+B55+B46+B40+B36+B26)</f>
        <v>66.75</v>
      </c>
    </row>
    <row r="65" spans="1:2" s="6" customFormat="1" ht="16.5" customHeight="1" thickBot="1" x14ac:dyDescent="0.2">
      <c r="A65" s="28" t="s">
        <v>52</v>
      </c>
      <c r="B65" s="29" t="s">
        <v>53</v>
      </c>
    </row>
    <row r="66" spans="1:2" ht="15.75" customHeight="1" x14ac:dyDescent="0.2">
      <c r="A66" s="6"/>
      <c r="B66" s="6"/>
    </row>
    <row r="67" spans="1:2" s="31" customFormat="1" ht="15.75" customHeight="1" x14ac:dyDescent="0.15">
      <c r="A67" s="30" t="s">
        <v>54</v>
      </c>
    </row>
    <row r="68" spans="1:2" ht="15.75" customHeight="1" x14ac:dyDescent="0.2">
      <c r="A68" s="6"/>
      <c r="B68" s="6"/>
    </row>
    <row r="69" spans="1:2" ht="15.75" customHeight="1" x14ac:dyDescent="0.2">
      <c r="A69" s="6"/>
      <c r="B69" s="6"/>
    </row>
    <row r="70" spans="1:2" ht="15.75" customHeight="1" x14ac:dyDescent="0.2">
      <c r="B70" s="6"/>
    </row>
    <row r="71" spans="1:2" ht="15.75" customHeight="1" x14ac:dyDescent="0.2">
      <c r="A71" s="6"/>
      <c r="B71" s="6"/>
    </row>
    <row r="72" spans="1:2" ht="15.75" customHeight="1" x14ac:dyDescent="0.2">
      <c r="A72" s="6"/>
      <c r="B72" s="6"/>
    </row>
    <row r="73" spans="1:2" ht="15.75" customHeight="1" x14ac:dyDescent="0.2">
      <c r="A73" s="6"/>
      <c r="B73" s="6"/>
    </row>
    <row r="74" spans="1:2" ht="15.75" customHeight="1" x14ac:dyDescent="0.2">
      <c r="A74" s="6"/>
      <c r="B74" s="6"/>
    </row>
    <row r="75" spans="1:2" ht="15.75" customHeight="1" x14ac:dyDescent="0.2">
      <c r="A75" s="6"/>
      <c r="B75" s="6"/>
    </row>
    <row r="76" spans="1:2" ht="15.75" customHeight="1" x14ac:dyDescent="0.2">
      <c r="A76" s="6"/>
      <c r="B76" s="6"/>
    </row>
    <row r="77" spans="1:2" ht="15.75" customHeight="1" x14ac:dyDescent="0.2">
      <c r="A77" s="6"/>
      <c r="B77" s="6"/>
    </row>
    <row r="78" spans="1:2" ht="15.75" customHeight="1" x14ac:dyDescent="0.2">
      <c r="A78" s="6"/>
      <c r="B78" s="6"/>
    </row>
    <row r="79" spans="1:2" ht="15.75" customHeight="1" x14ac:dyDescent="0.2">
      <c r="A79" s="6"/>
      <c r="B79" s="6"/>
    </row>
    <row r="80" spans="1:2" ht="15.75" customHeight="1" x14ac:dyDescent="0.2">
      <c r="A80" s="6"/>
      <c r="B80" s="6"/>
    </row>
    <row r="81" spans="1:2" ht="15.75" customHeight="1" x14ac:dyDescent="0.2">
      <c r="A81" s="6"/>
      <c r="B81" s="6"/>
    </row>
    <row r="82" spans="1:2" ht="15.75" customHeight="1" x14ac:dyDescent="0.2">
      <c r="A82" s="6"/>
      <c r="B82" s="6"/>
    </row>
    <row r="83" spans="1:2" ht="15.75" customHeight="1" x14ac:dyDescent="0.2">
      <c r="A83" s="6"/>
      <c r="B83" s="6"/>
    </row>
    <row r="84" spans="1:2" ht="15.75" customHeight="1" x14ac:dyDescent="0.2">
      <c r="A84" s="6"/>
      <c r="B84" s="6"/>
    </row>
    <row r="85" spans="1:2" ht="15.75" customHeight="1" x14ac:dyDescent="0.2">
      <c r="A85" s="6"/>
      <c r="B85" s="6"/>
    </row>
    <row r="86" spans="1:2" ht="15.75" customHeight="1" x14ac:dyDescent="0.2">
      <c r="A86" s="6"/>
      <c r="B86" s="6"/>
    </row>
    <row r="87" spans="1:2" ht="15.75" customHeight="1" x14ac:dyDescent="0.2">
      <c r="A87" s="6"/>
      <c r="B87" s="6"/>
    </row>
    <row r="88" spans="1:2" ht="15.75" customHeight="1" x14ac:dyDescent="0.2">
      <c r="A88" s="6"/>
      <c r="B88" s="6"/>
    </row>
    <row r="89" spans="1:2" ht="15.75" customHeight="1" x14ac:dyDescent="0.2">
      <c r="A89" s="6"/>
      <c r="B89" s="6"/>
    </row>
    <row r="90" spans="1:2" ht="15.75" customHeight="1" x14ac:dyDescent="0.2">
      <c r="A90" s="6"/>
      <c r="B90" s="6"/>
    </row>
    <row r="91" spans="1:2" ht="15.75" customHeight="1" x14ac:dyDescent="0.2">
      <c r="A91" s="6"/>
      <c r="B91" s="6"/>
    </row>
    <row r="92" spans="1:2" ht="15.75" customHeight="1" x14ac:dyDescent="0.2">
      <c r="A92" s="6"/>
      <c r="B92" s="6"/>
    </row>
    <row r="93" spans="1:2" ht="15.75" customHeight="1" x14ac:dyDescent="0.2">
      <c r="A93" s="6"/>
      <c r="B93" s="6"/>
    </row>
    <row r="94" spans="1:2" ht="15.75" customHeight="1" x14ac:dyDescent="0.2">
      <c r="A94" s="6"/>
      <c r="B94" s="6"/>
    </row>
    <row r="95" spans="1:2" ht="15.75" customHeight="1" x14ac:dyDescent="0.2">
      <c r="A95" s="6"/>
      <c r="B95" s="6"/>
    </row>
    <row r="96" spans="1:2" ht="15.75" customHeight="1" x14ac:dyDescent="0.2">
      <c r="A96" s="6"/>
      <c r="B96" s="6"/>
    </row>
    <row r="97" spans="1:2" ht="15.75" customHeight="1" x14ac:dyDescent="0.2">
      <c r="A97" s="6"/>
      <c r="B97" s="6"/>
    </row>
    <row r="98" spans="1:2" ht="15.75" customHeight="1" x14ac:dyDescent="0.2">
      <c r="A98" s="6"/>
      <c r="B98" s="6"/>
    </row>
    <row r="99" spans="1:2" ht="15.75" customHeight="1" x14ac:dyDescent="0.2">
      <c r="A99" s="6"/>
      <c r="B99" s="6"/>
    </row>
    <row r="100" spans="1:2" ht="15.75" customHeight="1" x14ac:dyDescent="0.2">
      <c r="A100" s="6"/>
      <c r="B100" s="6"/>
    </row>
    <row r="101" spans="1:2" ht="15.75" customHeight="1" x14ac:dyDescent="0.2">
      <c r="A101" s="6"/>
      <c r="B101" s="6"/>
    </row>
    <row r="102" spans="1:2" ht="15.75" customHeight="1" x14ac:dyDescent="0.2">
      <c r="A102" s="6"/>
      <c r="B102" s="6"/>
    </row>
    <row r="103" spans="1:2" ht="15.75" customHeight="1" x14ac:dyDescent="0.2">
      <c r="A103" s="6"/>
      <c r="B103" s="6"/>
    </row>
    <row r="104" spans="1:2" ht="15.75" customHeight="1" x14ac:dyDescent="0.2">
      <c r="A104" s="6"/>
      <c r="B104" s="6"/>
    </row>
    <row r="105" spans="1:2" ht="15.75" customHeight="1" x14ac:dyDescent="0.2">
      <c r="A105" s="6"/>
      <c r="B105" s="6"/>
    </row>
    <row r="106" spans="1:2" ht="15.75" customHeight="1" x14ac:dyDescent="0.2">
      <c r="A106" s="6"/>
      <c r="B106" s="6"/>
    </row>
    <row r="107" spans="1:2" ht="15.75" customHeight="1" x14ac:dyDescent="0.2">
      <c r="A107" s="6"/>
      <c r="B107" s="6"/>
    </row>
    <row r="108" spans="1:2" ht="15.75" customHeight="1" x14ac:dyDescent="0.2">
      <c r="A108" s="6"/>
      <c r="B108" s="6"/>
    </row>
    <row r="109" spans="1:2" ht="15.75" customHeight="1" x14ac:dyDescent="0.2">
      <c r="A109" s="6"/>
      <c r="B109" s="6"/>
    </row>
    <row r="110" spans="1:2" ht="15.75" customHeight="1" x14ac:dyDescent="0.2">
      <c r="A110" s="6"/>
      <c r="B110" s="6"/>
    </row>
    <row r="111" spans="1:2" ht="15.75" customHeight="1" x14ac:dyDescent="0.2">
      <c r="A111" s="6"/>
      <c r="B111" s="6"/>
    </row>
    <row r="112" spans="1:2" ht="15.75" customHeight="1" x14ac:dyDescent="0.2">
      <c r="A112" s="6"/>
      <c r="B112" s="6"/>
    </row>
    <row r="113" spans="1:2" ht="15.75" customHeight="1" x14ac:dyDescent="0.2">
      <c r="A113" s="6"/>
      <c r="B113" s="6"/>
    </row>
    <row r="114" spans="1:2" ht="15.75" customHeight="1" x14ac:dyDescent="0.2">
      <c r="A114" s="6"/>
      <c r="B114" s="6"/>
    </row>
    <row r="115" spans="1:2" ht="15.75" customHeight="1" x14ac:dyDescent="0.2">
      <c r="A115" s="6"/>
      <c r="B115" s="6"/>
    </row>
    <row r="116" spans="1:2" ht="15.75" customHeight="1" x14ac:dyDescent="0.2">
      <c r="A116" s="6"/>
      <c r="B116" s="6"/>
    </row>
    <row r="117" spans="1:2" ht="15.75" customHeight="1" x14ac:dyDescent="0.2">
      <c r="A117" s="6"/>
      <c r="B117" s="6"/>
    </row>
    <row r="118" spans="1:2" ht="15.75" customHeight="1" x14ac:dyDescent="0.2">
      <c r="A118" s="6"/>
      <c r="B118" s="6"/>
    </row>
    <row r="119" spans="1:2" ht="15.75" customHeight="1" x14ac:dyDescent="0.2">
      <c r="A119" s="6"/>
      <c r="B119" s="6"/>
    </row>
    <row r="120" spans="1:2" ht="15.75" customHeight="1" x14ac:dyDescent="0.2">
      <c r="A120" s="6"/>
      <c r="B120" s="6"/>
    </row>
    <row r="121" spans="1:2" ht="15.75" customHeight="1" x14ac:dyDescent="0.2">
      <c r="A121" s="6"/>
      <c r="B121" s="6"/>
    </row>
    <row r="122" spans="1:2" ht="15.75" customHeight="1" x14ac:dyDescent="0.2">
      <c r="A122" s="6"/>
      <c r="B122" s="6"/>
    </row>
    <row r="123" spans="1:2" ht="15.75" customHeight="1" x14ac:dyDescent="0.2">
      <c r="A123" s="6"/>
      <c r="B123" s="6"/>
    </row>
    <row r="124" spans="1:2" ht="15.75" customHeight="1" x14ac:dyDescent="0.2">
      <c r="A124" s="6"/>
      <c r="B124" s="6"/>
    </row>
    <row r="125" spans="1:2" ht="15.75" customHeight="1" x14ac:dyDescent="0.2">
      <c r="A125" s="6"/>
      <c r="B125" s="6"/>
    </row>
    <row r="126" spans="1:2" ht="15.75" customHeight="1" x14ac:dyDescent="0.2">
      <c r="A126" s="6"/>
      <c r="B126" s="6"/>
    </row>
    <row r="127" spans="1:2" ht="15.75" customHeight="1" x14ac:dyDescent="0.2">
      <c r="A127" s="6"/>
      <c r="B127" s="6"/>
    </row>
    <row r="128" spans="1:2" ht="15.75" customHeight="1" x14ac:dyDescent="0.2">
      <c r="A128" s="6"/>
      <c r="B128" s="6"/>
    </row>
    <row r="129" spans="1:2" ht="15.75" customHeight="1" x14ac:dyDescent="0.2">
      <c r="A129" s="6"/>
      <c r="B129" s="6"/>
    </row>
    <row r="130" spans="1:2" ht="15.75" customHeight="1" x14ac:dyDescent="0.2"/>
    <row r="131" spans="1:2" ht="15.75" customHeight="1" x14ac:dyDescent="0.2"/>
    <row r="132" spans="1:2" ht="15.75" customHeight="1" x14ac:dyDescent="0.2"/>
    <row r="133" spans="1:2" ht="15.75" customHeight="1" x14ac:dyDescent="0.2"/>
    <row r="134" spans="1:2" ht="15.75" customHeight="1" x14ac:dyDescent="0.2"/>
    <row r="135" spans="1:2" ht="15.75" customHeight="1" x14ac:dyDescent="0.2"/>
    <row r="136" spans="1:2" ht="15.75" customHeight="1" x14ac:dyDescent="0.2"/>
    <row r="137" spans="1:2" ht="15.75" customHeight="1" x14ac:dyDescent="0.2"/>
    <row r="138" spans="1:2" ht="15.75" customHeight="1" x14ac:dyDescent="0.2"/>
    <row r="139" spans="1:2" ht="15.75" customHeight="1" x14ac:dyDescent="0.2"/>
    <row r="140" spans="1:2" ht="15.75" customHeight="1" x14ac:dyDescent="0.2"/>
    <row r="141" spans="1:2" ht="15.75" customHeight="1" x14ac:dyDescent="0.2"/>
    <row r="142" spans="1:2" ht="15.75" customHeight="1" x14ac:dyDescent="0.2"/>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row r="1021" ht="15.75" customHeight="1" x14ac:dyDescent="0.2"/>
    <row r="1022" ht="15.75" customHeight="1" x14ac:dyDescent="0.2"/>
    <row r="1023" ht="15.75" customHeight="1" x14ac:dyDescent="0.2"/>
  </sheetData>
  <hyperlinks>
    <hyperlink ref="A2" r:id="rId1" xr:uid="{FA613E9D-4FB9-C646-A3B5-62BA9D1DBE7C}"/>
    <hyperlink ref="A67" r:id="rId2" display="https://www.thoxan.com/kontakt/" xr:uid="{AEDDD5F1-4958-A644-8925-FC34844BA819}"/>
    <hyperlink ref="A15" r:id="rId3" xr:uid="{28E5390D-D5FB-E349-95B8-F4B41A78D3FB}"/>
    <hyperlink ref="A17" r:id="rId4" xr:uid="{415960A3-C324-6846-8CDE-AEBCA21CCE10}"/>
    <hyperlink ref="A16" r:id="rId5" xr:uid="{D66DBBCE-0FD7-B849-8B61-1BABA6A02465}"/>
    <hyperlink ref="A18" r:id="rId6" xr:uid="{6396803B-4A44-CA4D-9328-A5563F11114C}"/>
    <hyperlink ref="A19" r:id="rId7" xr:uid="{ECB9F971-3A9B-0D4A-B41F-02F109C4937E}"/>
    <hyperlink ref="A20" r:id="rId8" xr:uid="{35F6283E-EB0D-E346-8F42-E39FA3E9A5D6}"/>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BKK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2025-12-19T13:34:59Z</dcterms:created>
  <dcterms:modified xsi:type="dcterms:W3CDTF">2025-12-19T13:38:57Z</dcterms:modified>
</cp:coreProperties>
</file>