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5-12/"/>
    </mc:Choice>
  </mc:AlternateContent>
  <xr:revisionPtr revIDLastSave="0" documentId="13_ncr:1_{AC0FCEE5-E1B4-9740-BAB5-92893B2566EC}" xr6:coauthVersionLast="47" xr6:coauthVersionMax="47" xr10:uidLastSave="{00000000-0000-0000-0000-000000000000}"/>
  <bookViews>
    <workbookView xWindow="9660" yWindow="500" windowWidth="36520" windowHeight="25320" xr2:uid="{4E8EF045-FBAF-274A-AD77-AE95D374B783}"/>
  </bookViews>
  <sheets>
    <sheet name="SP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1" l="1"/>
  <c r="B34" i="1"/>
  <c r="B29" i="1"/>
  <c r="B25" i="1"/>
  <c r="B18" i="1"/>
  <c r="B14" i="1"/>
  <c r="B41" i="1" l="1"/>
</calcChain>
</file>

<file path=xl/sharedStrings.xml><?xml version="1.0" encoding="utf-8"?>
<sst xmlns="http://schemas.openxmlformats.org/spreadsheetml/2006/main" count="39" uniqueCount="32">
  <si>
    <t>spe group  GmbH / IT-Schutzengel</t>
  </si>
  <si>
    <t>4. Quartal 2025</t>
  </si>
  <si>
    <t>https://www.it-schutzengel.de</t>
  </si>
  <si>
    <t>Monatliche Optimierung</t>
  </si>
  <si>
    <t>Aufwand ca. in Std.</t>
  </si>
  <si>
    <t>1. Linkaufbau, Linkabbau, Online-PR</t>
  </si>
  <si>
    <t>Textarbeiten (Gastartikel): Briefing und Recherche, Texterstellung für Gastbeitrag auf it-treff.de, Lektorat, Abstimmung und Vorbereitung zur Veröffentlichung (28.10., EXT, TKI)</t>
  </si>
  <si>
    <t>Textarbeiten (Gastartikel): Briefing und Recherche, Texterstellung für Gastbeitrag auf business-on.de, Lektorat, Abstimmung und Vorbereitung zur Veröffentlichung (18.-20.11., EXT, TKI)</t>
  </si>
  <si>
    <t>Textarbeiten (Gastartikel): Briefing und Recherche, Texterstellung für Gastbeitrag auf das-unternehmerhandbuch.de, Lektorat, Abstimmung und Vorbereitung zur Veröffentlichung (01.12., EXT, TKI)</t>
  </si>
  <si>
    <t>Linkaufbau-Organisation und Abstimmung mit den Seitenbetreibern zur Veröffentlichung der vorbereiteten Gastartikel, Prüfung der Link-Integration, Abrechnung der Linkaufbau-Auslagen, Abstimmung und Dokumentation  (29.10.-03.12., TKI)</t>
  </si>
  <si>
    <t>https://www.it-treff.de/it-news/praxisbeispiele-cloud-loesungen-im-b2b</t>
  </si>
  <si>
    <t>https://www.business-on.de/it-support-vs-managed-services-vor-und-nachteile.html</t>
  </si>
  <si>
    <t>https://das-unternehmerhandbuch.de/managed-services-kmu/</t>
  </si>
  <si>
    <t>Link-Monitoring: Neue Verlinkungen aus Link-Tools der letzten 30 Tage überprüft, einzeln bewertet (monatlich 0,25 Std., TKI)</t>
  </si>
  <si>
    <t>2. Redaktionelle Arbeiten &amp; Website-Pflege</t>
  </si>
  <si>
    <t>3. Technische Arbeiten, Onpage-Optimierung, ggf. Programmierung</t>
  </si>
  <si>
    <t>Finale Integration der ProvenExpert-Bewertungen auf der Website, Ausgabe der Sterne-Bewertungen in den Suchergebnissen, Erfolgskontrolle, Abstimmung und Dokumentation (01.-06.10., BKO, TKI)</t>
  </si>
  <si>
    <t>Recherche und eintragen der Bildquellen in der Mediathek, Prüfung der Ausgabe, interne Abstimmung und Dokumentation (06.10., BKO, TKI)</t>
  </si>
  <si>
    <t>Umbau des WordPress-Systems für Unterseiten-Navigation statt Sprungmarken, kl. Anpassungen am Template, Content-Pflege, Bildbearbeitung, Einrichten und Einbauen verschiedener Grids für Referenzen und Kundenlogos, Störer, etc. Abstimmung und Dokumentation (19.11., BKO, TKI)</t>
  </si>
  <si>
    <t>Maßnahmen aus Onpage-Prüfung umgesetzt, Meta-Angaben ergänzt, interne Verlinkung angepasst, Indexierung geprüft und erneut eingereicht, mit div. Tools erneut geprüft, kl. Anpassungen an Inhalten, Abstimmung und Dokumentation (24.-25.11., TKI)</t>
  </si>
  <si>
    <t>4. Social Media Management</t>
  </si>
  <si>
    <t>---</t>
  </si>
  <si>
    <t>5. Google Ads &amp; Social Ads</t>
  </si>
  <si>
    <t>6. Beratung &amp; Sonstiges</t>
  </si>
  <si>
    <t>Organisation, Planung, Überwachung und Steuerung der Aufgaben und Ressourcen (pro Tagessatz ca. 0,5 Std., TKI)</t>
  </si>
  <si>
    <t>Aufwand ca. insgesamt in Std.</t>
  </si>
  <si>
    <t>Aufwand in Tagessätzen</t>
  </si>
  <si>
    <t>3 Tagessätze</t>
  </si>
  <si>
    <t>Noch Rückfragen? Kontakt zur Thoxan Communications GmbH unter https://www.thoxan.com/kontakt</t>
  </si>
  <si>
    <t>Vorbereitung, Auswertung der bisherigen Maßnahmen, Ergebnisse und Kennzahlen, Videocall zur Abstimmung der Ergebnisse, Planung des der weiteren Vorgehensweise, Klären von offenen Fragen, anschließend Vorbereitung der geplanten Maßnahmen, interne Abstimmung (09.12., TKI) 
// Austausch zum Jahresabschluss ohne Berechnung</t>
  </si>
  <si>
    <t>Social Ads-Monitoring (4. Quartal): Monatliches Monitoring der Werbe-kampagnen bei Facebook und Instagram, Anpassen der Werbeanzeigen, Verfeinern der Zielgruppe, kl. Arbeiten am Werbekonto, Abstimmung und Dokumentation (01.10.-31.12., JST, TKI)</t>
  </si>
  <si>
    <t>Google Ads-Monitoring (4. Quartal): Monatliches Monitoring der Kampagnen, kl. Anpassungen, fortlaufendes Ausschließen und Ergänzen von Keywords, Auswertung am Quartalsende (01.10.-31.12., JST, TKI)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</si>
</sst>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theme="0" tint="-0.499984740745262"/>
      <name val="Arial"/>
      <family val="2"/>
    </font>
    <font>
      <sz val="10"/>
      <color rgb="FF80808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49" fontId="4" fillId="0" borderId="0" xfId="1" applyNumberFormat="1" applyFont="1" applyAlignment="1">
      <alignment horizontal="left"/>
    </xf>
    <xf numFmtId="49" fontId="5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left"/>
    </xf>
    <xf numFmtId="0" fontId="6" fillId="0" borderId="0" xfId="0" applyFont="1"/>
    <xf numFmtId="0" fontId="6" fillId="0" borderId="1" xfId="0" applyFont="1" applyBorder="1"/>
    <xf numFmtId="0" fontId="6" fillId="2" borderId="1" xfId="0" applyFont="1" applyFill="1" applyBorder="1" applyAlignment="1">
      <alignment horizontal="center" vertical="center"/>
    </xf>
    <xf numFmtId="0" fontId="5" fillId="0" borderId="0" xfId="0" applyFont="1"/>
    <xf numFmtId="0" fontId="7" fillId="0" borderId="0" xfId="0" applyFont="1"/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" xfId="1" quotePrefix="1" applyFont="1" applyBorder="1" applyAlignment="1">
      <alignment vertical="top" wrapText="1"/>
    </xf>
    <xf numFmtId="0" fontId="5" fillId="0" borderId="1" xfId="0" quotePrefix="1" applyFont="1" applyBorder="1" applyAlignment="1">
      <alignment vertical="top" wrapText="1"/>
    </xf>
    <xf numFmtId="0" fontId="5" fillId="2" borderId="3" xfId="0" applyFont="1" applyFill="1" applyBorder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5" fillId="0" borderId="4" xfId="0" applyFont="1" applyBorder="1"/>
    <xf numFmtId="0" fontId="6" fillId="0" borderId="4" xfId="0" applyFont="1" applyBorder="1"/>
    <xf numFmtId="0" fontId="5" fillId="0" borderId="4" xfId="0" applyFont="1" applyBorder="1" applyAlignment="1">
      <alignment vertical="top" wrapText="1"/>
    </xf>
    <xf numFmtId="0" fontId="5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5" xfId="0" applyFont="1" applyBorder="1"/>
    <xf numFmtId="0" fontId="5" fillId="0" borderId="3" xfId="0" applyFont="1" applyBorder="1" applyAlignment="1">
      <alignment horizontal="center" vertical="center"/>
    </xf>
    <xf numFmtId="0" fontId="5" fillId="0" borderId="4" xfId="0" quotePrefix="1" applyFont="1" applyBorder="1" applyAlignment="1">
      <alignment vertical="top" wrapText="1"/>
    </xf>
    <xf numFmtId="0" fontId="8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wrapText="1"/>
    </xf>
    <xf numFmtId="0" fontId="5" fillId="2" borderId="6" xfId="0" applyFont="1" applyFill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vertical="center"/>
    </xf>
    <xf numFmtId="0" fontId="9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t-treff.de/it-news/praxisbeispiele-cloud-loesungen-im-b2b" TargetMode="External"/><Relationship Id="rId2" Type="http://schemas.openxmlformats.org/officeDocument/2006/relationships/hyperlink" Target="https://www.thoxan.com/kontakt/" TargetMode="External"/><Relationship Id="rId1" Type="http://schemas.openxmlformats.org/officeDocument/2006/relationships/hyperlink" Target="https://www.it-schutzengel.de/" TargetMode="External"/><Relationship Id="rId5" Type="http://schemas.openxmlformats.org/officeDocument/2006/relationships/hyperlink" Target="https://das-unternehmerhandbuch.de/managed-services-kmu/" TargetMode="External"/><Relationship Id="rId4" Type="http://schemas.openxmlformats.org/officeDocument/2006/relationships/hyperlink" Target="https://www.business-on.de/it-support-vs-managed-services-vor-und-nachteil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F4951-4523-FC46-9814-497F005745BC}">
  <dimension ref="A1:B996"/>
  <sheetViews>
    <sheetView tabSelected="1" zoomScale="160" zoomScaleNormal="160" workbookViewId="0">
      <pane ySplit="4" topLeftCell="A5" activePane="bottomLeft" state="frozen"/>
      <selection pane="bottomLeft" activeCell="A33" sqref="A33"/>
    </sheetView>
  </sheetViews>
  <sheetFormatPr baseColWidth="10" defaultColWidth="11.1640625" defaultRowHeight="15" customHeight="1" x14ac:dyDescent="0.2"/>
  <cols>
    <col min="1" max="1" width="57.5" customWidth="1"/>
    <col min="2" max="2" width="25.33203125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7"/>
      <c r="B3" s="6"/>
    </row>
    <row r="4" spans="1:2" s="11" customFormat="1" ht="15.75" customHeight="1" x14ac:dyDescent="0.2">
      <c r="A4" s="8"/>
      <c r="B4" s="9" t="s">
        <v>4</v>
      </c>
    </row>
    <row r="5" spans="1:2" s="11" customFormat="1" ht="15.75" customHeight="1" x14ac:dyDescent="0.2">
      <c r="A5" s="8" t="s">
        <v>5</v>
      </c>
      <c r="B5" s="12"/>
    </row>
    <row r="6" spans="1:2" s="11" customFormat="1" ht="42" x14ac:dyDescent="0.2">
      <c r="A6" s="13" t="s">
        <v>6</v>
      </c>
      <c r="B6" s="14">
        <v>3</v>
      </c>
    </row>
    <row r="7" spans="1:2" s="11" customFormat="1" ht="42" x14ac:dyDescent="0.2">
      <c r="A7" s="13" t="s">
        <v>7</v>
      </c>
      <c r="B7" s="14">
        <v>3.5</v>
      </c>
    </row>
    <row r="8" spans="1:2" s="11" customFormat="1" ht="42" x14ac:dyDescent="0.2">
      <c r="A8" s="13" t="s">
        <v>8</v>
      </c>
      <c r="B8" s="14">
        <v>3</v>
      </c>
    </row>
    <row r="9" spans="1:2" s="11" customFormat="1" ht="56" x14ac:dyDescent="0.2">
      <c r="A9" s="13" t="s">
        <v>9</v>
      </c>
      <c r="B9" s="14">
        <v>1.75</v>
      </c>
    </row>
    <row r="10" spans="1:2" s="11" customFormat="1" ht="14" x14ac:dyDescent="0.2">
      <c r="A10" s="16" t="s">
        <v>10</v>
      </c>
      <c r="B10" s="14"/>
    </row>
    <row r="11" spans="1:2" s="11" customFormat="1" ht="28" x14ac:dyDescent="0.2">
      <c r="A11" s="16" t="s">
        <v>11</v>
      </c>
      <c r="B11" s="14"/>
    </row>
    <row r="12" spans="1:2" s="11" customFormat="1" ht="14" x14ac:dyDescent="0.2">
      <c r="A12" s="16" t="s">
        <v>12</v>
      </c>
      <c r="B12" s="14"/>
    </row>
    <row r="13" spans="1:2" s="11" customFormat="1" ht="28" x14ac:dyDescent="0.2">
      <c r="A13" s="17" t="s">
        <v>13</v>
      </c>
      <c r="B13" s="14">
        <v>0.5</v>
      </c>
    </row>
    <row r="14" spans="1:2" s="11" customFormat="1" ht="15.75" customHeight="1" x14ac:dyDescent="0.2">
      <c r="A14" s="18" t="s">
        <v>4</v>
      </c>
      <c r="B14" s="19">
        <f>SUM(B6:B13)</f>
        <v>11.75</v>
      </c>
    </row>
    <row r="15" spans="1:2" s="11" customFormat="1" ht="15.75" customHeight="1" x14ac:dyDescent="0.2">
      <c r="A15" s="20"/>
      <c r="B15" s="15"/>
    </row>
    <row r="16" spans="1:2" s="11" customFormat="1" ht="15.75" customHeight="1" x14ac:dyDescent="0.2">
      <c r="A16" s="21" t="s">
        <v>14</v>
      </c>
      <c r="B16" s="15"/>
    </row>
    <row r="17" spans="1:2" s="11" customFormat="1" ht="14" x14ac:dyDescent="0.2">
      <c r="A17" s="32" t="s">
        <v>21</v>
      </c>
      <c r="B17" s="15"/>
    </row>
    <row r="18" spans="1:2" s="11" customFormat="1" ht="15.75" customHeight="1" x14ac:dyDescent="0.2">
      <c r="A18" s="23" t="s">
        <v>4</v>
      </c>
      <c r="B18" s="24">
        <f>SUM(B16:B17)</f>
        <v>0</v>
      </c>
    </row>
    <row r="19" spans="1:2" s="11" customFormat="1" ht="15.75" customHeight="1" x14ac:dyDescent="0.2">
      <c r="A19" s="26"/>
      <c r="B19" s="27"/>
    </row>
    <row r="20" spans="1:2" s="10" customFormat="1" ht="15.75" customHeight="1" x14ac:dyDescent="0.15">
      <c r="A20" s="8" t="s">
        <v>15</v>
      </c>
      <c r="B20" s="14"/>
    </row>
    <row r="21" spans="1:2" s="11" customFormat="1" ht="56" x14ac:dyDescent="0.2">
      <c r="A21" s="17" t="s">
        <v>16</v>
      </c>
      <c r="B21" s="14">
        <v>0.5</v>
      </c>
    </row>
    <row r="22" spans="1:2" s="11" customFormat="1" ht="28" x14ac:dyDescent="0.2">
      <c r="A22" s="17" t="s">
        <v>17</v>
      </c>
      <c r="B22" s="14">
        <v>1.25</v>
      </c>
    </row>
    <row r="23" spans="1:2" s="11" customFormat="1" ht="70" x14ac:dyDescent="0.2">
      <c r="A23" s="17" t="s">
        <v>18</v>
      </c>
      <c r="B23" s="14">
        <v>4</v>
      </c>
    </row>
    <row r="24" spans="1:2" s="11" customFormat="1" ht="56" x14ac:dyDescent="0.2">
      <c r="A24" s="17" t="s">
        <v>19</v>
      </c>
      <c r="B24" s="14">
        <v>2</v>
      </c>
    </row>
    <row r="25" spans="1:2" s="11" customFormat="1" ht="15.75" customHeight="1" x14ac:dyDescent="0.2">
      <c r="A25" s="28" t="s">
        <v>4</v>
      </c>
      <c r="B25" s="25">
        <f>SUM(B21:B24)</f>
        <v>7.75</v>
      </c>
    </row>
    <row r="26" spans="1:2" s="11" customFormat="1" ht="15.75" customHeight="1" x14ac:dyDescent="0.2">
      <c r="A26" s="29"/>
      <c r="B26" s="14"/>
    </row>
    <row r="27" spans="1:2" s="11" customFormat="1" ht="15.75" customHeight="1" x14ac:dyDescent="0.2">
      <c r="A27" s="30" t="s">
        <v>20</v>
      </c>
      <c r="B27" s="31"/>
    </row>
    <row r="28" spans="1:2" s="11" customFormat="1" ht="14" x14ac:dyDescent="0.2">
      <c r="A28" s="32" t="s">
        <v>21</v>
      </c>
      <c r="B28" s="33"/>
    </row>
    <row r="29" spans="1:2" s="11" customFormat="1" ht="15.75" customHeight="1" x14ac:dyDescent="0.2">
      <c r="A29" s="23" t="s">
        <v>4</v>
      </c>
      <c r="B29" s="24">
        <f>SUM(B28:B28)</f>
        <v>0</v>
      </c>
    </row>
    <row r="30" spans="1:2" s="11" customFormat="1" ht="15.75" customHeight="1" x14ac:dyDescent="0.2">
      <c r="A30" s="34"/>
      <c r="B30" s="15"/>
    </row>
    <row r="31" spans="1:2" s="11" customFormat="1" ht="15.75" customHeight="1" x14ac:dyDescent="0.2">
      <c r="A31" s="21" t="s">
        <v>22</v>
      </c>
      <c r="B31" s="15"/>
    </row>
    <row r="32" spans="1:2" s="11" customFormat="1" ht="42" customHeight="1" x14ac:dyDescent="0.2">
      <c r="A32" s="22" t="s">
        <v>31</v>
      </c>
      <c r="B32" s="27">
        <v>3</v>
      </c>
    </row>
    <row r="33" spans="1:2" s="11" customFormat="1" ht="55" customHeight="1" x14ac:dyDescent="0.2">
      <c r="A33" s="22" t="s">
        <v>30</v>
      </c>
      <c r="B33" s="27">
        <v>3</v>
      </c>
    </row>
    <row r="34" spans="1:2" s="11" customFormat="1" ht="15.75" customHeight="1" x14ac:dyDescent="0.2">
      <c r="A34" s="23" t="s">
        <v>4</v>
      </c>
      <c r="B34" s="24">
        <f>SUM(B32:B33)</f>
        <v>6</v>
      </c>
    </row>
    <row r="35" spans="1:2" s="11" customFormat="1" ht="15.75" customHeight="1" x14ac:dyDescent="0.2">
      <c r="A35" s="34"/>
      <c r="B35" s="15"/>
    </row>
    <row r="36" spans="1:2" s="11" customFormat="1" ht="15.75" customHeight="1" x14ac:dyDescent="0.2">
      <c r="A36" s="21" t="s">
        <v>23</v>
      </c>
      <c r="B36" s="15"/>
    </row>
    <row r="37" spans="1:2" s="11" customFormat="1" ht="84" x14ac:dyDescent="0.2">
      <c r="A37" s="13" t="s">
        <v>29</v>
      </c>
      <c r="B37" s="14">
        <v>0</v>
      </c>
    </row>
    <row r="38" spans="1:2" s="11" customFormat="1" ht="28" x14ac:dyDescent="0.2">
      <c r="A38" s="13" t="s">
        <v>24</v>
      </c>
      <c r="B38" s="14">
        <v>1.5</v>
      </c>
    </row>
    <row r="39" spans="1:2" s="11" customFormat="1" ht="15.75" customHeight="1" x14ac:dyDescent="0.2">
      <c r="A39" s="28" t="s">
        <v>4</v>
      </c>
      <c r="B39" s="25">
        <f>SUM(B37:B38)</f>
        <v>1.5</v>
      </c>
    </row>
    <row r="40" spans="1:2" s="11" customFormat="1" ht="15.75" customHeight="1" x14ac:dyDescent="0.2">
      <c r="A40" s="29"/>
      <c r="B40" s="14"/>
    </row>
    <row r="41" spans="1:2" s="11" customFormat="1" ht="16.5" customHeight="1" thickBot="1" x14ac:dyDescent="0.25">
      <c r="A41" s="35" t="s">
        <v>25</v>
      </c>
      <c r="B41" s="36">
        <f>SUM(B14+B18+B25+B29+B34+B39)</f>
        <v>27</v>
      </c>
    </row>
    <row r="42" spans="1:2" s="11" customFormat="1" ht="16.5" customHeight="1" thickBot="1" x14ac:dyDescent="0.25">
      <c r="A42" s="38" t="s">
        <v>26</v>
      </c>
      <c r="B42" s="37" t="s">
        <v>27</v>
      </c>
    </row>
    <row r="43" spans="1:2" ht="15.75" customHeight="1" x14ac:dyDescent="0.2">
      <c r="A43" s="10"/>
      <c r="B43" s="10"/>
    </row>
    <row r="44" spans="1:2" ht="15.75" customHeight="1" x14ac:dyDescent="0.2">
      <c r="A44" s="39" t="s">
        <v>28</v>
      </c>
      <c r="B44" s="10"/>
    </row>
    <row r="45" spans="1:2" ht="15.75" customHeight="1" x14ac:dyDescent="0.2">
      <c r="A45" s="10"/>
      <c r="B45" s="10"/>
    </row>
    <row r="46" spans="1:2" ht="15.75" customHeight="1" x14ac:dyDescent="0.2">
      <c r="A46" s="10"/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10"/>
      <c r="B95" s="10"/>
    </row>
    <row r="96" spans="1:2" ht="15.75" customHeight="1" x14ac:dyDescent="0.2">
      <c r="A96" s="10"/>
      <c r="B96" s="10"/>
    </row>
    <row r="97" spans="1:2" ht="15.75" customHeight="1" x14ac:dyDescent="0.2">
      <c r="A97" s="10"/>
      <c r="B97" s="10"/>
    </row>
    <row r="98" spans="1:2" ht="15.75" customHeight="1" x14ac:dyDescent="0.2">
      <c r="A98" s="10"/>
      <c r="B98" s="10"/>
    </row>
    <row r="99" spans="1:2" ht="15.75" customHeight="1" x14ac:dyDescent="0.2">
      <c r="A99" s="10"/>
      <c r="B99" s="10"/>
    </row>
    <row r="100" spans="1:2" ht="15.75" customHeight="1" x14ac:dyDescent="0.2">
      <c r="A100" s="10"/>
      <c r="B100" s="10"/>
    </row>
    <row r="101" spans="1:2" ht="15.75" customHeight="1" x14ac:dyDescent="0.2">
      <c r="A101" s="10"/>
      <c r="B101" s="10"/>
    </row>
    <row r="102" spans="1:2" ht="15.75" customHeight="1" x14ac:dyDescent="0.2">
      <c r="A102" s="10"/>
      <c r="B102" s="10"/>
    </row>
    <row r="103" spans="1:2" ht="15.75" customHeight="1" x14ac:dyDescent="0.2">
      <c r="A103" s="10"/>
      <c r="B103" s="10"/>
    </row>
    <row r="104" spans="1:2" ht="15.75" customHeight="1" x14ac:dyDescent="0.2">
      <c r="A104" s="10"/>
      <c r="B104" s="10"/>
    </row>
    <row r="105" spans="1:2" ht="15.75" customHeight="1" x14ac:dyDescent="0.2">
      <c r="A105" s="10"/>
      <c r="B105" s="10"/>
    </row>
    <row r="106" spans="1:2" ht="15.75" customHeight="1" x14ac:dyDescent="0.2">
      <c r="A106" s="10"/>
      <c r="B106" s="10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  <row r="989" spans="1:2" ht="15.75" customHeight="1" x14ac:dyDescent="0.2">
      <c r="A989" s="3"/>
      <c r="B989" s="3"/>
    </row>
    <row r="990" spans="1:2" ht="15.75" customHeight="1" x14ac:dyDescent="0.2">
      <c r="A990" s="3"/>
      <c r="B990" s="3"/>
    </row>
    <row r="991" spans="1:2" ht="15.75" customHeight="1" x14ac:dyDescent="0.2">
      <c r="A991" s="3"/>
      <c r="B991" s="3"/>
    </row>
    <row r="992" spans="1:2" ht="15.75" customHeight="1" x14ac:dyDescent="0.2">
      <c r="A992" s="3"/>
      <c r="B992" s="3"/>
    </row>
    <row r="993" spans="1:2" ht="15.75" customHeight="1" x14ac:dyDescent="0.2">
      <c r="A993" s="3"/>
      <c r="B993" s="3"/>
    </row>
    <row r="994" spans="1:2" ht="15.75" customHeight="1" x14ac:dyDescent="0.2">
      <c r="A994" s="3"/>
      <c r="B994" s="3"/>
    </row>
    <row r="995" spans="1:2" ht="15.75" customHeight="1" x14ac:dyDescent="0.2">
      <c r="A995" s="3"/>
      <c r="B995" s="3"/>
    </row>
    <row r="996" spans="1:2" ht="15.75" customHeight="1" x14ac:dyDescent="0.2">
      <c r="A996" s="3"/>
      <c r="B996" s="3"/>
    </row>
  </sheetData>
  <hyperlinks>
    <hyperlink ref="A2" r:id="rId1" xr:uid="{DE34043D-56A3-9943-A6ED-610DF451EB4D}"/>
    <hyperlink ref="A44" r:id="rId2" display="https://www.thoxan.com/kontakt/" xr:uid="{74011151-0781-DC4D-94C3-B813435A9B4E}"/>
    <hyperlink ref="A10" r:id="rId3" xr:uid="{1468A406-1F8C-9943-BFBF-D7E26205B616}"/>
    <hyperlink ref="A11" r:id="rId4" xr:uid="{A994C41B-125F-D842-AC9D-6EF82F21B7BE}"/>
    <hyperlink ref="A12" r:id="rId5" xr:uid="{C0AFFACC-CB61-0844-A685-10798B3D0A63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2025-12-12T15:17:50Z</dcterms:created>
  <dcterms:modified xsi:type="dcterms:W3CDTF">2025-12-12T15:19:16Z</dcterms:modified>
</cp:coreProperties>
</file>