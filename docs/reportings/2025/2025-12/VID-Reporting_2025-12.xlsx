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12/"/>
    </mc:Choice>
  </mc:AlternateContent>
  <xr:revisionPtr revIDLastSave="0" documentId="8_{43E6527F-4D7E-C345-9C24-E7681127F999}" xr6:coauthVersionLast="47" xr6:coauthVersionMax="47" xr10:uidLastSave="{00000000-0000-0000-0000-000000000000}"/>
  <bookViews>
    <workbookView xWindow="9520" yWindow="760" windowWidth="35540" windowHeight="25140" xr2:uid="{FC90AC7E-0DFD-7840-98D2-1EC282F14AF7}"/>
  </bookViews>
  <sheets>
    <sheet name="VID"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4" i="1" l="1"/>
  <c r="B39" i="1"/>
  <c r="B33" i="1"/>
  <c r="B28" i="1"/>
  <c r="B7" i="1"/>
  <c r="B46" i="1" l="1"/>
</calcChain>
</file>

<file path=xl/sharedStrings.xml><?xml version="1.0" encoding="utf-8"?>
<sst xmlns="http://schemas.openxmlformats.org/spreadsheetml/2006/main" count="45" uniqueCount="40">
  <si>
    <t>Steinmann Video Stream Hosting</t>
  </si>
  <si>
    <t>4. Quartal 2025</t>
  </si>
  <si>
    <t>https://www.video-stream-hosting.com</t>
  </si>
  <si>
    <t>Monatliche Optimierung</t>
  </si>
  <si>
    <t>Aufwand ca. in Std.</t>
  </si>
  <si>
    <t>1. Linkaufbau, Linkabbau, Online-PR</t>
  </si>
  <si>
    <t>---</t>
  </si>
  <si>
    <t>2. Redaktionelle Arbeiten &amp; Website-Pflege</t>
  </si>
  <si>
    <t>Einpflegen der optimierten Unterseite "Erweiterungen / Service":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(09.-10.10., BKO, TKI)</t>
  </si>
  <si>
    <t>Ablauf der Zusammenarbeit mit Event-Agenturen / Unternehmen, Visualisierung der Schritte, Integration an zentralen Stellen der Website im Bereich Eventagenturen sowie "Über uns" (später), Abstimmung und Dokumentation (07.-15.10., RBO, TKI)</t>
  </si>
  <si>
    <t>Fokus-Keywords lt. Cluster in Überschriften aller Unterseiten ergänzen, um einheitliche Termgewichtung über die komplette Website zu signalisieren, kl. Textanpassungen im System, Abstimmung und Dokumentation (21.10., GBO)</t>
  </si>
  <si>
    <t>Textoptimierung "Individuelle Dienstleistungen": Abstimmung, Briefing und Textoptimierung für bestehende Inhalte, Überarbeitung des Bestandstexts und Texterweiterung, Keyword-Optimierung nach WDF*IDF, Ergänzungen und kl. Anpassungen, Lektorat und finale Bearbeitung, Versand an Kunden und Dokumentation (13.10., GBO, TKI)</t>
  </si>
  <si>
    <t>Textkorrekturen "Individuelle Dienstleistungen":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(21.10., GBO)</t>
  </si>
  <si>
    <t>UX-Optimierung "Individuelle Dienstleistungen", Prüfung des bisherigen Aufbaus und der neuen Textentwürfe von Gaby, Abstimmung und Dokumentation mit kl. Vorschlägen zur Anpassung (07.11., BKO, TKI)</t>
  </si>
  <si>
    <t>Einpflegen der optimierten Unterseite "Individuelle Dienstleistungen":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(30.10.-08.11., TKI, BKO)</t>
  </si>
  <si>
    <t>Textoptimierung "Video Hosting": Abstimmung, Briefing und Textoptimierung für bestehende Inhalte, Überarbeitung des Bestandstexts und Texterweiterung, Keyword-Optimierung nach WDF*IDF, Ergänzungen und kl. Anpassungen, Lektorat und finale Bearbeitung, Versand an Kunden und Dokumentation (10.11., GBO, TKI)</t>
  </si>
  <si>
    <t>Kompakte Textoptimierung Startseite: Abstimmung und Anpassung des Bestandstexts zur Keyword-Bereinigung um das Cluster (Video Hosting), Keyword-Optimierung nach WDF*IDF, Ergänzungen und kl. Anpassungen, Lektorat und finale Bearbeitung, Versand an Kunden und Dokumentation (10.11., GBO)</t>
  </si>
  <si>
    <t>UX-Optimierung "Video Hosting", Prüfung des bisherigen Aufbaus und der neuen Textentwürfe von Gaby, Abstimmung und Dokumentation mit kl. Vorschlägen zur Anpassung (18.11., BKO, TKI)</t>
  </si>
  <si>
    <t>Textkorrekturen "Video Hosting":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(20.11., GBO)</t>
  </si>
  <si>
    <t>Einpflegen der optimierten Unterseite "Video Hosting":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(25.11., TKI)</t>
  </si>
  <si>
    <t>Kl. Anpassungen Streaming-Pakete / Hosting-Pakete, Buchungsseite (Konfigurator), interne Verlinkung, Wording erweitern für eine verbesserte Nutzerführung, Zoomcall Sören, Abstimmung und Dokumentation (25.11., TKI)</t>
  </si>
  <si>
    <t>Umbau Startseite nach Textanpassungen ("Hosting" ausgegliedert), interne Verlinkung der zentralen Unterseiten über Quicklinks-Grid, Menü-Aufnahme "Video-Hosting" und Re-Indexierung, kl. Anpassungen, Abstimmung und Dokumentation (26.11., TKI)</t>
  </si>
  <si>
    <t>Änderung Preis für Erweiterung über Meta-Felder, Anleitung per Loom, Abstimmung (03.12., BKO)</t>
  </si>
  <si>
    <t>Umbau Sektion "Unabhängigkeit von CDN" in eigenständigen Ratgeber, kl. Textanpassungen, Verlinkung Startseite (Lightbox), kl. Anpassungen, Abstimmung und Dokumentation (05.12., TKI)</t>
  </si>
  <si>
    <t>Textoptimierung "Über uns / Anbieter": Abstimmung, Briefing und Textoptimierung für bestehende Inhalte, Überarbeitung des Bestandstexts und Texterweiterung, Keyword-Optimierung nach WDF*IDF, Ergänzungen und kl. Anpassungen, Lektorat und finale Bearbeitung, Versand an Kunden und Dokumentation (10.-12.12., GBO, TKI)</t>
  </si>
  <si>
    <t>UX-Optimierung "Über uns / Anbieter", Prüfung des bisherigen Aufbaus und der neuen Textentwürfe von Gaby, Abstimmung und Dokumentation mit kl. Vorschlägen zur Anpassung (11.12., BKO, TKI)</t>
  </si>
  <si>
    <t>3. Technische Arbeiten, Onpage-Optimierung, ggf. Programmierung</t>
  </si>
  <si>
    <t>WordPress-Update: Backup der Dateien und der Datenbank, umfassendes Update des WordPress-Systems sowie aller verwendeten Plugins, Funktionsprüfung, kl. Anpassungen im System, erneutes Backup nach Aktualisierung, Dokumentation und Abstimmung (13.-14.11., BKO, TKI)</t>
  </si>
  <si>
    <t>Sitemap.xml war weg, Recherche, Aktualisierung der Permalinks, Funktionsprüfung, Abstimmung (01.-02.12., BKO, TKI) // o. Berechnung</t>
  </si>
  <si>
    <t>4. Google Ads</t>
  </si>
  <si>
    <t>Google Ads (Monitoring Oktober 2025):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(01.-31.10., JST, TKI)</t>
  </si>
  <si>
    <t>Google Ads (Monitoring November 2025):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(01.-30.11., JST, TKI)</t>
  </si>
  <si>
    <t>Google Ads (Monitoring Dezember 2025):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(01.-31.12., JST, TKI)</t>
  </si>
  <si>
    <t>5. Beratung &amp; Sonstiges</t>
  </si>
  <si>
    <t>Kurze Vorbereitung und virtuelle Abstimmung zur aktuellen Zusammenarbeit, Maßnahmenplanung und Erläuterung der verschiedenen Aufgabenfelder, Klären von div. Fragen 11-11:45 Uhr (anteilig), anschließend Dokumentation und interne Abstimmung für die nächsten Maßnahmen (10.11., TKI)</t>
  </si>
  <si>
    <t>Organisation, Planung, Überwachung und Steuerung der Aufgaben und Ressourcen (pro Tagessatz ca. 0,5 Std., TKI)</t>
  </si>
  <si>
    <t>Aufwand ca. insgesamt in Std.</t>
  </si>
  <si>
    <t>Aufwand in Tagessätzen</t>
  </si>
  <si>
    <t>4,5 Tagessätze</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</si>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</sst>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sz val="10"/>
      <color rgb="FF000000"/>
      <name val="Arial"/>
      <family val="2"/>
    </font>
    <font>
      <b/>
      <sz val="10"/>
      <color theme="1"/>
      <name val="Arial"/>
      <family val="2"/>
    </font>
    <font>
      <sz val="10"/>
      <color theme="1"/>
      <name val="Calibri"/>
      <family val="2"/>
    </font>
    <font>
      <sz val="10"/>
      <color rgb="FF808080"/>
      <name val="Arial"/>
      <family val="2"/>
    </font>
  </fonts>
  <fills count="3">
    <fill>
      <patternFill patternType="none"/>
    </fill>
    <fill>
      <patternFill patternType="gray125"/>
    </fill>
    <fill>
      <patternFill patternType="solid">
        <fgColor rgb="FFD8D8D8"/>
        <bgColor rgb="FFD8D8D8"/>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rgb="FF000000"/>
      </right>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39">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7" fillId="0" borderId="0" xfId="0" applyFont="1"/>
    <xf numFmtId="0" fontId="7" fillId="0" borderId="1" xfId="0" applyFont="1" applyBorder="1"/>
    <xf numFmtId="0" fontId="7" fillId="2" borderId="1" xfId="0" applyFont="1" applyFill="1" applyBorder="1" applyAlignment="1">
      <alignment horizontal="center" vertical="center"/>
    </xf>
    <xf numFmtId="0" fontId="5" fillId="0" borderId="0" xfId="0" applyFont="1"/>
    <xf numFmtId="0" fontId="8" fillId="0" borderId="0" xfId="0" applyFont="1"/>
    <xf numFmtId="0" fontId="7"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2" borderId="3" xfId="0" applyFont="1" applyFill="1" applyBorder="1" applyAlignment="1">
      <alignment vertical="center"/>
    </xf>
    <xf numFmtId="0" fontId="5" fillId="2" borderId="3" xfId="0" applyFont="1" applyFill="1" applyBorder="1" applyAlignment="1">
      <alignment horizontal="center" vertical="center"/>
    </xf>
    <xf numFmtId="0" fontId="5" fillId="2" borderId="2" xfId="0" applyFont="1" applyFill="1" applyBorder="1" applyAlignment="1">
      <alignment horizontal="center" vertical="center"/>
    </xf>
    <xf numFmtId="0" fontId="5" fillId="0" borderId="1" xfId="0" applyFont="1" applyBorder="1"/>
    <xf numFmtId="0" fontId="5" fillId="0" borderId="2" xfId="0" applyFont="1" applyBorder="1" applyAlignment="1">
      <alignment horizontal="center" vertical="center"/>
    </xf>
    <xf numFmtId="0" fontId="5" fillId="0" borderId="1"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horizontal="center" vertical="center"/>
    </xf>
    <xf numFmtId="0" fontId="5" fillId="0" borderId="4" xfId="0" applyFont="1" applyBorder="1" applyAlignment="1">
      <alignment vertical="top" wrapText="1"/>
    </xf>
    <xf numFmtId="0" fontId="5" fillId="0" borderId="7" xfId="0" applyFont="1" applyBorder="1" applyAlignment="1">
      <alignment vertical="top" wrapText="1"/>
    </xf>
    <xf numFmtId="0" fontId="5" fillId="0" borderId="8" xfId="0" applyFont="1" applyBorder="1" applyAlignment="1">
      <alignment horizontal="center" vertical="center"/>
    </xf>
    <xf numFmtId="0" fontId="5" fillId="0" borderId="3" xfId="0" applyFont="1" applyBorder="1" applyAlignment="1">
      <alignment vertical="top" wrapText="1"/>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0" borderId="1" xfId="0" applyFont="1" applyBorder="1" applyAlignment="1">
      <alignment vertical="center"/>
    </xf>
    <xf numFmtId="0" fontId="6" fillId="0" borderId="1" xfId="0" applyFont="1" applyBorder="1" applyAlignment="1">
      <alignment vertical="top" wrapText="1"/>
    </xf>
    <xf numFmtId="0" fontId="5" fillId="0" borderId="3" xfId="0" applyFont="1" applyBorder="1" applyAlignment="1">
      <alignment horizontal="center" vertical="center"/>
    </xf>
    <xf numFmtId="0" fontId="5" fillId="2" borderId="2" xfId="0" applyFont="1" applyFill="1" applyBorder="1" applyAlignment="1">
      <alignment vertical="center"/>
    </xf>
    <xf numFmtId="0" fontId="7" fillId="0" borderId="3" xfId="0" applyFont="1" applyBorder="1" applyAlignment="1">
      <alignment wrapText="1"/>
    </xf>
    <xf numFmtId="0" fontId="7" fillId="0" borderId="3" xfId="0" applyFont="1" applyBorder="1"/>
    <xf numFmtId="0" fontId="5" fillId="0" borderId="3" xfId="0" applyFont="1" applyBorder="1" applyAlignment="1">
      <alignment vertical="center"/>
    </xf>
    <xf numFmtId="0" fontId="5" fillId="2" borderId="9" xfId="0" applyFont="1" applyFill="1" applyBorder="1" applyAlignment="1">
      <alignment vertical="center"/>
    </xf>
    <xf numFmtId="0" fontId="7" fillId="2" borderId="9" xfId="0" applyFont="1" applyFill="1" applyBorder="1" applyAlignment="1">
      <alignment horizontal="center" vertical="center"/>
    </xf>
    <xf numFmtId="0" fontId="9"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video-stream-hosting.com/"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5EFB3-F634-0948-AD1C-142C2D96BD6F}">
  <dimension ref="A1:B1001"/>
  <sheetViews>
    <sheetView tabSelected="1" zoomScale="170" zoomScaleNormal="170" workbookViewId="0">
      <pane ySplit="4" topLeftCell="A5" activePane="bottomLeft" state="frozen"/>
      <selection pane="bottomLeft" activeCell="D42" sqref="D42"/>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s="11" customFormat="1" ht="15.75" customHeight="1" x14ac:dyDescent="0.2">
      <c r="A4" s="8"/>
      <c r="B4" s="9" t="s">
        <v>4</v>
      </c>
    </row>
    <row r="5" spans="1:2" s="11" customFormat="1" ht="15.75" customHeight="1" x14ac:dyDescent="0.2">
      <c r="A5" s="8" t="s">
        <v>5</v>
      </c>
      <c r="B5" s="12"/>
    </row>
    <row r="6" spans="1:2" s="11" customFormat="1" ht="14" x14ac:dyDescent="0.2">
      <c r="A6" s="13" t="s">
        <v>6</v>
      </c>
      <c r="B6" s="14"/>
    </row>
    <row r="7" spans="1:2" s="11" customFormat="1" ht="15.75" customHeight="1" x14ac:dyDescent="0.2">
      <c r="A7" s="15" t="s">
        <v>4</v>
      </c>
      <c r="B7" s="16">
        <f>SUM(B6:B6)</f>
        <v>0</v>
      </c>
    </row>
    <row r="8" spans="1:2" s="11" customFormat="1" ht="15.75" customHeight="1" x14ac:dyDescent="0.2">
      <c r="A8" s="18"/>
      <c r="B8" s="14"/>
    </row>
    <row r="9" spans="1:2" s="11" customFormat="1" ht="15.75" customHeight="1" x14ac:dyDescent="0.2">
      <c r="A9" s="8" t="s">
        <v>7</v>
      </c>
      <c r="B9" s="14"/>
    </row>
    <row r="10" spans="1:2" s="11" customFormat="1" ht="84" x14ac:dyDescent="0.2">
      <c r="A10" s="20" t="s">
        <v>8</v>
      </c>
      <c r="B10" s="14">
        <v>2</v>
      </c>
    </row>
    <row r="11" spans="1:2" s="11" customFormat="1" ht="56" x14ac:dyDescent="0.2">
      <c r="A11" s="20" t="s">
        <v>9</v>
      </c>
      <c r="B11" s="14">
        <v>3.25</v>
      </c>
    </row>
    <row r="12" spans="1:2" s="11" customFormat="1" ht="56" x14ac:dyDescent="0.2">
      <c r="A12" s="20" t="s">
        <v>10</v>
      </c>
      <c r="B12" s="14">
        <v>6.25</v>
      </c>
    </row>
    <row r="13" spans="1:2" s="11" customFormat="1" ht="69" customHeight="1" x14ac:dyDescent="0.2">
      <c r="A13" s="20" t="s">
        <v>11</v>
      </c>
      <c r="B13" s="14">
        <v>2.5</v>
      </c>
    </row>
    <row r="14" spans="1:2" s="11" customFormat="1" ht="69" customHeight="1" x14ac:dyDescent="0.2">
      <c r="A14" s="21" t="s">
        <v>12</v>
      </c>
      <c r="B14" s="22">
        <v>0.25</v>
      </c>
    </row>
    <row r="15" spans="1:2" s="11" customFormat="1" ht="42" x14ac:dyDescent="0.2">
      <c r="A15" s="20" t="s">
        <v>13</v>
      </c>
      <c r="B15" s="19">
        <v>0.25</v>
      </c>
    </row>
    <row r="16" spans="1:2" s="11" customFormat="1" ht="84" x14ac:dyDescent="0.2">
      <c r="A16" s="20" t="s">
        <v>14</v>
      </c>
      <c r="B16" s="14">
        <v>1.5</v>
      </c>
    </row>
    <row r="17" spans="1:2" s="11" customFormat="1" ht="67" customHeight="1" x14ac:dyDescent="0.2">
      <c r="A17" s="20" t="s">
        <v>15</v>
      </c>
      <c r="B17" s="14">
        <v>4.25</v>
      </c>
    </row>
    <row r="18" spans="1:2" s="11" customFormat="1" ht="67" customHeight="1" x14ac:dyDescent="0.2">
      <c r="A18" s="20" t="s">
        <v>16</v>
      </c>
      <c r="B18" s="14">
        <v>1</v>
      </c>
    </row>
    <row r="19" spans="1:2" s="11" customFormat="1" ht="42" x14ac:dyDescent="0.2">
      <c r="A19" s="24" t="s">
        <v>17</v>
      </c>
      <c r="B19" s="25">
        <v>0.25</v>
      </c>
    </row>
    <row r="20" spans="1:2" s="11" customFormat="1" ht="67" customHeight="1" x14ac:dyDescent="0.2">
      <c r="A20" s="20" t="s">
        <v>18</v>
      </c>
      <c r="B20" s="14">
        <v>0.25</v>
      </c>
    </row>
    <row r="21" spans="1:2" s="11" customFormat="1" ht="84" x14ac:dyDescent="0.2">
      <c r="A21" s="20" t="s">
        <v>19</v>
      </c>
      <c r="B21" s="14">
        <v>1.5</v>
      </c>
    </row>
    <row r="22" spans="1:2" s="11" customFormat="1" ht="56" x14ac:dyDescent="0.2">
      <c r="A22" s="23" t="s">
        <v>20</v>
      </c>
      <c r="B22" s="14">
        <v>0.5</v>
      </c>
    </row>
    <row r="23" spans="1:2" s="11" customFormat="1" ht="56" x14ac:dyDescent="0.2">
      <c r="A23" s="23" t="s">
        <v>21</v>
      </c>
      <c r="B23" s="14">
        <v>1.75</v>
      </c>
    </row>
    <row r="24" spans="1:2" s="11" customFormat="1" ht="28" x14ac:dyDescent="0.2">
      <c r="A24" s="23" t="s">
        <v>22</v>
      </c>
      <c r="B24" s="14">
        <v>0.25</v>
      </c>
    </row>
    <row r="25" spans="1:2" s="11" customFormat="1" ht="42" x14ac:dyDescent="0.2">
      <c r="A25" s="23" t="s">
        <v>23</v>
      </c>
      <c r="B25" s="14">
        <v>0.5</v>
      </c>
    </row>
    <row r="26" spans="1:2" s="11" customFormat="1" ht="67" customHeight="1" x14ac:dyDescent="0.2">
      <c r="A26" s="20" t="s">
        <v>24</v>
      </c>
      <c r="B26" s="14">
        <v>3.5</v>
      </c>
    </row>
    <row r="27" spans="1:2" s="11" customFormat="1" ht="42" x14ac:dyDescent="0.2">
      <c r="A27" s="20" t="s">
        <v>25</v>
      </c>
      <c r="B27" s="19">
        <v>0.25</v>
      </c>
    </row>
    <row r="28" spans="1:2" s="11" customFormat="1" ht="15.75" customHeight="1" x14ac:dyDescent="0.2">
      <c r="A28" s="27" t="s">
        <v>4</v>
      </c>
      <c r="B28" s="28">
        <f>SUM(B10:B27)</f>
        <v>30</v>
      </c>
    </row>
    <row r="29" spans="1:2" s="11" customFormat="1" ht="15.75" customHeight="1" x14ac:dyDescent="0.2">
      <c r="A29" s="29"/>
      <c r="B29" s="14"/>
    </row>
    <row r="30" spans="1:2" s="10" customFormat="1" ht="15.75" customHeight="1" x14ac:dyDescent="0.15">
      <c r="A30" s="8" t="s">
        <v>26</v>
      </c>
      <c r="B30" s="14"/>
    </row>
    <row r="31" spans="1:2" s="11" customFormat="1" ht="70" x14ac:dyDescent="0.2">
      <c r="A31" s="13" t="s">
        <v>27</v>
      </c>
      <c r="B31" s="14">
        <v>1.5</v>
      </c>
    </row>
    <row r="32" spans="1:2" s="11" customFormat="1" ht="28" x14ac:dyDescent="0.2">
      <c r="A32" s="13" t="s">
        <v>28</v>
      </c>
      <c r="B32" s="14">
        <v>0</v>
      </c>
    </row>
    <row r="33" spans="1:2" s="11" customFormat="1" ht="15.75" customHeight="1" x14ac:dyDescent="0.2">
      <c r="A33" s="27" t="s">
        <v>4</v>
      </c>
      <c r="B33" s="28">
        <f>SUM(B30:B32)</f>
        <v>1.5</v>
      </c>
    </row>
    <row r="34" spans="1:2" s="11" customFormat="1" ht="15.75" customHeight="1" x14ac:dyDescent="0.2">
      <c r="A34" s="29"/>
      <c r="B34" s="14"/>
    </row>
    <row r="35" spans="1:2" s="11" customFormat="1" ht="15.75" customHeight="1" x14ac:dyDescent="0.2">
      <c r="A35" s="8" t="s">
        <v>29</v>
      </c>
      <c r="B35" s="14"/>
    </row>
    <row r="36" spans="1:2" s="11" customFormat="1" ht="112" x14ac:dyDescent="0.2">
      <c r="A36" s="30" t="s">
        <v>30</v>
      </c>
      <c r="B36" s="14">
        <v>1.25</v>
      </c>
    </row>
    <row r="37" spans="1:2" s="11" customFormat="1" ht="112" x14ac:dyDescent="0.2">
      <c r="A37" s="30" t="s">
        <v>31</v>
      </c>
      <c r="B37" s="14">
        <v>1.25</v>
      </c>
    </row>
    <row r="38" spans="1:2" s="11" customFormat="1" ht="112" x14ac:dyDescent="0.2">
      <c r="A38" s="30" t="s">
        <v>32</v>
      </c>
      <c r="B38" s="14">
        <v>1</v>
      </c>
    </row>
    <row r="39" spans="1:2" s="11" customFormat="1" ht="15.75" customHeight="1" x14ac:dyDescent="0.2">
      <c r="A39" s="32" t="s">
        <v>4</v>
      </c>
      <c r="B39" s="17">
        <f>SUM(B36:B38)</f>
        <v>3.5</v>
      </c>
    </row>
    <row r="40" spans="1:2" s="11" customFormat="1" ht="15.75" customHeight="1" x14ac:dyDescent="0.2">
      <c r="A40" s="33"/>
      <c r="B40" s="19"/>
    </row>
    <row r="41" spans="1:2" s="11" customFormat="1" ht="14" customHeight="1" x14ac:dyDescent="0.2">
      <c r="A41" s="34" t="s">
        <v>33</v>
      </c>
      <c r="B41" s="19"/>
    </row>
    <row r="42" spans="1:2" s="11" customFormat="1" ht="70" x14ac:dyDescent="0.2">
      <c r="A42" s="26" t="s">
        <v>34</v>
      </c>
      <c r="B42" s="31">
        <v>0.25</v>
      </c>
    </row>
    <row r="43" spans="1:2" s="11" customFormat="1" ht="28" x14ac:dyDescent="0.2">
      <c r="A43" s="26" t="s">
        <v>35</v>
      </c>
      <c r="B43" s="19">
        <v>2.25</v>
      </c>
    </row>
    <row r="44" spans="1:2" s="11" customFormat="1" ht="15.75" customHeight="1" x14ac:dyDescent="0.2">
      <c r="A44" s="32" t="s">
        <v>4</v>
      </c>
      <c r="B44" s="17">
        <f>SUM(B42:B43)</f>
        <v>2.5</v>
      </c>
    </row>
    <row r="45" spans="1:2" s="11" customFormat="1" ht="15.75" customHeight="1" x14ac:dyDescent="0.2">
      <c r="A45" s="35"/>
      <c r="B45" s="19"/>
    </row>
    <row r="46" spans="1:2" s="11" customFormat="1" ht="16.5" customHeight="1" thickBot="1" x14ac:dyDescent="0.25">
      <c r="A46" s="36" t="s">
        <v>36</v>
      </c>
      <c r="B46" s="37">
        <f>SUM(B7+B28+B33+B39+B44)</f>
        <v>37.5</v>
      </c>
    </row>
    <row r="47" spans="1:2" s="11" customFormat="1" ht="16.5" customHeight="1" thickBot="1" x14ac:dyDescent="0.25">
      <c r="A47" s="36" t="s">
        <v>37</v>
      </c>
      <c r="B47" s="37" t="s">
        <v>38</v>
      </c>
    </row>
    <row r="48" spans="1:2" ht="15.75" customHeight="1" x14ac:dyDescent="0.2">
      <c r="A48" s="10"/>
      <c r="B48" s="10"/>
    </row>
    <row r="49" spans="1:2" ht="15.75" customHeight="1" x14ac:dyDescent="0.2">
      <c r="A49" s="38" t="s">
        <v>39</v>
      </c>
      <c r="B49" s="10"/>
    </row>
    <row r="50" spans="1:2" ht="15.75" customHeight="1" x14ac:dyDescent="0.2">
      <c r="A50" s="10"/>
      <c r="B50" s="10"/>
    </row>
    <row r="51" spans="1:2" ht="15.75" customHeight="1" x14ac:dyDescent="0.2">
      <c r="A51" s="10"/>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10"/>
      <c r="B102" s="10"/>
    </row>
    <row r="103" spans="1:2" ht="15.75" customHeight="1" x14ac:dyDescent="0.2">
      <c r="A103" s="10"/>
      <c r="B103" s="10"/>
    </row>
    <row r="104" spans="1:2" ht="15.75" customHeight="1" x14ac:dyDescent="0.2">
      <c r="A104" s="10"/>
      <c r="B104" s="10"/>
    </row>
    <row r="105" spans="1:2" ht="15.75" customHeight="1" x14ac:dyDescent="0.2">
      <c r="A105" s="10"/>
      <c r="B105" s="10"/>
    </row>
    <row r="106" spans="1:2" ht="15.75" customHeight="1" x14ac:dyDescent="0.2">
      <c r="A106" s="10"/>
      <c r="B106" s="10"/>
    </row>
    <row r="107" spans="1:2" ht="15.75" customHeight="1" x14ac:dyDescent="0.2">
      <c r="A107" s="10"/>
      <c r="B107" s="10"/>
    </row>
    <row r="108" spans="1:2" ht="15.75" customHeight="1" x14ac:dyDescent="0.2">
      <c r="A108" s="10"/>
      <c r="B108" s="10"/>
    </row>
    <row r="109" spans="1:2" ht="15.75" customHeight="1" x14ac:dyDescent="0.2">
      <c r="A109" s="10"/>
      <c r="B109" s="10"/>
    </row>
    <row r="110" spans="1:2" ht="15.75" customHeight="1" x14ac:dyDescent="0.2">
      <c r="A110" s="10"/>
      <c r="B110" s="10"/>
    </row>
    <row r="111" spans="1:2" ht="15.75" customHeight="1" x14ac:dyDescent="0.2">
      <c r="A111" s="10"/>
      <c r="B111" s="10"/>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sheetData>
  <hyperlinks>
    <hyperlink ref="A49" r:id="rId1" display="https://www.thoxan.com/kontakt/" xr:uid="{97D8AC50-292C-234A-932B-FBD8755299A9}"/>
    <hyperlink ref="A2" r:id="rId2" xr:uid="{784559CC-BF03-984E-A6F5-BCE0C28D7DE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VID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2025-12-18T18:32:34Z</dcterms:created>
  <dcterms:modified xsi:type="dcterms:W3CDTF">2025-12-18T18:33:45Z</dcterms:modified>
</cp:coreProperties>
</file>