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2/"/>
    </mc:Choice>
  </mc:AlternateContent>
  <xr:revisionPtr revIDLastSave="0" documentId="13_ncr:1_{C2099AFE-9A91-BF40-8F4D-6C8A539A36DD}" xr6:coauthVersionLast="47" xr6:coauthVersionMax="47" xr10:uidLastSave="{00000000-0000-0000-0000-000000000000}"/>
  <bookViews>
    <workbookView xWindow="4700" yWindow="1220" windowWidth="29700" windowHeight="20380" xr2:uid="{8742C90E-1C12-3E41-8778-AC97C6DA8E15}"/>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 r="B27" i="1"/>
  <c r="B52" i="1"/>
  <c r="B45" i="1"/>
  <c r="B38" i="1"/>
  <c r="B19" i="1"/>
  <c r="B54" i="1" l="1"/>
</calcChain>
</file>

<file path=xl/sharedStrings.xml><?xml version="1.0" encoding="utf-8"?>
<sst xmlns="http://schemas.openxmlformats.org/spreadsheetml/2006/main" count="51" uniqueCount="45">
  <si>
    <t>BKK GILDEMEISTER SEIDENSTICKER</t>
  </si>
  <si>
    <t>Jan./Feb. 2025</t>
  </si>
  <si>
    <t>www.bkkgs.de</t>
  </si>
  <si>
    <t>Monatliche Optimierung</t>
  </si>
  <si>
    <t>Aufwand ca. in Std.</t>
  </si>
  <si>
    <t>1. Linkaufbau, Online-PR</t>
  </si>
  <si>
    <t>Textarbeiten (Gastartikel): Briefing und Recherche, Texterstellung für Gastbeitrag auf sanimio.de, Lektorat, Abstimmung und Vorbereitung zur Veröffentlichung (19.12., EXT, TKI)</t>
  </si>
  <si>
    <t>Textarbeiten (Gastartikel): Briefing und Recherche, Texterstellung für Gastbeitrag auf petra.de, Lektorat, Abstimmung und Vorbereitung zur Veröffentlichung (08.01., EXT, TKI)</t>
  </si>
  <si>
    <t>Textarbeiten (Gastartikel): Briefing und Recherche, Texterstellung für Gastbeitrag auf schulen.de, Lektorat, Abstimmung und Vorbereitung zur Veröffentlichung (27.01., EXT, TKI)</t>
  </si>
  <si>
    <t>Textarbeiten (Gastartikel): Briefing und Recherche, Texterstellung für Gastbeitrag auf operationauge.de, Lektorat, Abstimmung und Vorbereitung zur Veröffentlichung (29.01., EXT, TKI)</t>
  </si>
  <si>
    <t>Textarbeiten (Gastartikel): Briefing und Recherche, Texterstellung für Gastbeitrag auf bewusster-leben.de, Lektorat, Abstimmung und Vorbereitung zur Veröffentlichung (05.02., EXT, TKI)</t>
  </si>
  <si>
    <t>Textarbeiten (Gastartikel): Briefing und Recherche, Texterstellung für Gastbeitrag auf versicherungsbote.de, Lektorat, Abstimmung und Vorbereitung zur Veröffentlichung (17.-20., 26.02., EXT, TKI)</t>
  </si>
  <si>
    <t>Linkaufbau-Organisation und Abstimmung mit den Seitenbetreibern zur Veröffentlichung der vorbereiteten Gastartikel, Prüfung der Link-Integration, Abrechnung der Linkaufbau-Auslagen, Abstimmung und Dokumentation  (13.01.-20.02., TKI)</t>
  </si>
  <si>
    <t>https://www.sanimio.de/magazin/vorsorgeuntersuchungen-fruherkennung</t>
  </si>
  <si>
    <t>https://www.petra.de/health/gesundheit-im-digitalen-zeitalter-vorsorge-fuer-frauen-8490.html</t>
  </si>
  <si>
    <t>https://schulen.de/blog/news/gesund-im-schulalltag-595/</t>
  </si>
  <si>
    <t>https://www.operationauge.de/ratgeber/entspannungsuebungen-schutz-angestrengte-augen/</t>
  </si>
  <si>
    <t>https://www.bewusster-leben.de/in-der-ruhe-liegt-die-kraft-3/</t>
  </si>
  <si>
    <t>Link-Monitoring: Neue Verlinkungen aus Link-Tools der letzten 30 Tage überprüft, einzeln bewertet (monatlich ca. 0,25 Std., TKI)</t>
  </si>
  <si>
    <t>2. Redaktionelle Arbeiten (Gaby)</t>
  </si>
  <si>
    <t>Textoptimierung Unterseite "Service Beratung": Abstimmung und Textoptimierung für bestehende Unterseite, Überarbeitung des Bestandstexts, Ergänzungen und kl. Anpassungen, Lektorat und finale Bearbeitung, Versand an Kunden und Dokumentation (20.01., GBO)</t>
  </si>
  <si>
    <t>Finale Themenplanung 1. Halbjahr 2025 lt. Keyword-Clustern, Priorisierung und Anlegen der Tickets, Briefing organisieren, Abstimmung und Dokumentation (15.-23.01., GBO, TKI)</t>
  </si>
  <si>
    <t>Textarbeiten Arbeitgeber (46): Abstimmung, Briefing und inhaltliche Konzeption, Recherche und Zusammentragen der Informationen, Texterstellung, Keyword-Optimierung nach WDF*IDF, Ergänzungen und kl. Anpassungen, Lektorat und finale Bearbeitung, Versand an Kunden und Dokumentation (18.-25.02 GBO, TKI)</t>
  </si>
  <si>
    <t>Textergänzung Unterseite "Vorsorge": kurze Abstimmung, Texterstellung, Lektorat und finale Bearbeitung, Versand an Kunden und Dokumentation (25.-27.02., GBO, TKI)</t>
  </si>
  <si>
    <t>3. Website-Pflegearbeiten</t>
  </si>
  <si>
    <t>Einpflegen Stationäre Vorsorgekuren (31):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(24.01., DKI, TKI)</t>
  </si>
  <si>
    <t>Einpflegen Mutter-Vater-Kind-Kuren (31):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(14.-21.02., DKI, TKI)</t>
  </si>
  <si>
    <t>Alt-Attribute für Bilder in der TYPO3-Mediathek erstellen (direkt im System), kl. Anpassungen, Abstimmung und Dokumentation (18.-27.02., VKO, TKI)</t>
  </si>
  <si>
    <t>4. Technische Arbeiten, Onpage-Optimierung, UX-Optimierung</t>
  </si>
  <si>
    <t>Interne Abstimmung und gemeinsame Prüfung vorhandener Unterseiten, Anlegen der Entwürfe in Figma, UX-Optimierung der Startseite, Klickpfade definieren, Benutzerführung (Fokus Familien), Abstimmung und Dokumentation (18.-26.02., BKO)</t>
  </si>
  <si>
    <t>5. Google Ads, Monitoring</t>
  </si>
  <si>
    <t>Zusätzliches Tracking für Quiz im Gesundheitsjournal einrichten, Abstimmung und Dokumentation (06.-07.02., JST, TKI)</t>
  </si>
  <si>
    <t>Google Ads (Erweiterung): Abstimmung, Einrichtung weiterer Google Ads Kampagnen für Familien, neue Anzeigengruppen erstellt, passende Keywords hinzugefügt, Anzeigentexte für die verschiedenen Kampagnen erstellt, Anzeigenerweiterungen und Sitelinks erstellt, Zielgruppen sowie weiteres Bildmaterial fürs Remarketing hinzugefügt, Budgets angepasst, weitere kl. Anpassungen im Google Ads Konto, Dokumentation und Abstimmung (14.02., JST, TKI)</t>
  </si>
  <si>
    <t>Tracking-Parameter für Analytics, kurze Abstimmung (26.02., JST, TKI)</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</si>
  <si>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(01.01.-28.02., JST, DHE, TKI)</t>
  </si>
  <si>
    <t>6. Beratung &amp; Sonstiges</t>
  </si>
  <si>
    <t>Abstimmung Online-PR mit Carolin &amp; PR-Team, Asana-Ticket aktualisiert, interne Absprachen (15.01., TKI)</t>
  </si>
  <si>
    <t>Recherche Bildmotive, Durchsicht Lead-Magnet-Gestaltung, Feedback als Loom-Video, Abstimmung und Dokumentation (15.01., TKI, GBO)</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</si>
  <si>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</si>
  <si>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</si>
  <si>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</si>
  <si>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</si>
  <si>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Recherche und Durchsicht der Expertise sowie der Auswertungen aus den Vorjahren, Analyse der aktuellen Kennzahlen, der Website-Entwicklung und der bisherigen Ergebnisse mit diversen Online-Tools, Ausblick, Planung und Erstellung der nächsten Schritte, Dokumentation und Aufbereitung der Ergebnisse in einer Präsentation zur Jahresauswertung, Vorbereitung des Workshops (10.-27.02., TKI) // Noch in Arbeit, ca. 50 %</t>
  </si>
  <si>
    <t>Überprüfung der Maßnahmen und der technischen Anpassungen von move:elevator, siehe Ticket-Dokumentation – Ladezeit-Optimierung, Core Web Vitals, PDF im Index, W3C-Validierung, etc., Abstimmung und Dokumentation (13.01.-27.02., TKI)</t>
  </si>
  <si>
    <t>Durchsicht / Planung der aktuellen Textaufträge, interne Abstimmung, Asana-Tickets, Dokumentation (15.01.-27.02., GBO)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</si>
</sst>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rgb="FF000000"/>
      <name val="Arial"/>
      <family val="2"/>
    </font>
    <font>
      <sz val="10.5"/>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1" applyFont="1" applyBorder="1" applyAlignment="1">
      <alignment vertical="center" wrapText="1"/>
    </xf>
    <xf numFmtId="0" fontId="5" fillId="3" borderId="1" xfId="0" applyFont="1" applyFill="1" applyBorder="1" applyAlignment="1">
      <alignment vertical="top" wrapText="1"/>
    </xf>
    <xf numFmtId="0" fontId="8" fillId="0" borderId="1" xfId="0" applyFont="1" applyBorder="1" applyAlignment="1">
      <alignment horizontal="center" vertical="center" wrapText="1"/>
    </xf>
    <xf numFmtId="0" fontId="5" fillId="0" borderId="1" xfId="0" applyFont="1" applyBorder="1" applyAlignment="1">
      <alignment vertical="center"/>
    </xf>
    <xf numFmtId="0" fontId="5" fillId="3" borderId="1" xfId="0" applyFont="1" applyFill="1" applyBorder="1" applyAlignment="1">
      <alignment horizontal="center" vertical="center"/>
    </xf>
    <xf numFmtId="0" fontId="5" fillId="2" borderId="3" xfId="0" applyFont="1" applyFill="1" applyBorder="1" applyAlignment="1">
      <alignment vertical="center"/>
    </xf>
    <xf numFmtId="0" fontId="3" fillId="2" borderId="2"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7" fillId="0" borderId="0" xfId="1" applyFont="1"/>
    <xf numFmtId="0" fontId="9" fillId="0" borderId="0" xfId="0" applyFont="1"/>
    <xf numFmtId="0" fontId="5" fillId="0" borderId="1" xfId="0" applyFont="1" applyBorder="1" applyAlignment="1">
      <alignment horizontal="center" vertical="top"/>
    </xf>
    <xf numFmtId="0" fontId="5" fillId="0" borderId="1" xfId="0" applyFont="1" applyBorder="1" applyAlignment="1" applyProtection="1">
      <alignment vertical="top" wrapText="1"/>
      <protection locked="0"/>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animio.de/magazin/vorsorgeuntersuchungen-fruherkennung" TargetMode="External"/><Relationship Id="rId7" Type="http://schemas.openxmlformats.org/officeDocument/2006/relationships/hyperlink" Target="https://www.bewusster-leben.de/in-der-ruhe-liegt-die-kraft-3/"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operationauge.de/ratgeber/entspannungsuebungen-schutz-angestrengte-augen/" TargetMode="External"/><Relationship Id="rId5" Type="http://schemas.openxmlformats.org/officeDocument/2006/relationships/hyperlink" Target="https://schulen.de/blog/news/gesund-im-schulalltag-595/" TargetMode="External"/><Relationship Id="rId4" Type="http://schemas.openxmlformats.org/officeDocument/2006/relationships/hyperlink" Target="https://www.petra.de/health/gesundheit-im-digitalen-zeitalter-vorsorge-fuer-frauen-849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B3AB-322B-764E-998E-ABF036B3677D}">
  <dimension ref="A1:B1013"/>
  <sheetViews>
    <sheetView tabSelected="1" zoomScale="170" zoomScaleNormal="170" workbookViewId="0">
      <pane ySplit="4" topLeftCell="A44" activePane="bottomLeft" state="frozen"/>
      <selection pane="bottomLeft" activeCell="B54" sqref="B54"/>
    </sheetView>
  </sheetViews>
  <sheetFormatPr baseColWidth="10" defaultColWidth="11.1640625" defaultRowHeight="15" customHeight="1" x14ac:dyDescent="0.2"/>
  <cols>
    <col min="1" max="1" width="57.5" style="3" customWidth="1"/>
    <col min="2" max="2" width="23" style="3" customWidth="1"/>
    <col min="3" max="16384" width="11.1640625" style="3"/>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3</v>
      </c>
    </row>
    <row r="7" spans="1:2" ht="42" x14ac:dyDescent="0.2">
      <c r="A7" s="12" t="s">
        <v>7</v>
      </c>
      <c r="B7" s="13">
        <v>3</v>
      </c>
    </row>
    <row r="8" spans="1:2" ht="42" x14ac:dyDescent="0.2">
      <c r="A8" s="12" t="s">
        <v>8</v>
      </c>
      <c r="B8" s="13">
        <v>3</v>
      </c>
    </row>
    <row r="9" spans="1:2" ht="42" x14ac:dyDescent="0.2">
      <c r="A9" s="12" t="s">
        <v>9</v>
      </c>
      <c r="B9" s="13">
        <v>3</v>
      </c>
    </row>
    <row r="10" spans="1:2" ht="42" x14ac:dyDescent="0.2">
      <c r="A10" s="12" t="s">
        <v>10</v>
      </c>
      <c r="B10" s="13">
        <v>3</v>
      </c>
    </row>
    <row r="11" spans="1:2" ht="42" x14ac:dyDescent="0.2">
      <c r="A11" s="12" t="s">
        <v>11</v>
      </c>
      <c r="B11" s="13">
        <v>3.5</v>
      </c>
    </row>
    <row r="12" spans="1:2" s="6" customFormat="1" ht="56" x14ac:dyDescent="0.15">
      <c r="A12" s="12" t="s">
        <v>12</v>
      </c>
      <c r="B12" s="13">
        <v>4</v>
      </c>
    </row>
    <row r="13" spans="1:2" s="6" customFormat="1" ht="28" x14ac:dyDescent="0.15">
      <c r="A13" s="15" t="s">
        <v>13</v>
      </c>
      <c r="B13" s="13"/>
    </row>
    <row r="14" spans="1:2" s="6" customFormat="1" ht="28" x14ac:dyDescent="0.15">
      <c r="A14" s="15" t="s">
        <v>14</v>
      </c>
      <c r="B14" s="26"/>
    </row>
    <row r="15" spans="1:2" s="6" customFormat="1" ht="14" x14ac:dyDescent="0.15">
      <c r="A15" s="15" t="s">
        <v>15</v>
      </c>
      <c r="B15" s="13"/>
    </row>
    <row r="16" spans="1:2" s="6" customFormat="1" ht="28" x14ac:dyDescent="0.15">
      <c r="A16" s="15" t="s">
        <v>16</v>
      </c>
      <c r="B16" s="13"/>
    </row>
    <row r="17" spans="1:2" s="6" customFormat="1" ht="14" x14ac:dyDescent="0.15">
      <c r="A17" s="15" t="s">
        <v>17</v>
      </c>
      <c r="B17" s="13"/>
    </row>
    <row r="18" spans="1:2" s="6" customFormat="1" ht="27.75" customHeight="1" x14ac:dyDescent="0.15">
      <c r="A18" s="12" t="s">
        <v>18</v>
      </c>
      <c r="B18" s="13">
        <v>0.5</v>
      </c>
    </row>
    <row r="19" spans="1:2" s="6" customFormat="1" ht="15.75" customHeight="1" x14ac:dyDescent="0.15">
      <c r="A19" s="8" t="s">
        <v>4</v>
      </c>
      <c r="B19" s="9">
        <f>SUM(B6:B18)</f>
        <v>23</v>
      </c>
    </row>
    <row r="20" spans="1:2" s="6" customFormat="1" ht="15.75" customHeight="1" x14ac:dyDescent="0.15">
      <c r="A20" s="7"/>
      <c r="B20" s="13"/>
    </row>
    <row r="21" spans="1:2" s="6" customFormat="1" ht="15.75" customHeight="1" x14ac:dyDescent="0.15">
      <c r="A21" s="10" t="s">
        <v>19</v>
      </c>
      <c r="B21" s="13"/>
    </row>
    <row r="22" spans="1:2" s="6" customFormat="1" ht="56" x14ac:dyDescent="0.15">
      <c r="A22" s="27" t="s">
        <v>20</v>
      </c>
      <c r="B22" s="13">
        <v>0.5</v>
      </c>
    </row>
    <row r="23" spans="1:2" s="6" customFormat="1" ht="42" x14ac:dyDescent="0.15">
      <c r="A23" s="12" t="s">
        <v>21</v>
      </c>
      <c r="B23" s="14">
        <v>1.5</v>
      </c>
    </row>
    <row r="24" spans="1:2" s="6" customFormat="1" ht="70" x14ac:dyDescent="0.15">
      <c r="A24" s="12" t="s">
        <v>22</v>
      </c>
      <c r="B24" s="14">
        <v>7.5</v>
      </c>
    </row>
    <row r="25" spans="1:2" s="6" customFormat="1" ht="42" x14ac:dyDescent="0.15">
      <c r="A25" s="27" t="s">
        <v>23</v>
      </c>
      <c r="B25" s="17">
        <v>0.5</v>
      </c>
    </row>
    <row r="26" spans="1:2" s="6" customFormat="1" ht="28" x14ac:dyDescent="0.15">
      <c r="A26" s="12" t="s">
        <v>44</v>
      </c>
      <c r="B26" s="14">
        <v>1.25</v>
      </c>
    </row>
    <row r="27" spans="1:2" s="6" customFormat="1" ht="15.75" customHeight="1" x14ac:dyDescent="0.15">
      <c r="A27" s="8" t="s">
        <v>4</v>
      </c>
      <c r="B27" s="9">
        <f>SUM(B22:B26)</f>
        <v>11.25</v>
      </c>
    </row>
    <row r="28" spans="1:2" s="6" customFormat="1" ht="15.75" customHeight="1" x14ac:dyDescent="0.15">
      <c r="A28" s="18"/>
      <c r="B28" s="13"/>
    </row>
    <row r="29" spans="1:2" s="6" customFormat="1" ht="15.75" customHeight="1" x14ac:dyDescent="0.15">
      <c r="A29" s="10" t="s">
        <v>24</v>
      </c>
      <c r="B29" s="13"/>
    </row>
    <row r="30" spans="1:2" s="6" customFormat="1" ht="84" x14ac:dyDescent="0.15">
      <c r="A30" s="12" t="s">
        <v>25</v>
      </c>
      <c r="B30" s="13">
        <v>3</v>
      </c>
    </row>
    <row r="31" spans="1:2" s="6" customFormat="1" ht="84" x14ac:dyDescent="0.15">
      <c r="A31" s="12" t="s">
        <v>26</v>
      </c>
      <c r="B31" s="13">
        <v>3.5</v>
      </c>
    </row>
    <row r="32" spans="1:2" s="6" customFormat="1" ht="42" x14ac:dyDescent="0.15">
      <c r="A32" s="12" t="s">
        <v>27</v>
      </c>
      <c r="B32" s="13">
        <v>4</v>
      </c>
    </row>
    <row r="33" spans="1:2" s="6" customFormat="1" ht="15.75" customHeight="1" x14ac:dyDescent="0.15">
      <c r="A33" s="8" t="s">
        <v>4</v>
      </c>
      <c r="B33" s="9">
        <f>SUM(B30:B32)</f>
        <v>10.5</v>
      </c>
    </row>
    <row r="34" spans="1:2" s="6" customFormat="1" ht="15.75" customHeight="1" x14ac:dyDescent="0.15">
      <c r="A34" s="18"/>
      <c r="B34" s="13"/>
    </row>
    <row r="35" spans="1:2" s="6" customFormat="1" ht="15.75" customHeight="1" x14ac:dyDescent="0.15">
      <c r="A35" s="10" t="s">
        <v>28</v>
      </c>
      <c r="B35" s="13"/>
    </row>
    <row r="36" spans="1:2" s="6" customFormat="1" ht="56" x14ac:dyDescent="0.15">
      <c r="A36" s="12" t="s">
        <v>29</v>
      </c>
      <c r="B36" s="13">
        <v>6.5</v>
      </c>
    </row>
    <row r="37" spans="1:2" s="6" customFormat="1" ht="56" x14ac:dyDescent="0.15">
      <c r="A37" s="12" t="s">
        <v>43</v>
      </c>
      <c r="B37" s="13">
        <v>2.5</v>
      </c>
    </row>
    <row r="38" spans="1:2" s="6" customFormat="1" ht="15.75" customHeight="1" x14ac:dyDescent="0.15">
      <c r="A38" s="8" t="s">
        <v>4</v>
      </c>
      <c r="B38" s="9">
        <f>SUM(B36:B37)</f>
        <v>9</v>
      </c>
    </row>
    <row r="39" spans="1:2" s="6" customFormat="1" ht="15.75" customHeight="1" x14ac:dyDescent="0.15">
      <c r="A39" s="18"/>
      <c r="B39" s="13"/>
    </row>
    <row r="40" spans="1:2" s="6" customFormat="1" ht="15.75" customHeight="1" x14ac:dyDescent="0.15">
      <c r="A40" s="10" t="s">
        <v>30</v>
      </c>
      <c r="B40" s="13"/>
    </row>
    <row r="41" spans="1:2" s="6" customFormat="1" ht="28" x14ac:dyDescent="0.15">
      <c r="A41" s="12" t="s">
        <v>31</v>
      </c>
      <c r="B41" s="13">
        <v>1</v>
      </c>
    </row>
    <row r="42" spans="1:2" s="6" customFormat="1" ht="98" x14ac:dyDescent="0.15">
      <c r="A42" s="12" t="s">
        <v>32</v>
      </c>
      <c r="B42" s="13">
        <v>3</v>
      </c>
    </row>
    <row r="43" spans="1:2" s="6" customFormat="1" ht="14" x14ac:dyDescent="0.15">
      <c r="A43" s="12" t="s">
        <v>33</v>
      </c>
      <c r="B43" s="13">
        <v>0.25</v>
      </c>
    </row>
    <row r="44" spans="1:2" s="6" customFormat="1" ht="67" customHeight="1" x14ac:dyDescent="0.15">
      <c r="A44" s="12" t="s">
        <v>34</v>
      </c>
      <c r="B44" s="13">
        <v>6.25</v>
      </c>
    </row>
    <row r="45" spans="1:2" s="6" customFormat="1" ht="15.75" customHeight="1" x14ac:dyDescent="0.15">
      <c r="A45" s="8" t="s">
        <v>4</v>
      </c>
      <c r="B45" s="9">
        <f>SUM(B41:B44)</f>
        <v>10.5</v>
      </c>
    </row>
    <row r="46" spans="1:2" s="6" customFormat="1" ht="15.75" customHeight="1" x14ac:dyDescent="0.15">
      <c r="A46" s="18"/>
      <c r="B46" s="13"/>
    </row>
    <row r="47" spans="1:2" s="6" customFormat="1" ht="15.75" customHeight="1" x14ac:dyDescent="0.15">
      <c r="A47" s="10" t="s">
        <v>35</v>
      </c>
      <c r="B47" s="13"/>
    </row>
    <row r="48" spans="1:2" s="6" customFormat="1" ht="28" x14ac:dyDescent="0.15">
      <c r="A48" s="16" t="s">
        <v>36</v>
      </c>
      <c r="B48" s="19">
        <v>0.25</v>
      </c>
    </row>
    <row r="49" spans="1:2" s="6" customFormat="1" ht="32" customHeight="1" x14ac:dyDescent="0.15">
      <c r="A49" s="16" t="s">
        <v>37</v>
      </c>
      <c r="B49" s="13">
        <v>1</v>
      </c>
    </row>
    <row r="50" spans="1:2" s="6" customFormat="1" ht="98" x14ac:dyDescent="0.15">
      <c r="A50" s="12" t="s">
        <v>42</v>
      </c>
      <c r="B50" s="13">
        <v>4</v>
      </c>
    </row>
    <row r="51" spans="1:2" s="6" customFormat="1" ht="28" x14ac:dyDescent="0.15">
      <c r="A51" s="12" t="s">
        <v>38</v>
      </c>
      <c r="B51" s="13">
        <v>4.5</v>
      </c>
    </row>
    <row r="52" spans="1:2" s="6" customFormat="1" ht="15.75" customHeight="1" x14ac:dyDescent="0.15">
      <c r="A52" s="8" t="s">
        <v>4</v>
      </c>
      <c r="B52" s="9">
        <f>SUM(B48:B51)</f>
        <v>9.75</v>
      </c>
    </row>
    <row r="53" spans="1:2" s="6" customFormat="1" ht="15" customHeight="1" x14ac:dyDescent="0.15">
      <c r="A53" s="18"/>
      <c r="B53" s="13"/>
    </row>
    <row r="54" spans="1:2" s="6" customFormat="1" ht="16.5" customHeight="1" thickBot="1" x14ac:dyDescent="0.2">
      <c r="A54" s="20" t="s">
        <v>39</v>
      </c>
      <c r="B54" s="21">
        <f>SUM(B52+B45+B38+B33+B27+B19)</f>
        <v>74</v>
      </c>
    </row>
    <row r="55" spans="1:2" s="6" customFormat="1" ht="16.5" customHeight="1" thickBot="1" x14ac:dyDescent="0.2">
      <c r="A55" s="22" t="s">
        <v>40</v>
      </c>
      <c r="B55" s="23">
        <v>9</v>
      </c>
    </row>
    <row r="56" spans="1:2" ht="15.75" customHeight="1" x14ac:dyDescent="0.2">
      <c r="A56" s="6"/>
      <c r="B56" s="6"/>
    </row>
    <row r="57" spans="1:2" s="25" customFormat="1" ht="15.75" customHeight="1" x14ac:dyDescent="0.15">
      <c r="A57" s="24" t="s">
        <v>41</v>
      </c>
    </row>
    <row r="58" spans="1:2" ht="15.75" customHeight="1" x14ac:dyDescent="0.2">
      <c r="A58" s="6"/>
      <c r="B58" s="6"/>
    </row>
    <row r="59" spans="1:2" ht="15.75" customHeight="1" x14ac:dyDescent="0.2">
      <c r="A59" s="6"/>
      <c r="B59" s="6"/>
    </row>
    <row r="60" spans="1:2" ht="15.75" customHeight="1" x14ac:dyDescent="0.2">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6"/>
      <c r="B118" s="6"/>
    </row>
    <row r="119" spans="1:2" ht="15.75" customHeight="1" x14ac:dyDescent="0.2">
      <c r="A119" s="6"/>
      <c r="B119" s="6"/>
    </row>
    <row r="120" spans="1:2" ht="15.75" customHeight="1" x14ac:dyDescent="0.2"/>
    <row r="121" spans="1:2" ht="15.75" customHeight="1" x14ac:dyDescent="0.2"/>
    <row r="122" spans="1:2" ht="15.75" customHeight="1" x14ac:dyDescent="0.2"/>
    <row r="123" spans="1:2" ht="15.75" customHeight="1" x14ac:dyDescent="0.2"/>
    <row r="124" spans="1:2" ht="15.75" customHeight="1" x14ac:dyDescent="0.2"/>
    <row r="125" spans="1:2" ht="15.75" customHeight="1" x14ac:dyDescent="0.2"/>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hyperlinks>
    <hyperlink ref="A2" r:id="rId1" xr:uid="{C50C0813-E818-514C-9639-1B531F423377}"/>
    <hyperlink ref="A57" r:id="rId2" display="https://www.thoxan.com/kontakt/" xr:uid="{F97A921C-E7D1-6C43-A683-32CEFCDF15FE}"/>
    <hyperlink ref="A13" r:id="rId3" xr:uid="{98D5D664-6C23-6D46-9128-C6555288CB6A}"/>
    <hyperlink ref="A14" r:id="rId4" xr:uid="{CDEEC5E1-3841-D341-96B4-AB50906C705D}"/>
    <hyperlink ref="A15" r:id="rId5" xr:uid="{626D8C63-1DE6-8B4B-B65C-110FAB7D9D03}"/>
    <hyperlink ref="A16" r:id="rId6" xr:uid="{CF68E4F2-E32F-B049-8B88-11E01608A02B}"/>
    <hyperlink ref="A17" r:id="rId7" xr:uid="{5026E145-57C8-2048-8BF0-5F9E6BF6C2C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2025-02-27T19:07:28Z</dcterms:created>
  <dcterms:modified xsi:type="dcterms:W3CDTF">2025-02-27T19:13:13Z</dcterms:modified>
</cp:coreProperties>
</file>