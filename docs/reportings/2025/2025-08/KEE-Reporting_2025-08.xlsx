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5-08/"/>
    </mc:Choice>
  </mc:AlternateContent>
  <xr:revisionPtr revIDLastSave="0" documentId="13_ncr:1_{71F27122-01B1-A549-AB90-D4E563FB5BE3}" xr6:coauthVersionLast="47" xr6:coauthVersionMax="47" xr10:uidLastSave="{00000000-0000-0000-0000-000000000000}"/>
  <bookViews>
    <workbookView xWindow="58440" yWindow="500" windowWidth="41020" windowHeight="27000" xr2:uid="{048DB699-D3A5-2045-B72E-3ACC9669A756}"/>
  </bookViews>
  <sheets>
    <sheet name="KE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8" i="1" l="1"/>
  <c r="B63" i="1"/>
  <c r="B56" i="1"/>
  <c r="B48" i="1"/>
  <c r="B38" i="1"/>
  <c r="B33" i="1"/>
  <c r="B24" i="1"/>
  <c r="B17" i="1"/>
  <c r="B7" i="1"/>
  <c r="B70" i="1" l="1"/>
</calcChain>
</file>

<file path=xl/sharedStrings.xml><?xml version="1.0" encoding="utf-8"?>
<sst xmlns="http://schemas.openxmlformats.org/spreadsheetml/2006/main" count="64" uniqueCount="55">
  <si>
    <t>keeunit GmbH</t>
  </si>
  <si>
    <t>Juli-August 2025</t>
  </si>
  <si>
    <t>https://keelearning.de</t>
  </si>
  <si>
    <t>Monatliche Optimierung</t>
  </si>
  <si>
    <t>Aufwand ca. in Std.</t>
  </si>
  <si>
    <t>1. Linkaufbau, Linkabbau, Online-PR</t>
  </si>
  <si>
    <t>---</t>
  </si>
  <si>
    <t>2. Redaktionelle Arbeiten</t>
  </si>
  <si>
    <t>Textarbeiten Marketing-Automation vom Lead-Magnet zur Online-Demo: Abstimmung, Briefing und inhaltliche Konzeption, Recherche und Zusammentragen der Informationen, Texterstellung, Keyword-Optimierung nach WDF*IDF, Ergänzungen und kl. Anpassungen, Lektorat und finale Bearbeitung, Versand an Kunden und Dokumentation (07.-10.07., GBO, TKI)</t>
  </si>
  <si>
    <t>Finale Anpassungen für E-Mailstrecke zur Marketing-Automation, Abstimmung und Dokumentation (01.-04.08., GBO)</t>
  </si>
  <si>
    <t>Kompakte Textoptimierung Unterseite E-Learning Plattform: Abstimmung, Briefing und Textoptimierung für bestehende Inhalte, Überarbeitung des Bestandstexts und Texterweiterung, Keyword-Optimierung nach WDF*IDF, Ergänzungen und kl. Anpassungen, Lektorat und finale Bearbeitung, Versand an Kunden und Dokumentation (16.07., GBO, TKI)</t>
  </si>
  <si>
    <t>Finale Anpassungen am Text E-Learning-Plattform, Abstimmung zum Einpflegen auf der Website, kl. Anpassungen und Dokumentation (07.08., GBO)</t>
  </si>
  <si>
    <t>Kompakte Textoptimierung Unterseite E-Learning-Software: Abstimmung, Briefing und Textoptimierung für bestehende Inhalte, Überarbeitung des Bestandstexts und Texterweiterung, Keyword-Optimierung nach WDF*IDF, Ergänzungen und kl. Anpassungen, Lektorat und finale Bearbeitung, Versand an Kunden und Dokumentation (15.-16.07., GBO, TKI)</t>
  </si>
  <si>
    <t>Finale Anpassungen am Text E-Learning-Software, Abstimmung zum Einpflegen auf der Website, kl. Anpassungen und Dokumentation (07.-13.08., GBO)</t>
  </si>
  <si>
    <t>Kompakte Textoptimierung Unterseite Learnmanagementsoftware: Abstimmung, Briefing und Textoptimierung für bestehende Inhalte, Überarbeitung des Bestandstexts und Texterweiterung, Keyword-Optimierung nach WDF*IDF, Ergänzungen und kl. Anpassungen, Lektorat und finale Bearbeitung, Versand an Kunden und Dokumentation (XX.-XX.08., GBO, TKI)</t>
  </si>
  <si>
    <t>3. Website-Pflege, Content Management</t>
  </si>
  <si>
    <t>Einpflegen E-Learning-Plattform: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(07.08., RBO, TKI)</t>
  </si>
  <si>
    <t>Finalisierung und Online-Stellung der Unterseite "E-Learning Plattform": Interne Abstimmung, Dokumentation (11.08., RBO)</t>
  </si>
  <si>
    <t>Löschen der Unterseite /guide, 301-Weiterleitung, kurze Prüfung Papierkorb, Abstimmung und Dokumentation (11.08., TKI)</t>
  </si>
  <si>
    <t>Einpflegen E-Learning-Software: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(12.-14.08., RBO, TKI)</t>
  </si>
  <si>
    <t>4. Technische Arbeiten, UX-Optimierung, ggf. Programmierung</t>
  </si>
  <si>
    <t>Kl. Anpassungen Autorentool-Integration, Abstimmung (01.08., BKO)</t>
  </si>
  <si>
    <t>Reparatur zusätzliche Funktionen, Abstimmung wegen Tabellen-Integration auf der Preise-Seite, Umsetzung für mobile Darstellung, Einbau mit zwei Alternativen, Anpassung HTML-Code in Tabellen-Format, Tooltips einrichten, Abstimmung und Dokumentation (11.-12.08., BKO, TKI)</t>
  </si>
  <si>
    <t>Weitere Anpassungen auf der Preiseseite nach Kundenwunsch, Tabelle formatieren, Support, Abstimmung und Dokumentation (13.-14.08., BKO)</t>
  </si>
  <si>
    <t>Abstimmung, LLMs.txt integrieren (15.08., BKO)</t>
  </si>
  <si>
    <t>Icon bei Bing-Suche wird nicht angezeigt (18.08., BKO) / o. Berechnung</t>
  </si>
  <si>
    <t>Finaler Layout-Check der Preise-Seite, kl. CSS-Anpassungen, Abstimmung und Dokumentation (20.08., BKO)</t>
  </si>
  <si>
    <t>5. Onpage-Optimierung, Keyword-Optimierung, etc.</t>
  </si>
  <si>
    <t>Wiederholte Prüfungen und kl. Anpassungen (Indexierung, Deindexierung) in der Search Console zur Bereinigung des Suchindexes, Abstimmung und Dokumentation (04.07., 18.08., TKI)</t>
  </si>
  <si>
    <t xml:space="preserve">404-Fehler (fortlaufend): Durchsicht neuer 404-Fehler im Redirection-Plugin, Sortieren und Löschen von unerheblichen 404-Fehlermeldungen und Weiterleitungsmustern, Anpassen der internen Verlinkung, Setzen von 301-Weiterleitungen für wichtige Unterseiten und Seitenelemente, Übergabe von möglichen 404-Fehlermustern an die Programmierung, kl. Anpassungen an der Website, Dokumentation und Abstimmung (18.08., TKI) </t>
  </si>
  <si>
    <t>6. Grafikdesign, Creatives, Corporate Design</t>
  </si>
  <si>
    <t>Neue Canva-Creative-Vorlagen für neue Kampagnen-Ideen entworfen, inkl. Briefing vorab, Abstimmung und Dokumentation (07.-09.07., RBO, TKI)</t>
  </si>
  <si>
    <t>Creatives auf Basis der neuen Vorlagen für Workbook entworfen, inkl. Workbook-Mockups, Finale Creatives (Workbook) für Social Ads fertiggestellt, Reinzeichnung &amp; Adaption für Story-Format, Abstimmung und Dokumentation (09.-14.07., RBO, TKI)</t>
  </si>
  <si>
    <t>Finalisierung der Creatives für erste Hook (-80% unabhängig vom Standort), Reinzeichnung &amp; Adaption für Story-Format (22.07., RBO)</t>
  </si>
  <si>
    <t>Bildmaterial für weitere Hooks recherchiert/generiert und Creatives überarbeitet (24.07., RBO)</t>
  </si>
  <si>
    <t>Finalisierung/Reinzeichnung weiterer Hooks nach Freigabe und Adaption für Story-Format (31.07., RBO)</t>
  </si>
  <si>
    <t>Bildmaterial für weitere Hooks recherchiert/generiert und Creatives überarbeitet (11.08., RBO)</t>
  </si>
  <si>
    <t>Finalisierung/Reinzeichnung der letzten Hooks nach Freigabe und Adaption für Story-Format, Abstimmung und Dokumentation (12.08., RBO, TKI)</t>
  </si>
  <si>
    <t>Google Ads (Monitoring Juli 2025): Fortlaufendes Monitoring der eingerichteten Kampagnen und Anzeigengruppen sowie des Remarketings, Anlegen weiterer Anzeigengruppen mit div. Keywords lt. Cluster-Auswahl, Aktualisierung von Anzeigentexten, Gebote anpassen, Ergänzung und Ausschluss von passenden / unpassenden Keywords, kl. Anpassungen für optimale Kontozustandsbewertung, allgemeine Durchsicht und Auswertung nach Bedarf, Dokumentation und Abstimmung (01.-31.07., JST, TKI)</t>
  </si>
  <si>
    <t>Kurze Recherche und Abstimmung wegen Wettbewerber-Ausschluss bei Youtube (15.08., JST, TKI)</t>
  </si>
  <si>
    <t>Interne Abstimmung wegen Google Ads Prüfung und Erfahrungsaustausch im Themenbereich "E-Learning", Zugänge für Benjamin Juling freischalten, Prüfung des Google Ads Kontos und der Kampagnen, erste Abstimmung der Ergebnisse, Aufbereiten als Präsentation, weitere Detailprüfung, Abstimmung Benjamin und Jonas wegen Umsetzung, finale Vorbereitung für Präsentation (15.07.-21.08., BJU, TKI)</t>
  </si>
  <si>
    <t>Virtuelle Abstimmung zur Google Ads Werbung und zum Conversion-Tracking, Präsentation der Ergebnisse, Klärung von div. Fragen 13-14:15 Uhr, anschließend Dokumentation und interne Abstimmung für die nächsten Maßnahmen (22.08., BJU, TKI)</t>
  </si>
  <si>
    <t>Google Ads (Monitoring August 2025): Fortlaufendes Monitoring der eingerichteten Kampagnen und Anzeigengruppen sowie des Remarketings, Anlegen weiterer Anzeigengruppen mit div. Keywords lt. Cluster-Auswahl, Aktualisierung von Anzeigentexten, Gebote anpassen, Ergänzung und Ausschluss von passenden / unpassenden Keywords, kl. Anpassungen für optimale Kontozustandsbewertung, allgemeine Durchsicht und Auswertung nach Bedarf, Dokumentation und Abstimmung (01.-31.08., JST, TKI)</t>
  </si>
  <si>
    <t>Meta Ads (Monitoring Juli 2025): Monatliches Monitoring der Werbe-kampagnen bei Facebook und Instagram, Anpassen der Werbeanzeigen, Verfeinern der Zielgruppe, kl. Arbeiten am Werbekonto, Abstimmung und Dokumentation (01.-31.07., JST, TKI)</t>
  </si>
  <si>
    <t>Meta Ads (Monitoring August 2025): Monatliches Monitoring der Werbe-kampagnen bei Facebook und Instagram, Anpassen der Werbeanzeigen, Verfeinern der Zielgruppe, kl. Arbeiten am Werbekonto, Abstimmung und Dokumentation (01.-21.08., JST, TKI)</t>
  </si>
  <si>
    <t>LinkedIn-Kampagnen einrichten mit vier Phasen (Awareness, Consideration, Conversion, Remarketing), ggf. weitere Creatives auf Basis der Vorlagen ausarbeiten, Anzeigentexte erstellen, Anzeigengruppen und Anzeigenformate sowie Zielgruppen einrichten, kl. Anpassungen am Konto, Abstimmung und Dokumentation (01.-20.08., JST, DHE, TKI)</t>
  </si>
  <si>
    <t>LinkedIn Ads (Monitoring August 2025): Monatliches Monitoring der Werbe-kampagnen bei LinkedIn, Anpassen der Werbeanzeigen, Verfeinern der Zielgruppe, kl. Arbeiten am Werbekonto, Abstimmung und Dokumentation (18.-22.08., JST, TKI)</t>
  </si>
  <si>
    <t>Vorbereitung und virtuelle Abstimmung zur weitere Zusammenarbeit, Vorgehensweise Seitenumbau und Priorisierung, Klärung von div. Fragen 10-10.30 Uhr, anschließend Dokumentation und interne Abstimmung für die nächsten Maßnahmen (13.08., TKI)</t>
  </si>
  <si>
    <t>Organisation, Planung, Überwachung und Steuerung der Aufgaben und Ressourcen (pro Tagessatz ca. 0,5 Std., TKI)</t>
  </si>
  <si>
    <t>Aufwand ca. insgesamt in Std.</t>
  </si>
  <si>
    <t>Aufwand in Tagessätzen</t>
  </si>
  <si>
    <t>Noch Rückfragen? Kontakt zur Thoxan Communications GmbH unter https://www.thoxan.com/kontakt</t>
  </si>
  <si>
    <t>7. Google Ads (Monitoring, Kampagnen umbauen, etc.)</t>
  </si>
  <si>
    <t>8. Social Ads (Monitoring, Kampagnen, etc.)</t>
  </si>
  <si>
    <t>9. Beratung &amp; Sonstiges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</si>
</sst>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font>
    <font>
      <b/>
      <sz val="16"/>
      <color theme="1"/>
      <name val="Arial"/>
      <family val="2"/>
    </font>
    <font>
      <sz val="12"/>
      <color theme="1"/>
      <name val="Arial"/>
      <family val="2"/>
    </font>
    <font>
      <u/>
      <sz val="12"/>
      <color theme="10"/>
      <name val="Calibri"/>
      <family val="2"/>
    </font>
    <font>
      <u/>
      <sz val="10"/>
      <color theme="10"/>
      <name val="Arial"/>
      <family val="2"/>
    </font>
    <font>
      <sz val="10"/>
      <color theme="1"/>
      <name val="Arial"/>
      <family val="2"/>
    </font>
    <font>
      <b/>
      <sz val="10"/>
      <color theme="1"/>
      <name val="Arial"/>
      <family val="2"/>
    </font>
    <font>
      <sz val="10"/>
      <color theme="1"/>
      <name val="Calibri"/>
      <family val="2"/>
    </font>
    <font>
      <sz val="10"/>
      <color theme="3"/>
      <name val="Arial"/>
      <family val="2"/>
    </font>
    <font>
      <sz val="10"/>
      <color theme="0" tint="-0.249977111117893"/>
      <name val="Arial"/>
      <family val="2"/>
    </font>
    <font>
      <sz val="10"/>
      <color rgb="FF808080"/>
      <name val="Arial"/>
      <family val="2"/>
    </font>
    <font>
      <b/>
      <sz val="10"/>
      <color theme="0" tint="-0.249977111117893"/>
      <name val="Arial"/>
      <family val="2"/>
    </font>
  </fonts>
  <fills count="3">
    <fill>
      <patternFill patternType="none"/>
    </fill>
    <fill>
      <patternFill patternType="gray125"/>
    </fill>
    <fill>
      <patternFill patternType="solid">
        <fgColor rgb="FFD8D8D8"/>
        <bgColor rgb="FFD8D8D8"/>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s>
  <cellStyleXfs count="2">
    <xf numFmtId="0" fontId="0" fillId="0" borderId="0"/>
    <xf numFmtId="0" fontId="3" fillId="0" borderId="0" applyNumberFormat="0" applyFill="0" applyBorder="0" applyAlignment="0" applyProtection="0"/>
  </cellStyleXfs>
  <cellXfs count="39">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49" fontId="4" fillId="0" borderId="0" xfId="1" applyNumberFormat="1" applyFont="1" applyAlignment="1">
      <alignment horizontal="left"/>
    </xf>
    <xf numFmtId="49" fontId="5" fillId="0" borderId="0" xfId="0" applyNumberFormat="1" applyFont="1" applyAlignment="1">
      <alignment horizontal="right"/>
    </xf>
    <xf numFmtId="49" fontId="5" fillId="0" borderId="0" xfId="0" applyNumberFormat="1" applyFont="1" applyAlignment="1">
      <alignment horizontal="left"/>
    </xf>
    <xf numFmtId="0" fontId="6" fillId="0" borderId="0" xfId="0" applyFont="1"/>
    <xf numFmtId="0" fontId="6" fillId="0" borderId="1" xfId="0" applyFont="1" applyBorder="1"/>
    <xf numFmtId="0" fontId="6" fillId="2" borderId="1" xfId="0" applyFont="1" applyFill="1" applyBorder="1" applyAlignment="1">
      <alignment horizontal="center" vertical="center"/>
    </xf>
    <xf numFmtId="0" fontId="5" fillId="0" borderId="0" xfId="0" applyFont="1"/>
    <xf numFmtId="0" fontId="7" fillId="0" borderId="0" xfId="0" applyFont="1"/>
    <xf numFmtId="0" fontId="6" fillId="0" borderId="1" xfId="0" applyFont="1" applyBorder="1" applyAlignment="1">
      <alignment horizontal="center" vertical="center"/>
    </xf>
    <xf numFmtId="0" fontId="5" fillId="0" borderId="1" xfId="0" quotePrefix="1" applyFont="1" applyBorder="1" applyAlignment="1">
      <alignment vertical="top" wrapText="1"/>
    </xf>
    <xf numFmtId="0" fontId="5" fillId="0" borderId="1" xfId="0" applyFont="1" applyBorder="1" applyAlignment="1">
      <alignment horizontal="center" vertical="center"/>
    </xf>
    <xf numFmtId="0" fontId="5" fillId="2" borderId="2" xfId="0" applyFont="1" applyFill="1" applyBorder="1" applyAlignment="1">
      <alignment vertical="center"/>
    </xf>
    <xf numFmtId="0" fontId="5" fillId="2" borderId="2" xfId="0" applyFont="1" applyFill="1" applyBorder="1" applyAlignment="1">
      <alignment horizontal="center" vertical="center"/>
    </xf>
    <xf numFmtId="0" fontId="5" fillId="0" borderId="3" xfId="0" applyFont="1" applyBorder="1"/>
    <xf numFmtId="0" fontId="5" fillId="0" borderId="2" xfId="0" applyFont="1" applyBorder="1" applyAlignment="1">
      <alignment horizontal="center" vertical="center"/>
    </xf>
    <xf numFmtId="0" fontId="6" fillId="0" borderId="3" xfId="0" applyFont="1" applyBorder="1"/>
    <xf numFmtId="0" fontId="5" fillId="0" borderId="3" xfId="0" applyFont="1" applyBorder="1" applyAlignment="1">
      <alignment horizontal="center" vertical="center"/>
    </xf>
    <xf numFmtId="0" fontId="8" fillId="0" borderId="1" xfId="0" quotePrefix="1" applyFont="1" applyBorder="1" applyAlignment="1">
      <alignment vertical="top" wrapText="1"/>
    </xf>
    <xf numFmtId="0" fontId="8" fillId="0" borderId="2" xfId="0" applyFont="1" applyBorder="1" applyAlignment="1">
      <alignment horizontal="center" vertical="center"/>
    </xf>
    <xf numFmtId="0" fontId="5" fillId="0" borderId="3" xfId="0" applyFont="1" applyBorder="1" applyAlignment="1">
      <alignment vertical="center"/>
    </xf>
    <xf numFmtId="0" fontId="5" fillId="0" borderId="1" xfId="0" applyFont="1" applyBorder="1" applyAlignment="1">
      <alignment vertical="top" wrapText="1"/>
    </xf>
    <xf numFmtId="0" fontId="9" fillId="0" borderId="0" xfId="0" applyFont="1"/>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5" fillId="0" borderId="4" xfId="0" applyFont="1" applyBorder="1" applyAlignment="1">
      <alignment vertical="center"/>
    </xf>
    <xf numFmtId="0" fontId="5" fillId="0" borderId="4" xfId="0" applyFont="1" applyBorder="1" applyAlignment="1">
      <alignment horizontal="center" vertical="center"/>
    </xf>
    <xf numFmtId="0" fontId="6" fillId="0" borderId="1" xfId="0" applyFont="1" applyBorder="1" applyAlignment="1">
      <alignment vertical="center"/>
    </xf>
    <xf numFmtId="0" fontId="5" fillId="0" borderId="1" xfId="0" applyFont="1" applyBorder="1" applyAlignment="1">
      <alignment vertical="center"/>
    </xf>
    <xf numFmtId="0" fontId="6" fillId="0" borderId="1" xfId="0" applyFont="1" applyBorder="1" applyAlignment="1">
      <alignment wrapText="1"/>
    </xf>
    <xf numFmtId="0" fontId="5" fillId="0" borderId="5" xfId="0" applyFont="1" applyBorder="1" applyAlignment="1">
      <alignment horizontal="center" vertical="center"/>
    </xf>
    <xf numFmtId="0" fontId="5" fillId="2" borderId="6" xfId="0" applyFont="1" applyFill="1" applyBorder="1" applyAlignment="1">
      <alignment vertical="center"/>
    </xf>
    <xf numFmtId="0" fontId="6" fillId="2" borderId="6" xfId="0" applyFont="1" applyFill="1" applyBorder="1" applyAlignment="1">
      <alignment horizontal="center" vertical="center"/>
    </xf>
    <xf numFmtId="0" fontId="10" fillId="0" borderId="0" xfId="0" applyFont="1"/>
    <xf numFmtId="0" fontId="11" fillId="0" borderId="0" xfId="0" quotePrefix="1" applyFont="1"/>
    <xf numFmtId="0" fontId="9" fillId="0" borderId="0" xfId="0" quotePrefix="1"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keelearning.de/" TargetMode="External"/><Relationship Id="rId1" Type="http://schemas.openxmlformats.org/officeDocument/2006/relationships/hyperlink" Target="https://www.thoxan.com/kontak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26C92-F5D6-444C-BF25-F5EBB1524B68}">
  <dimension ref="A1:B1025"/>
  <sheetViews>
    <sheetView tabSelected="1" zoomScale="150" zoomScaleNormal="150" workbookViewId="0">
      <pane ySplit="4" topLeftCell="A55" activePane="bottomLeft" state="frozen"/>
      <selection pane="bottomLeft" activeCell="A66" sqref="A66"/>
    </sheetView>
  </sheetViews>
  <sheetFormatPr baseColWidth="10" defaultColWidth="11.1640625" defaultRowHeight="15" customHeight="1" x14ac:dyDescent="0.2"/>
  <cols>
    <col min="1" max="1" width="57.5" customWidth="1"/>
    <col min="2" max="2" width="25.33203125" customWidth="1"/>
  </cols>
  <sheetData>
    <row r="1" spans="1:2" ht="21" customHeight="1" x14ac:dyDescent="0.2">
      <c r="A1" s="1" t="s">
        <v>0</v>
      </c>
      <c r="B1" s="2" t="s">
        <v>1</v>
      </c>
    </row>
    <row r="2" spans="1:2" ht="15.75" customHeight="1" x14ac:dyDescent="0.2">
      <c r="A2" s="4" t="s">
        <v>2</v>
      </c>
      <c r="B2" s="5" t="s">
        <v>3</v>
      </c>
    </row>
    <row r="3" spans="1:2" ht="15.75" customHeight="1" x14ac:dyDescent="0.2">
      <c r="A3" s="7"/>
      <c r="B3" s="6"/>
    </row>
    <row r="4" spans="1:2" s="11" customFormat="1" ht="15.75" customHeight="1" x14ac:dyDescent="0.2">
      <c r="A4" s="8"/>
      <c r="B4" s="9" t="s">
        <v>4</v>
      </c>
    </row>
    <row r="5" spans="1:2" s="11" customFormat="1" ht="15.75" customHeight="1" x14ac:dyDescent="0.2">
      <c r="A5" s="8" t="s">
        <v>5</v>
      </c>
      <c r="B5" s="12"/>
    </row>
    <row r="6" spans="1:2" s="11" customFormat="1" ht="14" x14ac:dyDescent="0.2">
      <c r="A6" s="13" t="s">
        <v>6</v>
      </c>
      <c r="B6" s="14"/>
    </row>
    <row r="7" spans="1:2" s="11" customFormat="1" ht="15.75" customHeight="1" x14ac:dyDescent="0.2">
      <c r="A7" s="15" t="s">
        <v>4</v>
      </c>
      <c r="B7" s="16">
        <f>SUM(B6:B6)</f>
        <v>0</v>
      </c>
    </row>
    <row r="8" spans="1:2" s="11" customFormat="1" ht="15.75" customHeight="1" x14ac:dyDescent="0.2">
      <c r="A8" s="17"/>
      <c r="B8" s="18"/>
    </row>
    <row r="9" spans="1:2" s="11" customFormat="1" ht="15.75" customHeight="1" x14ac:dyDescent="0.2">
      <c r="A9" s="19" t="s">
        <v>7</v>
      </c>
      <c r="B9" s="20"/>
    </row>
    <row r="10" spans="1:2" s="11" customFormat="1" ht="69" customHeight="1" x14ac:dyDescent="0.2">
      <c r="A10" s="13" t="s">
        <v>8</v>
      </c>
      <c r="B10" s="14">
        <v>8.25</v>
      </c>
    </row>
    <row r="11" spans="1:2" s="11" customFormat="1" ht="28" x14ac:dyDescent="0.2">
      <c r="A11" s="13" t="s">
        <v>9</v>
      </c>
      <c r="B11" s="14">
        <v>1.25</v>
      </c>
    </row>
    <row r="12" spans="1:2" s="11" customFormat="1" ht="84" x14ac:dyDescent="0.2">
      <c r="A12" s="13" t="s">
        <v>10</v>
      </c>
      <c r="B12" s="14">
        <v>4</v>
      </c>
    </row>
    <row r="13" spans="1:2" s="11" customFormat="1" ht="42" x14ac:dyDescent="0.2">
      <c r="A13" s="13" t="s">
        <v>11</v>
      </c>
      <c r="B13" s="14">
        <v>0.5</v>
      </c>
    </row>
    <row r="14" spans="1:2" s="11" customFormat="1" ht="69" customHeight="1" x14ac:dyDescent="0.2">
      <c r="A14" s="13" t="s">
        <v>12</v>
      </c>
      <c r="B14" s="14">
        <v>5.75</v>
      </c>
    </row>
    <row r="15" spans="1:2" s="11" customFormat="1" ht="42" x14ac:dyDescent="0.2">
      <c r="A15" s="13" t="s">
        <v>13</v>
      </c>
      <c r="B15" s="14">
        <v>0.5</v>
      </c>
    </row>
    <row r="16" spans="1:2" s="11" customFormat="1" ht="84" x14ac:dyDescent="0.2">
      <c r="A16" s="21" t="s">
        <v>14</v>
      </c>
      <c r="B16" s="22">
        <v>7.75</v>
      </c>
    </row>
    <row r="17" spans="1:2" s="11" customFormat="1" ht="15.75" customHeight="1" x14ac:dyDescent="0.2">
      <c r="A17" s="15" t="s">
        <v>4</v>
      </c>
      <c r="B17" s="16">
        <f>SUM(B10:B16)</f>
        <v>28</v>
      </c>
    </row>
    <row r="18" spans="1:2" s="11" customFormat="1" ht="15.75" customHeight="1" x14ac:dyDescent="0.2">
      <c r="A18" s="23"/>
      <c r="B18" s="20"/>
    </row>
    <row r="19" spans="1:2" s="11" customFormat="1" ht="15.75" customHeight="1" x14ac:dyDescent="0.2">
      <c r="A19" s="19" t="s">
        <v>15</v>
      </c>
      <c r="B19" s="20"/>
    </row>
    <row r="20" spans="1:2" s="11" customFormat="1" ht="84" x14ac:dyDescent="0.2">
      <c r="A20" s="24" t="s">
        <v>16</v>
      </c>
      <c r="B20" s="14">
        <v>2</v>
      </c>
    </row>
    <row r="21" spans="1:2" s="11" customFormat="1" ht="28" x14ac:dyDescent="0.2">
      <c r="A21" s="24" t="s">
        <v>17</v>
      </c>
      <c r="B21" s="14">
        <v>0.75</v>
      </c>
    </row>
    <row r="22" spans="1:2" s="11" customFormat="1" ht="28" x14ac:dyDescent="0.2">
      <c r="A22" s="24" t="s">
        <v>18</v>
      </c>
      <c r="B22" s="14">
        <v>0.25</v>
      </c>
    </row>
    <row r="23" spans="1:2" s="11" customFormat="1" ht="84" x14ac:dyDescent="0.2">
      <c r="A23" s="24" t="s">
        <v>19</v>
      </c>
      <c r="B23" s="14">
        <v>2.25</v>
      </c>
    </row>
    <row r="24" spans="1:2" s="11" customFormat="1" ht="15.75" customHeight="1" x14ac:dyDescent="0.2">
      <c r="A24" s="26" t="s">
        <v>4</v>
      </c>
      <c r="B24" s="27">
        <f>SUM(B20:B23)</f>
        <v>5.25</v>
      </c>
    </row>
    <row r="25" spans="1:2" s="11" customFormat="1" ht="15.75" customHeight="1" x14ac:dyDescent="0.2">
      <c r="A25" s="28"/>
      <c r="B25" s="29"/>
    </row>
    <row r="26" spans="1:2" s="10" customFormat="1" ht="15.75" customHeight="1" x14ac:dyDescent="0.15">
      <c r="A26" s="30" t="s">
        <v>20</v>
      </c>
      <c r="B26" s="14"/>
    </row>
    <row r="27" spans="1:2" s="11" customFormat="1" ht="14" x14ac:dyDescent="0.2">
      <c r="A27" s="13" t="s">
        <v>21</v>
      </c>
      <c r="B27" s="14">
        <v>0.25</v>
      </c>
    </row>
    <row r="28" spans="1:2" s="11" customFormat="1" ht="70" x14ac:dyDescent="0.2">
      <c r="A28" s="13" t="s">
        <v>22</v>
      </c>
      <c r="B28" s="14">
        <v>1.75</v>
      </c>
    </row>
    <row r="29" spans="1:2" s="11" customFormat="1" ht="42" x14ac:dyDescent="0.2">
      <c r="A29" s="13" t="s">
        <v>23</v>
      </c>
      <c r="B29" s="14">
        <v>1</v>
      </c>
    </row>
    <row r="30" spans="1:2" s="11" customFormat="1" ht="14" x14ac:dyDescent="0.2">
      <c r="A30" s="24" t="s">
        <v>24</v>
      </c>
      <c r="B30" s="14">
        <v>0.5</v>
      </c>
    </row>
    <row r="31" spans="1:2" s="11" customFormat="1" ht="28" x14ac:dyDescent="0.2">
      <c r="A31" s="24" t="s">
        <v>25</v>
      </c>
      <c r="B31" s="14">
        <v>0</v>
      </c>
    </row>
    <row r="32" spans="1:2" s="11" customFormat="1" ht="28" x14ac:dyDescent="0.2">
      <c r="A32" s="13" t="s">
        <v>26</v>
      </c>
      <c r="B32" s="14">
        <v>0.25</v>
      </c>
    </row>
    <row r="33" spans="1:2" s="11" customFormat="1" ht="15.75" customHeight="1" x14ac:dyDescent="0.2">
      <c r="A33" s="26" t="s">
        <v>4</v>
      </c>
      <c r="B33" s="27">
        <f>SUM(B27:B32)</f>
        <v>3.75</v>
      </c>
    </row>
    <row r="34" spans="1:2" s="11" customFormat="1" ht="15.75" customHeight="1" x14ac:dyDescent="0.2">
      <c r="A34" s="31"/>
      <c r="B34" s="14"/>
    </row>
    <row r="35" spans="1:2" s="10" customFormat="1" ht="15.75" customHeight="1" x14ac:dyDescent="0.15">
      <c r="A35" s="30" t="s">
        <v>27</v>
      </c>
      <c r="B35" s="14"/>
    </row>
    <row r="36" spans="1:2" s="11" customFormat="1" ht="42" x14ac:dyDescent="0.2">
      <c r="A36" s="13" t="s">
        <v>28</v>
      </c>
      <c r="B36" s="14">
        <v>0.75</v>
      </c>
    </row>
    <row r="37" spans="1:2" s="11" customFormat="1" ht="98" x14ac:dyDescent="0.2">
      <c r="A37" s="13" t="s">
        <v>29</v>
      </c>
      <c r="B37" s="14">
        <v>1.25</v>
      </c>
    </row>
    <row r="38" spans="1:2" s="11" customFormat="1" ht="15.75" customHeight="1" x14ac:dyDescent="0.2">
      <c r="A38" s="26" t="s">
        <v>4</v>
      </c>
      <c r="B38" s="27">
        <f>SUM(B36:B37)</f>
        <v>2</v>
      </c>
    </row>
    <row r="39" spans="1:2" s="11" customFormat="1" ht="15.75" customHeight="1" x14ac:dyDescent="0.2">
      <c r="A39" s="31"/>
      <c r="B39" s="14"/>
    </row>
    <row r="40" spans="1:2" s="10" customFormat="1" ht="15.75" customHeight="1" x14ac:dyDescent="0.15">
      <c r="A40" s="30" t="s">
        <v>30</v>
      </c>
      <c r="B40" s="14"/>
    </row>
    <row r="41" spans="1:2" s="11" customFormat="1" ht="42" x14ac:dyDescent="0.2">
      <c r="A41" s="13" t="s">
        <v>31</v>
      </c>
      <c r="B41" s="14">
        <v>3.75</v>
      </c>
    </row>
    <row r="42" spans="1:2" s="11" customFormat="1" ht="56" x14ac:dyDescent="0.2">
      <c r="A42" s="13" t="s">
        <v>32</v>
      </c>
      <c r="B42" s="14">
        <v>2.75</v>
      </c>
    </row>
    <row r="43" spans="1:2" s="11" customFormat="1" ht="28" x14ac:dyDescent="0.2">
      <c r="A43" s="13" t="s">
        <v>33</v>
      </c>
      <c r="B43" s="14">
        <v>1</v>
      </c>
    </row>
    <row r="44" spans="1:2" s="11" customFormat="1" ht="28" x14ac:dyDescent="0.2">
      <c r="A44" s="13" t="s">
        <v>34</v>
      </c>
      <c r="B44" s="14">
        <v>3.25</v>
      </c>
    </row>
    <row r="45" spans="1:2" s="11" customFormat="1" ht="28" x14ac:dyDescent="0.2">
      <c r="A45" s="13" t="s">
        <v>35</v>
      </c>
      <c r="B45" s="14">
        <v>1</v>
      </c>
    </row>
    <row r="46" spans="1:2" s="11" customFormat="1" ht="28" x14ac:dyDescent="0.2">
      <c r="A46" s="13" t="s">
        <v>36</v>
      </c>
      <c r="B46" s="14">
        <v>2.25</v>
      </c>
    </row>
    <row r="47" spans="1:2" s="11" customFormat="1" ht="42" x14ac:dyDescent="0.2">
      <c r="A47" s="13" t="s">
        <v>37</v>
      </c>
      <c r="B47" s="14">
        <v>0.75</v>
      </c>
    </row>
    <row r="48" spans="1:2" s="11" customFormat="1" ht="15.75" customHeight="1" x14ac:dyDescent="0.2">
      <c r="A48" s="26" t="s">
        <v>4</v>
      </c>
      <c r="B48" s="27">
        <f>SUM(B40:B47)</f>
        <v>14.75</v>
      </c>
    </row>
    <row r="49" spans="1:2" s="11" customFormat="1" ht="15.75" customHeight="1" x14ac:dyDescent="0.2">
      <c r="A49" s="31"/>
      <c r="B49" s="14"/>
    </row>
    <row r="50" spans="1:2" s="11" customFormat="1" ht="15.75" customHeight="1" x14ac:dyDescent="0.2">
      <c r="A50" s="8" t="s">
        <v>52</v>
      </c>
      <c r="B50" s="14"/>
    </row>
    <row r="51" spans="1:2" s="11" customFormat="1" ht="112" x14ac:dyDescent="0.2">
      <c r="A51" s="24" t="s">
        <v>38</v>
      </c>
      <c r="B51" s="14">
        <v>4</v>
      </c>
    </row>
    <row r="52" spans="1:2" s="11" customFormat="1" ht="28" x14ac:dyDescent="0.2">
      <c r="A52" s="24" t="s">
        <v>39</v>
      </c>
      <c r="B52" s="14">
        <v>0.5</v>
      </c>
    </row>
    <row r="53" spans="1:2" s="11" customFormat="1" ht="98" x14ac:dyDescent="0.2">
      <c r="A53" s="24" t="s">
        <v>40</v>
      </c>
      <c r="B53" s="14">
        <v>4.5</v>
      </c>
    </row>
    <row r="54" spans="1:2" s="11" customFormat="1" ht="56" x14ac:dyDescent="0.2">
      <c r="A54" s="24" t="s">
        <v>41</v>
      </c>
      <c r="B54" s="14">
        <v>2.5</v>
      </c>
    </row>
    <row r="55" spans="1:2" s="11" customFormat="1" ht="112" x14ac:dyDescent="0.2">
      <c r="A55" s="24" t="s">
        <v>42</v>
      </c>
      <c r="B55" s="14">
        <v>2.5</v>
      </c>
    </row>
    <row r="56" spans="1:2" s="11" customFormat="1" ht="15.75" customHeight="1" x14ac:dyDescent="0.2">
      <c r="A56" s="26" t="s">
        <v>4</v>
      </c>
      <c r="B56" s="27">
        <f>SUM(B51:B55)</f>
        <v>14</v>
      </c>
    </row>
    <row r="57" spans="1:2" s="11" customFormat="1" ht="15.75" customHeight="1" x14ac:dyDescent="0.2">
      <c r="A57" s="32"/>
      <c r="B57" s="14"/>
    </row>
    <row r="58" spans="1:2" s="11" customFormat="1" ht="15.75" customHeight="1" x14ac:dyDescent="0.2">
      <c r="A58" s="8" t="s">
        <v>53</v>
      </c>
      <c r="B58" s="14"/>
    </row>
    <row r="59" spans="1:2" s="11" customFormat="1" ht="56" x14ac:dyDescent="0.2">
      <c r="A59" s="24" t="s">
        <v>43</v>
      </c>
      <c r="B59" s="14">
        <v>6.5</v>
      </c>
    </row>
    <row r="60" spans="1:2" s="11" customFormat="1" ht="56" x14ac:dyDescent="0.2">
      <c r="A60" s="24" t="s">
        <v>44</v>
      </c>
      <c r="B60" s="14">
        <v>2.5</v>
      </c>
    </row>
    <row r="61" spans="1:2" s="11" customFormat="1" ht="84" x14ac:dyDescent="0.2">
      <c r="A61" s="24" t="s">
        <v>45</v>
      </c>
      <c r="B61" s="14">
        <v>8.5</v>
      </c>
    </row>
    <row r="62" spans="1:2" s="11" customFormat="1" ht="56" x14ac:dyDescent="0.2">
      <c r="A62" s="24" t="s">
        <v>46</v>
      </c>
      <c r="B62" s="14">
        <v>0.5</v>
      </c>
    </row>
    <row r="63" spans="1:2" s="11" customFormat="1" ht="15.75" customHeight="1" x14ac:dyDescent="0.2">
      <c r="A63" s="26" t="s">
        <v>4</v>
      </c>
      <c r="B63" s="27">
        <f>SUM(B59:B62)</f>
        <v>18</v>
      </c>
    </row>
    <row r="64" spans="1:2" s="11" customFormat="1" ht="15.75" customHeight="1" x14ac:dyDescent="0.2">
      <c r="A64" s="32"/>
      <c r="B64" s="14"/>
    </row>
    <row r="65" spans="1:2" s="11" customFormat="1" ht="15.75" customHeight="1" x14ac:dyDescent="0.2">
      <c r="A65" s="8" t="s">
        <v>54</v>
      </c>
      <c r="B65" s="14"/>
    </row>
    <row r="66" spans="1:2" s="11" customFormat="1" ht="56" x14ac:dyDescent="0.2">
      <c r="A66" s="24" t="s">
        <v>47</v>
      </c>
      <c r="B66" s="18">
        <v>0.75</v>
      </c>
    </row>
    <row r="67" spans="1:2" s="11" customFormat="1" ht="28" x14ac:dyDescent="0.2">
      <c r="A67" s="24" t="s">
        <v>48</v>
      </c>
      <c r="B67" s="14">
        <v>5</v>
      </c>
    </row>
    <row r="68" spans="1:2" s="11" customFormat="1" ht="15.75" customHeight="1" x14ac:dyDescent="0.2">
      <c r="A68" s="26" t="s">
        <v>4</v>
      </c>
      <c r="B68" s="27">
        <f>SUM(B66:B67)</f>
        <v>5.75</v>
      </c>
    </row>
    <row r="69" spans="1:2" s="11" customFormat="1" ht="15.75" customHeight="1" x14ac:dyDescent="0.2">
      <c r="A69" s="28"/>
      <c r="B69" s="33"/>
    </row>
    <row r="70" spans="1:2" s="11" customFormat="1" ht="16.5" customHeight="1" thickBot="1" x14ac:dyDescent="0.25">
      <c r="A70" s="34" t="s">
        <v>49</v>
      </c>
      <c r="B70" s="35">
        <f>SUM(B7+B17+B24+B33+B38+B48+B56+B63+B68)</f>
        <v>91.5</v>
      </c>
    </row>
    <row r="71" spans="1:2" s="11" customFormat="1" ht="16.5" customHeight="1" thickBot="1" x14ac:dyDescent="0.25">
      <c r="A71" s="34" t="s">
        <v>50</v>
      </c>
      <c r="B71" s="35">
        <v>10.5</v>
      </c>
    </row>
    <row r="72" spans="1:2" ht="15.75" customHeight="1" x14ac:dyDescent="0.2">
      <c r="A72" s="10"/>
      <c r="B72" s="10"/>
    </row>
    <row r="73" spans="1:2" ht="15.75" customHeight="1" x14ac:dyDescent="0.2">
      <c r="A73" s="36" t="s">
        <v>51</v>
      </c>
      <c r="B73" s="10"/>
    </row>
    <row r="74" spans="1:2" ht="15.75" customHeight="1" x14ac:dyDescent="0.2">
      <c r="A74" s="10"/>
      <c r="B74" s="10"/>
    </row>
    <row r="75" spans="1:2" ht="15.75" customHeight="1" x14ac:dyDescent="0.2">
      <c r="A75" s="10"/>
      <c r="B75" s="25"/>
    </row>
    <row r="76" spans="1:2" ht="15.75" customHeight="1" x14ac:dyDescent="0.2">
      <c r="A76" s="10"/>
      <c r="B76" s="25"/>
    </row>
    <row r="77" spans="1:2" ht="15.75" customHeight="1" x14ac:dyDescent="0.2">
      <c r="A77" s="10"/>
      <c r="B77" s="25"/>
    </row>
    <row r="78" spans="1:2" ht="15.75" customHeight="1" x14ac:dyDescent="0.2">
      <c r="A78" s="10"/>
      <c r="B78" s="37"/>
    </row>
    <row r="79" spans="1:2" ht="15.75" customHeight="1" x14ac:dyDescent="0.2">
      <c r="A79" s="10"/>
      <c r="B79" s="38"/>
    </row>
    <row r="80" spans="1:2" ht="15.75" customHeight="1" x14ac:dyDescent="0.2">
      <c r="A80" s="10"/>
      <c r="B80" s="10"/>
    </row>
    <row r="81" spans="1:2" ht="15.75" customHeight="1" x14ac:dyDescent="0.2">
      <c r="A81" s="10"/>
      <c r="B81" s="10"/>
    </row>
    <row r="82" spans="1:2" ht="15.75" customHeight="1" x14ac:dyDescent="0.2">
      <c r="A82" s="10"/>
      <c r="B82" s="10"/>
    </row>
    <row r="83" spans="1:2" ht="15.75" customHeight="1" x14ac:dyDescent="0.2">
      <c r="A83" s="10"/>
      <c r="B83" s="10"/>
    </row>
    <row r="84" spans="1:2" ht="15.75" customHeight="1" x14ac:dyDescent="0.2">
      <c r="A84" s="10"/>
      <c r="B84" s="10"/>
    </row>
    <row r="85" spans="1:2" ht="15.75" customHeight="1" x14ac:dyDescent="0.2">
      <c r="A85" s="10"/>
      <c r="B85" s="10"/>
    </row>
    <row r="86" spans="1:2" ht="15.75" customHeight="1" x14ac:dyDescent="0.2">
      <c r="A86" s="10"/>
      <c r="B86" s="10"/>
    </row>
    <row r="87" spans="1:2" ht="15.75" customHeight="1" x14ac:dyDescent="0.2">
      <c r="A87" s="10"/>
      <c r="B87" s="10"/>
    </row>
    <row r="88" spans="1:2" ht="15.75" customHeight="1" x14ac:dyDescent="0.2">
      <c r="A88" s="10"/>
      <c r="B88" s="10"/>
    </row>
    <row r="89" spans="1:2" ht="15.75" customHeight="1" x14ac:dyDescent="0.2">
      <c r="A89" s="10"/>
      <c r="B89" s="10"/>
    </row>
    <row r="90" spans="1:2" ht="15.75" customHeight="1" x14ac:dyDescent="0.2">
      <c r="A90" s="10"/>
      <c r="B90" s="10"/>
    </row>
    <row r="91" spans="1:2" ht="15.75" customHeight="1" x14ac:dyDescent="0.2">
      <c r="A91" s="10"/>
      <c r="B91" s="10"/>
    </row>
    <row r="92" spans="1:2" ht="15.75" customHeight="1" x14ac:dyDescent="0.2">
      <c r="A92" s="10"/>
      <c r="B92" s="10"/>
    </row>
    <row r="93" spans="1:2" ht="15.75" customHeight="1" x14ac:dyDescent="0.2">
      <c r="A93" s="10"/>
      <c r="B93" s="10"/>
    </row>
    <row r="94" spans="1:2" ht="15.75" customHeight="1" x14ac:dyDescent="0.2">
      <c r="A94" s="10"/>
      <c r="B94" s="10"/>
    </row>
    <row r="95" spans="1:2" ht="15.75" customHeight="1" x14ac:dyDescent="0.2">
      <c r="A95" s="10"/>
      <c r="B95" s="10"/>
    </row>
    <row r="96" spans="1:2" ht="15.75" customHeight="1" x14ac:dyDescent="0.2">
      <c r="A96" s="10"/>
      <c r="B96" s="10"/>
    </row>
    <row r="97" spans="1:2" ht="15.75" customHeight="1" x14ac:dyDescent="0.2">
      <c r="A97" s="10"/>
      <c r="B97" s="10"/>
    </row>
    <row r="98" spans="1:2" ht="15.75" customHeight="1" x14ac:dyDescent="0.2">
      <c r="A98" s="10"/>
      <c r="B98" s="10"/>
    </row>
    <row r="99" spans="1:2" ht="15.75" customHeight="1" x14ac:dyDescent="0.2">
      <c r="A99" s="10"/>
      <c r="B99" s="10"/>
    </row>
    <row r="100" spans="1:2" ht="15.75" customHeight="1" x14ac:dyDescent="0.2">
      <c r="A100" s="10"/>
      <c r="B100" s="10"/>
    </row>
    <row r="101" spans="1:2" ht="15.75" customHeight="1" x14ac:dyDescent="0.2">
      <c r="A101" s="10"/>
      <c r="B101" s="10"/>
    </row>
    <row r="102" spans="1:2" ht="15.75" customHeight="1" x14ac:dyDescent="0.2">
      <c r="A102" s="10"/>
      <c r="B102" s="10"/>
    </row>
    <row r="103" spans="1:2" ht="15.75" customHeight="1" x14ac:dyDescent="0.2">
      <c r="A103" s="10"/>
      <c r="B103" s="10"/>
    </row>
    <row r="104" spans="1:2" ht="15.75" customHeight="1" x14ac:dyDescent="0.2">
      <c r="A104" s="10"/>
      <c r="B104" s="10"/>
    </row>
    <row r="105" spans="1:2" ht="15.75" customHeight="1" x14ac:dyDescent="0.2">
      <c r="A105" s="10"/>
      <c r="B105" s="10"/>
    </row>
    <row r="106" spans="1:2" ht="15.75" customHeight="1" x14ac:dyDescent="0.2">
      <c r="A106" s="10"/>
      <c r="B106" s="10"/>
    </row>
    <row r="107" spans="1:2" ht="15.75" customHeight="1" x14ac:dyDescent="0.2">
      <c r="A107" s="10"/>
      <c r="B107" s="10"/>
    </row>
    <row r="108" spans="1:2" ht="15.75" customHeight="1" x14ac:dyDescent="0.2">
      <c r="A108" s="10"/>
      <c r="B108" s="10"/>
    </row>
    <row r="109" spans="1:2" ht="15.75" customHeight="1" x14ac:dyDescent="0.2">
      <c r="A109" s="10"/>
      <c r="B109" s="10"/>
    </row>
    <row r="110" spans="1:2" ht="15.75" customHeight="1" x14ac:dyDescent="0.2">
      <c r="A110" s="10"/>
      <c r="B110" s="10"/>
    </row>
    <row r="111" spans="1:2" ht="15.75" customHeight="1" x14ac:dyDescent="0.2">
      <c r="A111" s="10"/>
      <c r="B111" s="10"/>
    </row>
    <row r="112" spans="1:2" ht="15.75" customHeight="1" x14ac:dyDescent="0.2">
      <c r="A112" s="10"/>
      <c r="B112" s="10"/>
    </row>
    <row r="113" spans="1:2" ht="15.75" customHeight="1" x14ac:dyDescent="0.2">
      <c r="A113" s="10"/>
      <c r="B113" s="10"/>
    </row>
    <row r="114" spans="1:2" ht="15.75" customHeight="1" x14ac:dyDescent="0.2">
      <c r="A114" s="10"/>
      <c r="B114" s="10"/>
    </row>
    <row r="115" spans="1:2" ht="15.75" customHeight="1" x14ac:dyDescent="0.2">
      <c r="A115" s="10"/>
      <c r="B115" s="10"/>
    </row>
    <row r="116" spans="1:2" ht="15.75" customHeight="1" x14ac:dyDescent="0.2">
      <c r="A116" s="10"/>
      <c r="B116" s="10"/>
    </row>
    <row r="117" spans="1:2" ht="15.75" customHeight="1" x14ac:dyDescent="0.2">
      <c r="A117" s="10"/>
      <c r="B117" s="10"/>
    </row>
    <row r="118" spans="1:2" ht="15.75" customHeight="1" x14ac:dyDescent="0.2">
      <c r="A118" s="10"/>
      <c r="B118" s="10"/>
    </row>
    <row r="119" spans="1:2" ht="15.75" customHeight="1" x14ac:dyDescent="0.2">
      <c r="A119" s="10"/>
      <c r="B119" s="10"/>
    </row>
    <row r="120" spans="1:2" ht="15.75" customHeight="1" x14ac:dyDescent="0.2">
      <c r="A120" s="10"/>
      <c r="B120" s="10"/>
    </row>
    <row r="121" spans="1:2" ht="15.75" customHeight="1" x14ac:dyDescent="0.2">
      <c r="A121" s="10"/>
      <c r="B121" s="10"/>
    </row>
    <row r="122" spans="1:2" ht="15.75" customHeight="1" x14ac:dyDescent="0.2">
      <c r="A122" s="10"/>
      <c r="B122" s="10"/>
    </row>
    <row r="123" spans="1:2" ht="15.75" customHeight="1" x14ac:dyDescent="0.2">
      <c r="A123" s="10"/>
      <c r="B123" s="10"/>
    </row>
    <row r="124" spans="1:2" ht="15.75" customHeight="1" x14ac:dyDescent="0.2">
      <c r="A124" s="10"/>
      <c r="B124" s="10"/>
    </row>
    <row r="125" spans="1:2" ht="15.75" customHeight="1" x14ac:dyDescent="0.2">
      <c r="A125" s="10"/>
      <c r="B125" s="10"/>
    </row>
    <row r="126" spans="1:2" ht="15.75" customHeight="1" x14ac:dyDescent="0.2">
      <c r="A126" s="10"/>
      <c r="B126" s="10"/>
    </row>
    <row r="127" spans="1:2" ht="15.75" customHeight="1" x14ac:dyDescent="0.2">
      <c r="A127" s="10"/>
      <c r="B127" s="10"/>
    </row>
    <row r="128" spans="1:2" ht="15.75" customHeight="1" x14ac:dyDescent="0.2">
      <c r="A128" s="10"/>
      <c r="B128" s="10"/>
    </row>
    <row r="129" spans="1:2" ht="15.75" customHeight="1" x14ac:dyDescent="0.2">
      <c r="A129" s="10"/>
      <c r="B129" s="10"/>
    </row>
    <row r="130" spans="1:2" ht="15.75" customHeight="1" x14ac:dyDescent="0.2">
      <c r="A130" s="10"/>
      <c r="B130" s="10"/>
    </row>
    <row r="131" spans="1:2" ht="15.75" customHeight="1" x14ac:dyDescent="0.2">
      <c r="A131" s="10"/>
      <c r="B131" s="10"/>
    </row>
    <row r="132" spans="1:2" ht="15.75" customHeight="1" x14ac:dyDescent="0.2">
      <c r="A132" s="10"/>
      <c r="B132" s="10"/>
    </row>
    <row r="133" spans="1:2" ht="15.75" customHeight="1" x14ac:dyDescent="0.2">
      <c r="A133" s="10"/>
      <c r="B133" s="10"/>
    </row>
    <row r="134" spans="1:2" ht="15.75" customHeight="1" x14ac:dyDescent="0.2">
      <c r="A134" s="10"/>
      <c r="B134" s="10"/>
    </row>
    <row r="135" spans="1:2" ht="15.75" customHeight="1" x14ac:dyDescent="0.2">
      <c r="A135" s="10"/>
      <c r="B135" s="10"/>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row r="999" spans="1:2" ht="15.75" customHeight="1" x14ac:dyDescent="0.2">
      <c r="A999" s="3"/>
      <c r="B999" s="3"/>
    </row>
    <row r="1000" spans="1:2" ht="15.75" customHeight="1" x14ac:dyDescent="0.2">
      <c r="A1000" s="3"/>
      <c r="B1000" s="3"/>
    </row>
    <row r="1001" spans="1:2" ht="15.75" customHeight="1" x14ac:dyDescent="0.2">
      <c r="A1001" s="3"/>
      <c r="B1001" s="3"/>
    </row>
    <row r="1002" spans="1:2" ht="15.75" customHeight="1" x14ac:dyDescent="0.2">
      <c r="A1002" s="3"/>
      <c r="B1002" s="3"/>
    </row>
    <row r="1003" spans="1:2" ht="15.75" customHeight="1" x14ac:dyDescent="0.2">
      <c r="A1003" s="3"/>
      <c r="B1003" s="3"/>
    </row>
    <row r="1004" spans="1:2" ht="15.75" customHeight="1" x14ac:dyDescent="0.2">
      <c r="A1004" s="3"/>
      <c r="B1004" s="3"/>
    </row>
    <row r="1005" spans="1:2" ht="15.75" customHeight="1" x14ac:dyDescent="0.2">
      <c r="A1005" s="3"/>
      <c r="B1005" s="3"/>
    </row>
    <row r="1006" spans="1:2" ht="15.75" customHeight="1" x14ac:dyDescent="0.2">
      <c r="A1006" s="3"/>
      <c r="B1006" s="3"/>
    </row>
    <row r="1007" spans="1:2" ht="15.75" customHeight="1" x14ac:dyDescent="0.2">
      <c r="A1007" s="3"/>
      <c r="B1007" s="3"/>
    </row>
    <row r="1008" spans="1:2" ht="15.75" customHeight="1" x14ac:dyDescent="0.2">
      <c r="A1008" s="3"/>
      <c r="B1008" s="3"/>
    </row>
    <row r="1009" spans="1:2" ht="15.75" customHeight="1" x14ac:dyDescent="0.2">
      <c r="A1009" s="3"/>
      <c r="B1009" s="3"/>
    </row>
    <row r="1010" spans="1:2" ht="15.75" customHeight="1" x14ac:dyDescent="0.2">
      <c r="A1010" s="3"/>
      <c r="B1010" s="3"/>
    </row>
    <row r="1011" spans="1:2" ht="15.75" customHeight="1" x14ac:dyDescent="0.2">
      <c r="A1011" s="3"/>
      <c r="B1011" s="3"/>
    </row>
    <row r="1012" spans="1:2" ht="15.75" customHeight="1" x14ac:dyDescent="0.2">
      <c r="A1012" s="3"/>
      <c r="B1012" s="3"/>
    </row>
    <row r="1013" spans="1:2" ht="15.75" customHeight="1" x14ac:dyDescent="0.2">
      <c r="A1013" s="3"/>
      <c r="B1013" s="3"/>
    </row>
    <row r="1014" spans="1:2" ht="15.75" customHeight="1" x14ac:dyDescent="0.2">
      <c r="A1014" s="3"/>
      <c r="B1014" s="3"/>
    </row>
    <row r="1015" spans="1:2" ht="15.75" customHeight="1" x14ac:dyDescent="0.2">
      <c r="A1015" s="3"/>
      <c r="B1015" s="3"/>
    </row>
    <row r="1016" spans="1:2" ht="15.75" customHeight="1" x14ac:dyDescent="0.2">
      <c r="A1016" s="3"/>
      <c r="B1016" s="3"/>
    </row>
    <row r="1017" spans="1:2" ht="15.75" customHeight="1" x14ac:dyDescent="0.2">
      <c r="A1017" s="3"/>
      <c r="B1017" s="3"/>
    </row>
    <row r="1018" spans="1:2" ht="15.75" customHeight="1" x14ac:dyDescent="0.2">
      <c r="A1018" s="3"/>
      <c r="B1018" s="3"/>
    </row>
    <row r="1019" spans="1:2" ht="15.75" customHeight="1" x14ac:dyDescent="0.2">
      <c r="A1019" s="3"/>
      <c r="B1019" s="3"/>
    </row>
    <row r="1020" spans="1:2" ht="15.75" customHeight="1" x14ac:dyDescent="0.2">
      <c r="A1020" s="3"/>
      <c r="B1020" s="3"/>
    </row>
    <row r="1021" spans="1:2" ht="15.75" customHeight="1" x14ac:dyDescent="0.2">
      <c r="A1021" s="3"/>
      <c r="B1021" s="3"/>
    </row>
    <row r="1022" spans="1:2" ht="15.75" customHeight="1" x14ac:dyDescent="0.2">
      <c r="A1022" s="3"/>
      <c r="B1022" s="3"/>
    </row>
    <row r="1023" spans="1:2" ht="15.75" customHeight="1" x14ac:dyDescent="0.2">
      <c r="A1023" s="3"/>
      <c r="B1023" s="3"/>
    </row>
    <row r="1024" spans="1:2" ht="15.75" customHeight="1" x14ac:dyDescent="0.2">
      <c r="A1024" s="3"/>
      <c r="B1024" s="3"/>
    </row>
    <row r="1025" spans="1:2" ht="15.75" customHeight="1" x14ac:dyDescent="0.2">
      <c r="A1025" s="3"/>
      <c r="B1025" s="3"/>
    </row>
  </sheetData>
  <hyperlinks>
    <hyperlink ref="A73" r:id="rId1" display="https://www.thoxan.com/kontakt/" xr:uid="{3A7E930F-E4CC-5243-A12A-B9725F215711}"/>
    <hyperlink ref="A2" r:id="rId2" xr:uid="{FDD3B87A-D9F4-384B-BE6A-C5DF3274CC99}"/>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KEE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2025-08-24T10:42:53Z</dcterms:created>
  <dcterms:modified xsi:type="dcterms:W3CDTF">2025-08-24T10:54:37Z</dcterms:modified>
</cp:coreProperties>
</file>