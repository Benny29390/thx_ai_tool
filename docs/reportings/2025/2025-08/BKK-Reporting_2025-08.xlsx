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8/"/>
    </mc:Choice>
  </mc:AlternateContent>
  <xr:revisionPtr revIDLastSave="0" documentId="13_ncr:1_{312C4F28-E1EC-7E47-8846-E72053D3CE8D}" xr6:coauthVersionLast="47" xr6:coauthVersionMax="47" xr10:uidLastSave="{00000000-0000-0000-0000-000000000000}"/>
  <bookViews>
    <workbookView xWindow="10700" yWindow="1220" windowWidth="38580" windowHeight="26140" xr2:uid="{7ADD722E-64A0-ED4E-8F92-B9BECCA10D8A}"/>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5" i="1" l="1"/>
  <c r="B49" i="1"/>
  <c r="B43" i="1"/>
  <c r="B37" i="1"/>
  <c r="B33" i="1"/>
  <c r="B25" i="1"/>
  <c r="B57" i="1" l="1"/>
</calcChain>
</file>

<file path=xl/sharedStrings.xml><?xml version="1.0" encoding="utf-8"?>
<sst xmlns="http://schemas.openxmlformats.org/spreadsheetml/2006/main" count="54" uniqueCount="48">
  <si>
    <t>BKK GILDEMEISTER SEIDENSTICKER</t>
  </si>
  <si>
    <t>Juli-August 2025</t>
  </si>
  <si>
    <t>www.bkkgs.de</t>
  </si>
  <si>
    <t>Monatliche Optimierung</t>
  </si>
  <si>
    <t>Aufwand ca. in Std.</t>
  </si>
  <si>
    <t>1. Linkaufbau, Online-PR</t>
  </si>
  <si>
    <t>Textarbeiten (Gastartikel): Briefing und Recherche, Texterstellung für Gastbeitrag auf bin-ich-jetzt-schwanger.de, Lektorat, Abstimmung und Vorbereitung zur Veröffentlichung (02.07., EXT, TKI)</t>
  </si>
  <si>
    <t>Textarbeiten (Gastartikel): Briefing und Recherche, Texterstellung für Gastbeitrag auf betterfamily.de, Lektorat, Abstimmung und Vorbereitung zur Veröffentlichung (03.07., EXT, TKI)</t>
  </si>
  <si>
    <t>Textarbeiten (Gastartikel): Briefing und Recherche, Texterstellung für Gastbeitrag auf business-on.de, Lektorat, Abstimmung und Vorbereitung zur Veröffentlichung (03.-04.07., EXT, TKI)</t>
  </si>
  <si>
    <t>Textarbeiten (Gastartikel): Briefing und Recherche, Texterstellung für Gastbeitrag auf breifreibaby.de, Lektorat, Abstimmung und Vorbereitung zur Veröffentlichung (08.07., EXT, TKI)</t>
  </si>
  <si>
    <t>Textarbeiten (Gastartikel): Briefing und Recherche, Texterstellung für Gastbeitrag auf vfo.de, Lektorat, Abstimmung und Vorbereitung zur Veröffentlichung (15.07., EXT, TKI)</t>
  </si>
  <si>
    <t>Textarbeiten (Gastartikel): Briefing und Recherche, Texterstellung für Gastbeitrag auf elternkommpass.de, Lektorat, Abstimmung und Vorbereitung zur Veröffentlichung (09.08., EXT, TKI)</t>
  </si>
  <si>
    <t>Textarbeiten (Gastartikel): Briefing und Recherche, Texterstellung für Gastbeitrag auf wandern-mit-familie.de, Lektorat, Abstimmung und Vorbereitung zur Veröffentlichung (14.08., EXT, TKI)</t>
  </si>
  <si>
    <t>Textarbeiten (Gastartikel): Briefing und Recherche, Texterstellung für Gastbeitrag auf kinder.de, Lektorat, Abstimmung und Vorbereitung zur Veröffentlichung (18.08., EXT, TKI)</t>
  </si>
  <si>
    <t>Linkaufbau-Organisation und Abstimmung mit den Seitenbetreibern zur Veröffentlichung der vorbereiteten Gastartikel, Prüfung der Link-Integration, Abrechnung der Linkaufbau-Auslagen, Abstimmung und Dokumentation  (30.06.-21.08., TKI)</t>
  </si>
  <si>
    <t>https://bin-ich-jetzt-schwanger.de/erste-wochen-der-schwangerschaft/</t>
  </si>
  <si>
    <t>https://betterfamily.de/schwangerschaft/ich-werde-mama-begleitung-durch-die-ersten-schritte-der-schwangerschaft/</t>
  </si>
  <si>
    <t>https://www.business-on.de/schwangerschaft-und-stress-im-job.html</t>
  </si>
  <si>
    <t>https://breifreibaby.de/praeventionskurs-krankenkasse/</t>
  </si>
  <si>
    <t>https://vfo.de/osteopathie/was-ist-kinderosteopathie</t>
  </si>
  <si>
    <t>https://www.elternkompass.de/ich-werde-mama-infoserie-bkkgs/</t>
  </si>
  <si>
    <t>https://www.wandern-mit-familie.de/2025/08/entspannt-starten-spielerisch-entdecken-gemeinsam-runterkommen/</t>
  </si>
  <si>
    <t>https://www.kinder.de/themen/sicher-durch-die-erste-schwangerschaft/</t>
  </si>
  <si>
    <t>Einstellen von kl. Beiträgen in Google My Business, Widerspruch wegen falscher Einstufung, Abstimmung und Dokumentation (02., 09., 16.07., 07., 15., 22.08., TKI)</t>
  </si>
  <si>
    <t>Link-Monitoring: Neue Verlinkungen aus Link-Tools der letzten 30 Tage überprüft, einzeln bewertet (monatlich ca. 0,25 Std., TKI)</t>
  </si>
  <si>
    <t>2. Redaktionelle Arbeiten (Gaby)</t>
  </si>
  <si>
    <t>Textkorrektur Zahnspange: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(30.06., GBO)</t>
  </si>
  <si>
    <t>Textarbeiten Arztfinder (51): Abstimmung, Briefing und inhaltliche Konzeption, Recherche und Zusammentragen der Informationen, Texterstellung, Keyword-Optimierung nach WDF*IDF, Ergänzungen und kl. Anpassungen, Lektorat und finale Bearbeitung, Versand an Kunden und Dokumentation (03.-05.07., GBO, TKI)</t>
  </si>
  <si>
    <t>Textkorrektur Krankenversicherung Rentner: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(04.07., GBO)</t>
  </si>
  <si>
    <t>Textarbeiten Alternative Medizin (52): Abstimmung, Briefing und inhaltliche Konzeption, Recherche und Zusammentragen der Informationen, Texterstellung, Keyword-Optimierung nach WDF*IDF, Ergänzungen und kl. Anpassungen, Lektorat und finale Bearbeitung, Versand an Kunden und Dokumentation (07.-12.08., GBO, TKI)</t>
  </si>
  <si>
    <t>Durchsicht / Planung der aktuellen Textaufträge, interne Abstimmung, Asana-Tickets, Dokumentation (01.07.-20.08., GBO)</t>
  </si>
  <si>
    <t>3. Website-Pflegearbeiten</t>
  </si>
  <si>
    <t>Alt-Attribute für Bilder in der TYPO3-Mediathek erstellen (direkt im System), kl. Anpassungen, Abstimmung und Dokumentation (03.07.-22.08., VKO, TKI)</t>
  </si>
  <si>
    <t>4. Technische Arbeiten, Onpage-Optimierung, UX-Optimierung</t>
  </si>
  <si>
    <t>Weitere UX-Optimierung für die Unterseite 250-Euro-Vorteilspaket, Anlegen der Entwürfe in Figma, Klickpfade definieren, Benutzerführung (Fokus Familien), Abstimmung und Dokumentation per Video (09.-14.07., BKO, TKI)</t>
  </si>
  <si>
    <t>Weitere UX-Optimierung für die Unterseite Kontakt, Anlegen der Entwürfe in Figma, Klickpfade definieren, Benutzerführung (Fokus Familien), Abstimmung und Dokumentation per Video (XX.XX., BKO, TKI)</t>
  </si>
  <si>
    <t>5. Google Ads, Social Ads, Monitoring</t>
  </si>
  <si>
    <t>Tracking eMagazin BKK Service, Abstimmung (07.-13.08., JST, TKI)</t>
  </si>
  <si>
    <t>Social Ads: Fortlaufendes Monitoring der Werbekampagnen bei Facebook und Instagram, Anpassen der Werbeanzeigen, Verfeinern der Zielgruppe, kl. Arbeiten am Werbekonto, Abstimmung und Dokumentation (01.07.-31.08., JST, DHE, TKI)</t>
  </si>
  <si>
    <t>Google Ads: Fortlaufendes Monitoring der eingerichteten Kampagnen und Anzeigengruppen, Anlegen weiterer Anzeigengruppen mit div. Keywords lt. Cluster-Auswahl, Texten von Anzeigen, Ergänzung und Ausschluss von passenden / unpassenden Keywords, kl. Änderungen, Auswertung jeweils zum Monatsende (01.07.-31.08., JST, DHE, TKI)</t>
  </si>
  <si>
    <t>6. Beratung &amp; Sonstiges</t>
  </si>
  <si>
    <t>Kurze Vorbereitung und virtuelle Abstimmung zur aktuellen Zusammenarbeit, Linkaufbau, Google Ads, Workshops, Klärung von div. Fragen, 11:15-12:00 Uhr, anschließend Dokumentation und interne Abstimmung für die nächsten Maßnahmen (11.07., TKI)</t>
  </si>
  <si>
    <t>Kurze Vorbereitung und virtuelle Abstimmung zur aktuellen Zusammenarbeit, Linkaufbau, Google Ads, Workshops, Klärung von div. Fragen, 14-14:20 Uhr, anschließend Dokumentation und interne Abstimmung für die nächsten Maßnahmen (13.08.,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</si>
  <si>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</si>
  <si>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</si>
  <si>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</si>
  <si>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</si>
  <si>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Überprüfung der Maßnahmen und der technischen Anpassungen von move:elevator, siehe Ticket-Dokumentation – Ladezeit-Optimierung, Core Web Vitals, PDF im Index, W3C-Validierung, etc., Abstimmung und Dokumentation (01.07.-22.08.,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</si>
</sst>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rgb="FF000000"/>
      <name val="Arial"/>
      <family val="2"/>
    </font>
    <font>
      <sz val="10.5"/>
      <color theme="1"/>
      <name val="Arial"/>
      <family val="2"/>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1" applyFont="1" applyBorder="1" applyAlignment="1">
      <alignment vertical="center" wrapText="1"/>
    </xf>
    <xf numFmtId="0" fontId="4" fillId="4" borderId="1" xfId="1" applyFont="1" applyFill="1" applyBorder="1" applyAlignment="1">
      <alignment vertical="center" wrapText="1"/>
    </xf>
    <xf numFmtId="0" fontId="4" fillId="0" borderId="1" xfId="1" applyFont="1" applyFill="1" applyBorder="1" applyAlignment="1">
      <alignment vertical="center" wrapText="1"/>
    </xf>
    <xf numFmtId="0" fontId="5" fillId="3" borderId="1" xfId="0" applyFont="1" applyFill="1" applyBorder="1" applyAlignment="1">
      <alignment vertical="top" wrapText="1"/>
    </xf>
    <xf numFmtId="0" fontId="5" fillId="0" borderId="1" xfId="0" applyFont="1" applyBorder="1" applyAlignment="1">
      <alignment vertical="center"/>
    </xf>
    <xf numFmtId="0" fontId="8" fillId="0" borderId="1" xfId="0" applyFont="1" applyBorder="1" applyAlignment="1">
      <alignment vertical="top" wrapText="1"/>
    </xf>
    <xf numFmtId="0" fontId="8" fillId="0" borderId="3" xfId="0" applyFont="1" applyBorder="1" applyAlignment="1">
      <alignment horizontal="center" vertical="center"/>
    </xf>
    <xf numFmtId="0" fontId="5" fillId="2" borderId="4" xfId="0" applyFont="1" applyFill="1" applyBorder="1" applyAlignment="1">
      <alignment vertical="center"/>
    </xf>
    <xf numFmtId="0" fontId="3" fillId="2" borderId="2" xfId="0" applyFont="1" applyFill="1" applyBorder="1" applyAlignment="1">
      <alignment horizontal="center" vertical="center"/>
    </xf>
    <xf numFmtId="0" fontId="5" fillId="2" borderId="5" xfId="0" applyFont="1" applyFill="1" applyBorder="1" applyAlignment="1">
      <alignment vertical="center"/>
    </xf>
    <xf numFmtId="0" fontId="3" fillId="2" borderId="6" xfId="0" applyFont="1" applyFill="1" applyBorder="1" applyAlignment="1">
      <alignment horizontal="center" vertical="center"/>
    </xf>
    <xf numFmtId="0" fontId="7" fillId="0" borderId="0" xfId="1" applyFont="1"/>
    <xf numFmtId="0" fontId="9" fillId="0" borderId="0" xfId="0" applyFont="1"/>
    <xf numFmtId="0" fontId="5" fillId="0" borderId="1" xfId="0" applyFont="1" applyBorder="1" applyAlignment="1">
      <alignment horizontal="center" vertical="top"/>
    </xf>
    <xf numFmtId="0" fontId="5" fillId="4" borderId="1" xfId="0" applyFont="1" applyFill="1" applyBorder="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wandern-mit-familie.de/2025/08/entspannt-starten-spielerisch-entdecken-gemeinsam-runterkommen/" TargetMode="External"/><Relationship Id="rId3" Type="http://schemas.openxmlformats.org/officeDocument/2006/relationships/hyperlink" Target="https://bin-ich-jetzt-schwanger.de/erste-wochen-der-schwangerschaft/" TargetMode="External"/><Relationship Id="rId7" Type="http://schemas.openxmlformats.org/officeDocument/2006/relationships/hyperlink" Target="https://betterfamily.de/schwangerschaft/ich-werde-mama-begleitung-durch-die-ersten-schritte-der-schwangerschaft/"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breifreibaby.de/praeventionskurs-krankenkasse/" TargetMode="External"/><Relationship Id="rId5" Type="http://schemas.openxmlformats.org/officeDocument/2006/relationships/hyperlink" Target="https://vfo.de/osteopathie/was-ist-kinderosteopathie" TargetMode="External"/><Relationship Id="rId10" Type="http://schemas.openxmlformats.org/officeDocument/2006/relationships/hyperlink" Target="https://www.kinder.de/themen/sicher-durch-die-erste-schwangerschaft/" TargetMode="External"/><Relationship Id="rId4" Type="http://schemas.openxmlformats.org/officeDocument/2006/relationships/hyperlink" Target="https://www.business-on.de/schwangerschaft-und-stress-im-job.html" TargetMode="External"/><Relationship Id="rId9" Type="http://schemas.openxmlformats.org/officeDocument/2006/relationships/hyperlink" Target="https://www.elternkompass.de/ich-werde-mama-infoserie-bkk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605C-8AA4-444C-9C84-5B5AD963340E}">
  <dimension ref="A1:B1016"/>
  <sheetViews>
    <sheetView tabSelected="1" zoomScale="150" zoomScaleNormal="150" workbookViewId="0">
      <pane ySplit="4" topLeftCell="A5" activePane="bottomLeft" state="frozen"/>
      <selection pane="bottomLeft" activeCell="D54" sqref="D54"/>
    </sheetView>
  </sheetViews>
  <sheetFormatPr baseColWidth="10" defaultColWidth="11.1640625" defaultRowHeight="15" customHeight="1" x14ac:dyDescent="0.2"/>
  <cols>
    <col min="1" max="1" width="57.5" style="3" customWidth="1"/>
    <col min="2" max="2" width="23" style="3" customWidth="1"/>
    <col min="3" max="16384" width="11.1640625" style="3"/>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2" t="s">
        <v>6</v>
      </c>
      <c r="B6" s="14">
        <v>2.5</v>
      </c>
    </row>
    <row r="7" spans="1:2" ht="42" x14ac:dyDescent="0.2">
      <c r="A7" s="12" t="s">
        <v>7</v>
      </c>
      <c r="B7" s="14">
        <v>3</v>
      </c>
    </row>
    <row r="8" spans="1:2" ht="42" x14ac:dyDescent="0.2">
      <c r="A8" s="12" t="s">
        <v>8</v>
      </c>
      <c r="B8" s="14">
        <v>3.5</v>
      </c>
    </row>
    <row r="9" spans="1:2" ht="42" x14ac:dyDescent="0.2">
      <c r="A9" s="12" t="s">
        <v>9</v>
      </c>
      <c r="B9" s="14">
        <v>1.5</v>
      </c>
    </row>
    <row r="10" spans="1:2" ht="42" x14ac:dyDescent="0.2">
      <c r="A10" s="12" t="s">
        <v>10</v>
      </c>
      <c r="B10" s="14">
        <v>2.5</v>
      </c>
    </row>
    <row r="11" spans="1:2" ht="42" x14ac:dyDescent="0.2">
      <c r="A11" s="12" t="s">
        <v>11</v>
      </c>
      <c r="B11" s="14">
        <v>3</v>
      </c>
    </row>
    <row r="12" spans="1:2" ht="42" x14ac:dyDescent="0.2">
      <c r="A12" s="12" t="s">
        <v>12</v>
      </c>
      <c r="B12" s="14">
        <v>3</v>
      </c>
    </row>
    <row r="13" spans="1:2" ht="42" x14ac:dyDescent="0.2">
      <c r="A13" s="12" t="s">
        <v>13</v>
      </c>
      <c r="B13" s="14">
        <v>3</v>
      </c>
    </row>
    <row r="14" spans="1:2" s="6" customFormat="1" ht="56" x14ac:dyDescent="0.15">
      <c r="A14" s="12" t="s">
        <v>14</v>
      </c>
      <c r="B14" s="14">
        <v>5</v>
      </c>
    </row>
    <row r="15" spans="1:2" s="6" customFormat="1" ht="14" x14ac:dyDescent="0.15">
      <c r="A15" s="15" t="s">
        <v>15</v>
      </c>
      <c r="B15" s="14"/>
    </row>
    <row r="16" spans="1:2" s="6" customFormat="1" ht="28" x14ac:dyDescent="0.15">
      <c r="A16" s="15" t="s">
        <v>16</v>
      </c>
      <c r="B16" s="28"/>
    </row>
    <row r="17" spans="1:2" s="6" customFormat="1" ht="14" x14ac:dyDescent="0.15">
      <c r="A17" s="15" t="s">
        <v>17</v>
      </c>
      <c r="B17" s="28"/>
    </row>
    <row r="18" spans="1:2" s="6" customFormat="1" ht="14" x14ac:dyDescent="0.15">
      <c r="A18" s="15" t="s">
        <v>18</v>
      </c>
      <c r="B18" s="28"/>
    </row>
    <row r="19" spans="1:2" s="6" customFormat="1" ht="14" x14ac:dyDescent="0.15">
      <c r="A19" s="15" t="s">
        <v>19</v>
      </c>
      <c r="B19" s="14"/>
    </row>
    <row r="20" spans="1:2" s="6" customFormat="1" ht="14" x14ac:dyDescent="0.15">
      <c r="A20" s="16" t="s">
        <v>20</v>
      </c>
      <c r="B20" s="29"/>
    </row>
    <row r="21" spans="1:2" s="6" customFormat="1" ht="28" x14ac:dyDescent="0.15">
      <c r="A21" s="16" t="s">
        <v>21</v>
      </c>
      <c r="B21" s="29"/>
    </row>
    <row r="22" spans="1:2" s="6" customFormat="1" ht="14" x14ac:dyDescent="0.15">
      <c r="A22" s="17" t="s">
        <v>22</v>
      </c>
      <c r="B22" s="14"/>
    </row>
    <row r="23" spans="1:2" s="6" customFormat="1" ht="42" x14ac:dyDescent="0.15">
      <c r="A23" s="18" t="s">
        <v>23</v>
      </c>
      <c r="B23" s="14">
        <v>1.5</v>
      </c>
    </row>
    <row r="24" spans="1:2" s="6" customFormat="1" ht="27.75" customHeight="1" x14ac:dyDescent="0.15">
      <c r="A24" s="12" t="s">
        <v>24</v>
      </c>
      <c r="B24" s="14">
        <v>0.5</v>
      </c>
    </row>
    <row r="25" spans="1:2" s="6" customFormat="1" ht="15.75" customHeight="1" x14ac:dyDescent="0.15">
      <c r="A25" s="8" t="s">
        <v>4</v>
      </c>
      <c r="B25" s="9">
        <f>SUM(B6:B24)</f>
        <v>29</v>
      </c>
    </row>
    <row r="26" spans="1:2" s="6" customFormat="1" ht="15.75" customHeight="1" x14ac:dyDescent="0.15">
      <c r="A26" s="7"/>
      <c r="B26" s="14"/>
    </row>
    <row r="27" spans="1:2" s="6" customFormat="1" ht="15.75" customHeight="1" x14ac:dyDescent="0.15">
      <c r="A27" s="10" t="s">
        <v>25</v>
      </c>
      <c r="B27" s="14"/>
    </row>
    <row r="28" spans="1:2" s="6" customFormat="1" ht="84" x14ac:dyDescent="0.15">
      <c r="A28" s="12" t="s">
        <v>26</v>
      </c>
      <c r="B28" s="13">
        <v>1.75</v>
      </c>
    </row>
    <row r="29" spans="1:2" s="6" customFormat="1" ht="70" x14ac:dyDescent="0.15">
      <c r="A29" s="12" t="s">
        <v>27</v>
      </c>
      <c r="B29" s="13">
        <v>8.25</v>
      </c>
    </row>
    <row r="30" spans="1:2" s="6" customFormat="1" ht="69" customHeight="1" x14ac:dyDescent="0.15">
      <c r="A30" s="12" t="s">
        <v>28</v>
      </c>
      <c r="B30" s="13">
        <v>0.75</v>
      </c>
    </row>
    <row r="31" spans="1:2" s="6" customFormat="1" ht="70" x14ac:dyDescent="0.15">
      <c r="A31" s="12" t="s">
        <v>29</v>
      </c>
      <c r="B31" s="13">
        <v>10.5</v>
      </c>
    </row>
    <row r="32" spans="1:2" s="6" customFormat="1" ht="28" x14ac:dyDescent="0.15">
      <c r="A32" s="12" t="s">
        <v>30</v>
      </c>
      <c r="B32" s="13">
        <v>0.5</v>
      </c>
    </row>
    <row r="33" spans="1:2" s="6" customFormat="1" ht="15.75" customHeight="1" x14ac:dyDescent="0.15">
      <c r="A33" s="8" t="s">
        <v>4</v>
      </c>
      <c r="B33" s="9">
        <f>SUM(B28:B32)</f>
        <v>21.75</v>
      </c>
    </row>
    <row r="34" spans="1:2" s="6" customFormat="1" ht="15.75" customHeight="1" x14ac:dyDescent="0.15">
      <c r="A34" s="19"/>
      <c r="B34" s="14"/>
    </row>
    <row r="35" spans="1:2" s="6" customFormat="1" ht="15.75" customHeight="1" x14ac:dyDescent="0.15">
      <c r="A35" s="10" t="s">
        <v>31</v>
      </c>
      <c r="B35" s="14"/>
    </row>
    <row r="36" spans="1:2" s="6" customFormat="1" ht="42" x14ac:dyDescent="0.15">
      <c r="A36" s="12" t="s">
        <v>32</v>
      </c>
      <c r="B36" s="14">
        <v>6</v>
      </c>
    </row>
    <row r="37" spans="1:2" s="6" customFormat="1" ht="15.75" customHeight="1" x14ac:dyDescent="0.15">
      <c r="A37" s="8" t="s">
        <v>4</v>
      </c>
      <c r="B37" s="9">
        <f>SUM(B36:B36)</f>
        <v>6</v>
      </c>
    </row>
    <row r="38" spans="1:2" s="6" customFormat="1" ht="15.75" customHeight="1" x14ac:dyDescent="0.15">
      <c r="A38" s="19"/>
      <c r="B38" s="14"/>
    </row>
    <row r="39" spans="1:2" s="6" customFormat="1" ht="15.75" customHeight="1" x14ac:dyDescent="0.15">
      <c r="A39" s="10" t="s">
        <v>33</v>
      </c>
      <c r="B39" s="14"/>
    </row>
    <row r="40" spans="1:2" s="6" customFormat="1" ht="56" x14ac:dyDescent="0.15">
      <c r="A40" s="12" t="s">
        <v>34</v>
      </c>
      <c r="B40" s="14">
        <v>2.5</v>
      </c>
    </row>
    <row r="41" spans="1:2" s="6" customFormat="1" ht="56" x14ac:dyDescent="0.15">
      <c r="A41" s="12" t="s">
        <v>35</v>
      </c>
      <c r="B41" s="14">
        <v>2</v>
      </c>
    </row>
    <row r="42" spans="1:2" s="6" customFormat="1" ht="56" x14ac:dyDescent="0.15">
      <c r="A42" s="12" t="s">
        <v>47</v>
      </c>
      <c r="B42" s="14">
        <v>1</v>
      </c>
    </row>
    <row r="43" spans="1:2" s="6" customFormat="1" ht="15.75" customHeight="1" x14ac:dyDescent="0.15">
      <c r="A43" s="8" t="s">
        <v>4</v>
      </c>
      <c r="B43" s="9">
        <f>SUM(B40:B42)</f>
        <v>5.5</v>
      </c>
    </row>
    <row r="44" spans="1:2" s="6" customFormat="1" ht="15.75" customHeight="1" x14ac:dyDescent="0.15">
      <c r="A44" s="19"/>
      <c r="B44" s="14"/>
    </row>
    <row r="45" spans="1:2" s="6" customFormat="1" ht="15.75" customHeight="1" x14ac:dyDescent="0.15">
      <c r="A45" s="10" t="s">
        <v>36</v>
      </c>
      <c r="B45" s="14"/>
    </row>
    <row r="46" spans="1:2" s="6" customFormat="1" ht="14" x14ac:dyDescent="0.15">
      <c r="A46" s="20" t="s">
        <v>37</v>
      </c>
      <c r="B46" s="21">
        <v>0.5</v>
      </c>
    </row>
    <row r="47" spans="1:2" s="6" customFormat="1" ht="56" x14ac:dyDescent="0.15">
      <c r="A47" s="12" t="s">
        <v>38</v>
      </c>
      <c r="B47" s="14">
        <v>2</v>
      </c>
    </row>
    <row r="48" spans="1:2" s="6" customFormat="1" ht="67" customHeight="1" x14ac:dyDescent="0.15">
      <c r="A48" s="12" t="s">
        <v>39</v>
      </c>
      <c r="B48" s="14">
        <v>5</v>
      </c>
    </row>
    <row r="49" spans="1:2" s="6" customFormat="1" ht="15.75" customHeight="1" x14ac:dyDescent="0.15">
      <c r="A49" s="8" t="s">
        <v>4</v>
      </c>
      <c r="B49" s="9">
        <f>SUM(B46:B48)</f>
        <v>7.5</v>
      </c>
    </row>
    <row r="50" spans="1:2" s="6" customFormat="1" ht="15.75" customHeight="1" x14ac:dyDescent="0.15">
      <c r="A50" s="19"/>
      <c r="B50" s="14"/>
    </row>
    <row r="51" spans="1:2" s="6" customFormat="1" ht="15.75" customHeight="1" x14ac:dyDescent="0.15">
      <c r="A51" s="10" t="s">
        <v>40</v>
      </c>
      <c r="B51" s="14"/>
    </row>
    <row r="52" spans="1:2" s="6" customFormat="1" ht="56" x14ac:dyDescent="0.15">
      <c r="A52" s="18" t="s">
        <v>41</v>
      </c>
      <c r="B52" s="14">
        <v>1</v>
      </c>
    </row>
    <row r="53" spans="1:2" s="6" customFormat="1" ht="56" x14ac:dyDescent="0.15">
      <c r="A53" s="18" t="s">
        <v>42</v>
      </c>
      <c r="B53" s="14">
        <v>0.5</v>
      </c>
    </row>
    <row r="54" spans="1:2" s="6" customFormat="1" ht="28" x14ac:dyDescent="0.15">
      <c r="A54" s="12" t="s">
        <v>43</v>
      </c>
      <c r="B54" s="14">
        <v>4.5</v>
      </c>
    </row>
    <row r="55" spans="1:2" s="6" customFormat="1" ht="15.75" customHeight="1" x14ac:dyDescent="0.15">
      <c r="A55" s="8" t="s">
        <v>4</v>
      </c>
      <c r="B55" s="9">
        <f>SUM(B52:B54)</f>
        <v>6</v>
      </c>
    </row>
    <row r="56" spans="1:2" s="6" customFormat="1" ht="15" customHeight="1" x14ac:dyDescent="0.15">
      <c r="A56" s="19"/>
      <c r="B56" s="14"/>
    </row>
    <row r="57" spans="1:2" s="6" customFormat="1" ht="16.5" customHeight="1" thickBot="1" x14ac:dyDescent="0.2">
      <c r="A57" s="22" t="s">
        <v>44</v>
      </c>
      <c r="B57" s="23">
        <f>SUM(B55+B49+B43+B37+B33+B25)</f>
        <v>75.75</v>
      </c>
    </row>
    <row r="58" spans="1:2" s="6" customFormat="1" ht="16.5" customHeight="1" thickBot="1" x14ac:dyDescent="0.2">
      <c r="A58" s="24" t="s">
        <v>45</v>
      </c>
      <c r="B58" s="25">
        <v>9</v>
      </c>
    </row>
    <row r="59" spans="1:2" ht="15.75" customHeight="1" x14ac:dyDescent="0.2">
      <c r="A59" s="6"/>
      <c r="B59" s="6"/>
    </row>
    <row r="60" spans="1:2" s="27" customFormat="1" ht="15.75" customHeight="1" x14ac:dyDescent="0.15">
      <c r="A60" s="26" t="s">
        <v>46</v>
      </c>
    </row>
    <row r="61" spans="1:2" ht="15.75" customHeight="1" x14ac:dyDescent="0.2">
      <c r="A61" s="6"/>
      <c r="B61" s="6"/>
    </row>
    <row r="62" spans="1:2" ht="15.75" customHeight="1" x14ac:dyDescent="0.2">
      <c r="A62" s="6"/>
      <c r="B62" s="6"/>
    </row>
    <row r="63" spans="1:2" ht="15.75" customHeight="1" x14ac:dyDescent="0.2">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c r="A120" s="6"/>
      <c r="B120" s="6"/>
    </row>
    <row r="121" spans="1:2" ht="15.75" customHeight="1" x14ac:dyDescent="0.2">
      <c r="A121" s="6"/>
      <c r="B121" s="6"/>
    </row>
    <row r="122" spans="1:2" ht="15.75" customHeight="1" x14ac:dyDescent="0.2">
      <c r="A122" s="6"/>
      <c r="B122" s="6"/>
    </row>
    <row r="123" spans="1:2" ht="15.75" customHeight="1" x14ac:dyDescent="0.2"/>
    <row r="124" spans="1:2" ht="15.75" customHeight="1" x14ac:dyDescent="0.2"/>
    <row r="125" spans="1:2" ht="15.75" customHeight="1" x14ac:dyDescent="0.2"/>
    <row r="126" spans="1:2" ht="15.75" customHeight="1" x14ac:dyDescent="0.2"/>
    <row r="127" spans="1:2" ht="15.75" customHeight="1" x14ac:dyDescent="0.2"/>
    <row r="128" spans="1: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sheetData>
  <hyperlinks>
    <hyperlink ref="A2" r:id="rId1" xr:uid="{ACEE3B32-7775-334E-AA5F-626F2334970B}"/>
    <hyperlink ref="A60" r:id="rId2" display="https://www.thoxan.com/kontakt/" xr:uid="{1679FB46-E57B-ED41-A79F-E63BF2A071EF}"/>
    <hyperlink ref="A15" r:id="rId3" xr:uid="{6857B286-731C-F84A-8EF8-3CBBB531F568}"/>
    <hyperlink ref="A17" r:id="rId4" xr:uid="{5D66F742-2C2D-E24C-AAF9-1D1F3F823B97}"/>
    <hyperlink ref="A19" r:id="rId5" xr:uid="{5CEAEE50-5D23-F647-A796-4927319B5C5A}"/>
    <hyperlink ref="A18" r:id="rId6" xr:uid="{DE4C3D53-C430-A044-8672-9BD2FB892A7C}"/>
    <hyperlink ref="A16" r:id="rId7" xr:uid="{509069BF-2D6E-A74A-97CA-848049427D3C}"/>
    <hyperlink ref="A21" r:id="rId8" xr:uid="{E6E5918C-35B7-D149-AA38-200C8E545C02}"/>
    <hyperlink ref="A20" r:id="rId9" xr:uid="{6080D07C-33C0-B241-B7A1-13E5A0677426}"/>
    <hyperlink ref="A22" r:id="rId10" xr:uid="{D8FBD338-AE95-4F48-BDEB-8D69A7CA8A0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2025-08-24T09:48:05Z</dcterms:created>
  <dcterms:modified xsi:type="dcterms:W3CDTF">2025-08-24T09:51:38Z</dcterms:modified>
</cp:coreProperties>
</file>