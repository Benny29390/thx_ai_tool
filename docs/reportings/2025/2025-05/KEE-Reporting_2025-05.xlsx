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5/"/>
    </mc:Choice>
  </mc:AlternateContent>
  <xr:revisionPtr revIDLastSave="0" documentId="8_{FED95E41-D73F-E44D-965A-E0F4639AABBA}" xr6:coauthVersionLast="47" xr6:coauthVersionMax="47" xr10:uidLastSave="{00000000-0000-0000-0000-000000000000}"/>
  <bookViews>
    <workbookView xWindow="9840" yWindow="500" windowWidth="33640" windowHeight="24180" xr2:uid="{EB36915F-2B9C-E24D-8C58-BD9EA726B714}"/>
  </bookViews>
  <sheets>
    <sheet name="KE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3" i="1" l="1"/>
  <c r="B75" i="1"/>
  <c r="B69" i="1"/>
  <c r="B64" i="1"/>
  <c r="B54" i="1"/>
  <c r="B43" i="1"/>
  <c r="B35" i="1"/>
  <c r="B16" i="1"/>
  <c r="B7" i="1"/>
  <c r="B85" i="1" l="1"/>
</calcChain>
</file>

<file path=xl/sharedStrings.xml><?xml version="1.0" encoding="utf-8"?>
<sst xmlns="http://schemas.openxmlformats.org/spreadsheetml/2006/main" count="84" uniqueCount="75">
  <si>
    <t>keeunit GmbH</t>
  </si>
  <si>
    <t>https://keelearning.de</t>
  </si>
  <si>
    <t>Monatliche Optimierung</t>
  </si>
  <si>
    <t>Aufwand ca. in Std.</t>
  </si>
  <si>
    <t>1. Linkaufbau, Linkabbau, Online-PR</t>
  </si>
  <si>
    <t>---</t>
  </si>
  <si>
    <t>2. Redaktionelle Arbeiten</t>
  </si>
  <si>
    <t>Schärfung der Tana Chemie Referenz lt. Vorlage, Abstimmung und Dokumentation, anschließend Briefing und Austausch mit Benny für Umsetzung des erweiterten Custom Post Types (10.04., TKI, BKO)</t>
  </si>
  <si>
    <t>Weitere Textarbeiten Systemlösung (inhaltlich ausarbeiten) gemäß Abstimmung, interne Kommunikation, Abstimmung und Dokumentation (31.03.-11.04., GBO, TKI)</t>
  </si>
  <si>
    <t>Kompakte Textoptimierung Unterseite Mitarbeiterschulung: Abstimmung, Briefing und Textoptimierung für bestehende Inhalte, Überarbeitung des Bestandstexts und Texterweiterung, Keyword-Optimierung nach WDF*IDF, Ergänzungen und kl. Anpassungen, Lektorat und finale Bearbeitung, Versand an Kunden und Dokumentation (30.04., GBO, TKI)</t>
  </si>
  <si>
    <t>Kompakte Textoptimierung Unterseite Kundenschulung: Abstimmung, Briefing und Textoptimierung für bestehende Inhalte, Überarbeitung des Bestandstexts und Texterweiterung, Keyword-Optimierung nach WDF*IDF, Ergänzungen und kl. Anpassungen, Lektorat und finale Bearbeitung, Versand an Kunden und Dokumentation (30.04., GBO, TKI)</t>
  </si>
  <si>
    <t>Textkorrekturen Kunden- und Mitarbeiterschulung: Abstimmung und Durchsicht der Änderungswünsche, Inhaltliche Bearbeitung des Textes inkl. Umsetzung möglicher Ergänzungen (ggf. Umstrukturierung oder Texterweiterung), Durchsicht der Texte und finale Bearbeitung, Vorbereitung und Übergabe zum Einpflegen auf der Website (05.05., GBO, TKI)</t>
  </si>
  <si>
    <t>Kompakte Textoptimierung Unterseite Produkt- und Vertriebsschulung: Abstimmung, Briefing und Textoptimierung für bestehende Inhalte, Überarbeitung des Bestandstexts und Texterweiterung, Keyword-Optimierung nach WDF*IDF, Ergänzungen und kl. Anpassungen, Lektorat und finale Bearbeitung, Versand an Kunden und Dokumentation (07.05., GBO)</t>
  </si>
  <si>
    <t>3. Website-Pflege, Content Management</t>
  </si>
  <si>
    <t>Vorbereitung und Videocall zur Backend-Strukturierung begleitend zum Online-Gang (14-15 Uhr), Benutzer, Beiträge, Unterseiten sortieren, Mediathek aufräumen, Export von 21 Archiv-Artikeln, Einstellungen Admin light, Zuweisung von Beiträgen und Unterseiten für neuen Nutzer "keelearning Redaktion", kl. Anpassungen im System zur Vorbereitung des Indexmanagements, Abstimmung und Dokumentation (26.03., TKI)</t>
  </si>
  <si>
    <t>Bilder komprimieren zu WebP, Videos zuschneiden und komprimieren, Bildbearbeitung für optimierte Bilder auf der Website, Einrichtung Barrierefreiheits-Tools, Alte Domain keeunit.de/.com korrekt weiterleiten (statt 3.500 Zeilen Code), weitere kleine Anpassungen von Inhalten und Darstellung über den Online-Gang hinaus, Abstimmung und Dokumentation (26.-27.03., BKO, TKI)</t>
  </si>
  <si>
    <t>Interne Abstimmung, Umbau der Blogartikel-Funktion zur Öffnung in einer Lightbox, Formatierung Headerbereich (Bild, Überschrift), kl. Anpassungen, Vorbereitungen zum Umbau der Infothek-Funktion als Lightbox (erfordert größere Anpassungen), technischer Umbau der Referenzen-Funktion zur Öffnung in einer Lightbox, Anlegen von Grids, kl. Anpassungen, Abstimmung und Dokumentation (01.04., BKO, TKI)</t>
  </si>
  <si>
    <t>Aufbau der Referenzen-Seite im neuen System, Übertragen von 13 Referenzen im Custom Post Type auf den Gutenberg-Editor, Anpassung der Formatierung, Integration einer Video-Galerie, Anpassung URL-Struktur, Menü anpassen, Redirects einrichten, Abstimmung und Dokumentation (01.-02.04., TKI)</t>
  </si>
  <si>
    <t>Anpassung des Referenzen Custom Post Types zur Integration der Logos aus dem neuen System, automatische Verknüpfung in der Ausgabe der Referenzlinks, Schärfung und Ausgabe der Logos, Umbau der Sektionen, kl. Anpassungen, Abstimmung und Dokumentation (02.-04.04., BKO, TKI)</t>
  </si>
  <si>
    <t>Erstellen einer Referenzen-Vorlage am Beispiel der Kamps-Referenz, Recherche und Texterstellung lt. vorgegebener Struktur, Abstimmung und Dokumentation (04.-06.04., TKI)</t>
  </si>
  <si>
    <t>Einpflegen der Web Based Trainings Unterseite lt. Abstimmung (11.04., TKI)</t>
  </si>
  <si>
    <t>Umbau von LMS Rechner aus der Infothek, kl. Anpassungen wegen Scripten, Umleitung von weiteren 404-Fehlern auf passende Zielseiten, div. Abstimmung und Dokumentation zu laufenden Tickets (15.-16.04., TKI)</t>
  </si>
  <si>
    <t>Abmahnsichere Prüfung der Website / Umsetzung der geforderten Änderungen lt. Protokoll (17.04., BKO)</t>
  </si>
  <si>
    <t>Einpflegen der Unterseite "4 Phasen der Veränderung": Interne Abstimmung und Einpflegen des neuen Textes inkl. Optimierung der Darstellungim Block-Editor, Dokumentation (24.-28.04., RBO)</t>
  </si>
  <si>
    <t>Add-On ergänzen (28.04., BKO)</t>
  </si>
  <si>
    <t>Ausrichtung Referenzen / Case Studies / Logos für Frontline-Unternehmen (05.05., BKO)</t>
  </si>
  <si>
    <t>Spitzenstellungs-Behauptungen prüfen und deindexieren, Prüfung der Formulierungen und URLs, Einrichtung Bing Search Console, Deindexierung von Snippets und erneuter Crawl der betroffenen Unterseiten, Abstimmung und Dokumentation mit Screenshots (04.-06.05., BKO, JST, TKI)</t>
  </si>
  <si>
    <t>Prüfen aller Instagram-Postings auf weitere Spitzenstellungsbehauptungen, Dokumentation per Video (06.05., TKI)</t>
  </si>
  <si>
    <t>Tooltip umsetzen (06.05., BKO)</t>
  </si>
  <si>
    <t>Textbearbeitung und Integration einer Hinleitung zur Systemlösung auf der Übersichtsseite, Aufbau mit abwechslungsreichen Text- und Bildelementen, kl. Anpassungen, interne Verlinkung, Abstimmung und Dokumentation (07.05., TKI)</t>
  </si>
  <si>
    <t>4. Technische Arbeiten, UX-Optimierung, ggf. Programmierung</t>
  </si>
  <si>
    <t>Diverse Anpassungen der Startseite lt. Kundenwunsch, Headerelemente, Video-Elemente, Warum keelearning-Box komplett umgebaut, etc., Abstimmung und Dokumentation (03.-04., BKO, TKI)</t>
  </si>
  <si>
    <t>Abstimmung und Umprogrammierung des Templates wegen "Höhen-Problematik" bei sehr breiten Bildschirmen (Ratio), Breakpoints und Whitespace lt. Bildschirmauflösung anpassen, Abstimmung und Dokumentation (04.04., BKO, TKI)</t>
  </si>
  <si>
    <t>Umbau der Online-Demo Unterseite auf einen neuen Custom Post Type zur Öffnung von Unterseiten in einer Lightbox, Anpassung der Lightbox-Darstellung und flexible Steuerung der Lightbox-Größen pro Custom Post Type, Darstellung mit Logo-Header (optional), kl. Anpassungen am Theme, Anpassung der Link-Klasse zur Öffnung der Online-Demo erzwungen in der Lightbox bei allen Verlinkungen, Abstimmung und Dokumentation (11.04., BKO)</t>
  </si>
  <si>
    <t>Referenz TANA-Chemie / Umbau Custom Post Type "Referenzen" mit passenden Feldern und Ausgabe (23.-28.04., BKO)</t>
  </si>
  <si>
    <t>Filterung von nicht genutzten Fotos (weiterentwickeln) (23.04., BKO)</t>
  </si>
  <si>
    <t>5. Onpage-Optimierung, Keyword-Optimierung, etc.</t>
  </si>
  <si>
    <t>Index-Management: Vorbereitung und Recherche, Überprüfung der Website in der Google Search-Console, Durchsicht und Aufruf der indexierten Unterseiten bei Google (site:URL), Crawl der Website mit Screaming-Frog und Export der kompletten Seitenstruktur, Prüfung und Sortierung der Excelliste anhand der Website-Navigation, Überprüfung, welche Seiten/URLs im Index sind und welche Seiten deindexiert werden sollten, Durchsicht Seitentitel, Meta-Descriptions, Überschriften, interne Verlinkung, Ladezeit, etc., weitere Fehler und Abweichungen markiert, erste Handlungsempfehlungen für Optimierungsmaßnahmen und zur Bereinigung des Indexes erarbeitet, Dokumentation und Abstimmung (24.-25.03., TKI)</t>
  </si>
  <si>
    <t>Weitere Sortierung der Unterseiten (NestedPages), Durchsicht und manuelle Anpassungder Indexierung aller Unterseiten, Prüfung und Export der rankenden Blogartikel, Durchsicht und manuelle Anpassung der Indexierung aller Blogartikel, Durchsicht aller anderen Custom Post Types (Referenzen, Glossar, Infothek, etc.), manuelle Anpassung der Indexierung aller anderen Seitentypen, Prüfung der sitemap.xml und Abgleich der gewünschten Indexierung, Hochladen in der Search Console, Prüfung des Google Index', Abstimmung und Dokumentation (26.-28.03., TKI)</t>
  </si>
  <si>
    <t>Weitere Maßnahmen im Index-Management, Prüfung der URL-Struktur, Durchsicht der aktuellen Index-Ergebnisse, kl. Anpassungen Search Console (04.04., TKI)</t>
  </si>
  <si>
    <t>Keyword-Analyse im Themenbereich Frontliner, Recherche beekeeper-Rankings, Ermittlung von Synonymen, Prüfung Suchvolumen mit dem Google Keyword-Planner, Durchsicht der priorisierten Keyword-Auswahl und Zuordnung passender Landingpages zu den Clustern, Vorsortierung und Dokumentation per Video, Abstimmung Prioritäten (03.-07.04., TKI)</t>
  </si>
  <si>
    <t>Finale Prüfung der Keyword-Auswahl lt. Priorisierung von Norma, Erstellen von konkreten Textoptimierungs-Tickets mit Zuordnung der Landingpages, Entscheidungen zur Menü-Integration, Keywords sichten und zuordnen, interne Abstimmung, außerdem erneute Prüfung Index-Management, kl. Anpassungen Search Console, Dokumentation (10.04., TKI)</t>
  </si>
  <si>
    <t>Weitere Prüfung und Anpassung von 404-Fehlern und Setzen von zahlreichen 301-Weiterleitungen, Tickets anlegen für Klärungsfälle (Web Based Training, Microlearning, etc.), Abstimmung und Dokumentation (11.04., TKI)</t>
  </si>
  <si>
    <t>Seitentitel und Meta-Descriptions (Textoptimierung): Überarbeiten der Seitentitel und der Meta-Beschreibungen anhand kurzer Inhalts-Recherche unter Berücksichtigung der wichtigsten Keywords und Klick-Verstärker, inhaltliche Korrektur von veralteten Einträgen, Lektorat, kl. Anpassungen, Dokumentation und Abstimmung (16.04., TKI)</t>
  </si>
  <si>
    <t>Wiederholte Prüfungen und kl. Anpassungen (Indexierung, Deindexierung) in der Search Console zur Bereinigung des Suchindexes, Abstimmung und Dokumentation (28.04., 02.05., 06.05., TKI)</t>
  </si>
  <si>
    <t>6. Grafikdesign, Creatives, Corporate Design</t>
  </si>
  <si>
    <t>Canva Karusell-Vorlagen gestalten auf Basis der Creatives, Abstimmung und Dokumentation (27.03., RBO)</t>
  </si>
  <si>
    <t>Gestaltung einer Stele für Messe, Grafikdesign für zwei Alternativen, Visualisierung, Abstimmung und Kommunikation (10.04., RBO)</t>
  </si>
  <si>
    <t>Systemlösung visualisieren, Entwürfe für Kreisgrafik mit vier Phasen und 8 Schritten, Umsetzung auf Basis des Corporate Designs, Einbau auf der Website, mehrmalige Korrekturen, Abstimmung und Dokumentation (18.03.-14.04., PGR)</t>
  </si>
  <si>
    <t>Abstimmung und Grafikdesign einer Brainfood Klappkarte für den Einsatz auf einer Messe lt. Formatvorlage, Dokumentation (10.-14.04., RBO)</t>
  </si>
  <si>
    <t>Stele für Messe: Reinzeichnung + Bildgenerierung, Abstimmung und Dokumentation (14.04., RBO)</t>
  </si>
  <si>
    <t>Weitere Layoutvariante der Systemlösung erarbeitet, grafische Finalisierung, Bereitstellung / Export der Grafiken, Dokumentation (14.-28.04., RBO)</t>
  </si>
  <si>
    <t>Optimierung der Creatives (05.05., RBO)</t>
  </si>
  <si>
    <t>7. Google Ads (Monitoring, Kampagnen umbauen, etc.)</t>
  </si>
  <si>
    <t>Prüfung der Google Ads Anzeigen nach Online-Gang, Umstellung der URL, kl. Anpassungen Sitelinks &amp; Co., Prüfung Google Analytics und Google Tag Manager, Conversions angepasst, Abstimmung und Dokumentation (26.03., JST)</t>
  </si>
  <si>
    <t>Google Ads (Monitoring April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(01.-30.04., JST, TKI)</t>
  </si>
  <si>
    <t>8. Social Ads (Monitoring, Kampagnen, etc.)</t>
  </si>
  <si>
    <t>Meta-Kampagnen einrichten mit vier Phasen (Awareness, Consideration, Conversion, Remarketing), Creatives auf Basis der Vorlagen ausarbeiten, Anzeigentexte erstellen, Anzeigengruppen und Anzeigenformate sowie Zielgruppen einrichten, kl. Anpassungen am Konto, Abstimmung und Dokumentation (04.-14.04., JST, DHE, TKI)</t>
  </si>
  <si>
    <t>Social Ads (Monitoring April 2025): Monatliches Monitoring der Werbe-kampagnen bei Facebook und Instagram, Anpassen der Werbeanzeigen, Verfeinern der Zielgruppe, kl. Arbeiten am Werbekonto, Abstimmung und Dokumentation (01.-30.04., JST, TKI)</t>
  </si>
  <si>
    <t>9. Beratung &amp; Sonstiges</t>
  </si>
  <si>
    <t>Vorbereitung und virtuelle Abstimmung zur weitere Zusammenarbeit und zur Planung der SEO-Arbeiten Klärung von div. Fragen 13:45-14:20 Uhr, anschließend Dokumentation und interne Abstimmung für die nächsten Maßnahmen, außerdem Index-Management Search Console, Durchsicht der Suchergebnisse und Ausschluss von Custom Post Types, Klärung NoIndex für Subdomains, Prüfung der Änderungen, Bildquellen auslagern etc. (31.03., TKI)</t>
  </si>
  <si>
    <t>Vorbereitung und virtuelle Abstimmung zur weitere Zusammenarbeit, Indexmanagement, Referenzen, Keyword-Auswahl, Klärung von div. Fragen 12:30-13:00 Uhr, anschließend Dokumentation und interne Abstimmung für die nächsten Maßnahmen (04.04., TKI)</t>
  </si>
  <si>
    <t>Kurze Vorbereitung und virtuelle Abstimmung zur weiteren Zusammenarbeit, Du/Sie-Thematik, Umbau Unterseiten, Planung Textoptimierung, nächste Schritte, Klären von div. Fragen, 13:15-13:50, anschließedn Dokumentation und interne Abstimmung für die nächsten Maßnahmen (29.04., TKI)</t>
  </si>
  <si>
    <r>
      <t>Zusammenstellung der wichtigsten Unterseiten zum Umbau ins neue System, Vorsortierung und Priorisierung, Abstimmung Norma, finale Bearbeitung und Planung der Umbauarbeiten, Dokumentation (01.-06.05., TKI)</t>
    </r>
    <r>
      <rPr>
        <sz val="10"/>
        <color rgb="FFFF0000"/>
        <rFont val="Arial"/>
        <family val="2"/>
      </rPr>
      <t xml:space="preserve"> = ca. 1,5 Std. / ohne Berechnung wegen zusätzlicher Beauftragung</t>
    </r>
  </si>
  <si>
    <t>Organisation, Planung, Überwachung und Steuerung der Aufgaben und Ressourcen (pro Tagessatz ca. 0,5 Std., TKI)</t>
  </si>
  <si>
    <t>Aufwand ca. insgesamt in Std.</t>
  </si>
  <si>
    <t>Aufwand in Tagessätzen</t>
  </si>
  <si>
    <t>11 Tagessätze</t>
  </si>
  <si>
    <t>Noch Rückfragen? Kontakt zur Thoxan Communications GmbH unter https://www.thoxan.com/kontakt</t>
  </si>
  <si>
    <t>3-4 TS April</t>
  </si>
  <si>
    <t>3-4 TS Mai</t>
  </si>
  <si>
    <t>3-4 TS Juni</t>
  </si>
  <si>
    <t>= 9-12 TS im 2. Quartal</t>
  </si>
  <si>
    <t>zuzügl. 1 TS aus 1. Quartal</t>
  </si>
  <si>
    <t>April-Mai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</si>
</sst>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FF0000"/>
      <name val="Arial"/>
      <family val="2"/>
    </font>
    <font>
      <sz val="10"/>
      <color theme="0" tint="-0.249977111117893"/>
      <name val="Arial"/>
      <family val="2"/>
    </font>
    <font>
      <sz val="10"/>
      <color rgb="FF808080"/>
      <name val="Arial"/>
      <family val="2"/>
    </font>
    <font>
      <b/>
      <sz val="10"/>
      <color theme="0" tint="-0.249977111117893"/>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horizontal="center"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0" borderId="3" xfId="0" applyFont="1" applyBorder="1" applyAlignment="1">
      <alignment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4" xfId="0" applyFont="1" applyBorder="1" applyAlignment="1">
      <alignment vertical="center"/>
    </xf>
    <xf numFmtId="0" fontId="5" fillId="0" borderId="4" xfId="0" applyFont="1" applyBorder="1" applyAlignment="1">
      <alignment horizontal="center" vertical="center"/>
    </xf>
    <xf numFmtId="0" fontId="6"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wrapText="1"/>
    </xf>
    <xf numFmtId="0" fontId="9" fillId="0" borderId="0" xfId="0" applyFont="1"/>
    <xf numFmtId="0" fontId="5" fillId="0" borderId="5" xfId="0" applyFont="1" applyBorder="1" applyAlignment="1">
      <alignment horizontal="center" vertical="center"/>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10" fillId="0" borderId="0" xfId="0" applyFont="1"/>
    <xf numFmtId="0" fontId="11" fillId="0" borderId="0" xfId="0" quotePrefix="1" applyFont="1"/>
    <xf numFmtId="0" fontId="9" fillId="0" borderId="0" xfId="0" quotePrefix="1"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A185-AE84-CE43-8D7B-0E4BDC9E644D}">
  <dimension ref="A1:B1040"/>
  <sheetViews>
    <sheetView tabSelected="1" zoomScale="150" zoomScaleNormal="150" workbookViewId="0">
      <pane ySplit="4" topLeftCell="A5" activePane="bottomLeft" state="frozen"/>
      <selection pane="bottomLeft" activeCell="E85" sqref="E85"/>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74</v>
      </c>
    </row>
    <row r="2" spans="1:2" ht="15.75" customHeight="1" x14ac:dyDescent="0.2">
      <c r="A2" s="4" t="s">
        <v>1</v>
      </c>
      <c r="B2" s="5" t="s">
        <v>2</v>
      </c>
    </row>
    <row r="3" spans="1:2" ht="15.75" customHeight="1" x14ac:dyDescent="0.2">
      <c r="A3" s="7"/>
      <c r="B3" s="6"/>
    </row>
    <row r="4" spans="1:2" s="11" customFormat="1" ht="15.75" customHeight="1" x14ac:dyDescent="0.2">
      <c r="A4" s="8"/>
      <c r="B4" s="9" t="s">
        <v>3</v>
      </c>
    </row>
    <row r="5" spans="1:2" s="11" customFormat="1" ht="15.75" customHeight="1" x14ac:dyDescent="0.2">
      <c r="A5" s="8" t="s">
        <v>4</v>
      </c>
      <c r="B5" s="12"/>
    </row>
    <row r="6" spans="1:2" s="11" customFormat="1" ht="14" x14ac:dyDescent="0.2">
      <c r="A6" s="13" t="s">
        <v>5</v>
      </c>
      <c r="B6" s="14"/>
    </row>
    <row r="7" spans="1:2" s="11" customFormat="1" ht="15.75" customHeight="1" x14ac:dyDescent="0.2">
      <c r="A7" s="15" t="s">
        <v>3</v>
      </c>
      <c r="B7" s="16">
        <f>SUM(B6:B6)</f>
        <v>0</v>
      </c>
    </row>
    <row r="8" spans="1:2" s="11" customFormat="1" ht="15.75" customHeight="1" x14ac:dyDescent="0.2">
      <c r="A8" s="17"/>
      <c r="B8" s="18"/>
    </row>
    <row r="9" spans="1:2" s="11" customFormat="1" ht="15.75" customHeight="1" x14ac:dyDescent="0.2">
      <c r="A9" s="19" t="s">
        <v>6</v>
      </c>
      <c r="B9" s="20"/>
    </row>
    <row r="10" spans="1:2" s="11" customFormat="1" ht="42" x14ac:dyDescent="0.2">
      <c r="A10" s="21" t="s">
        <v>7</v>
      </c>
      <c r="B10" s="14">
        <v>1</v>
      </c>
    </row>
    <row r="11" spans="1:2" s="11" customFormat="1" ht="42" x14ac:dyDescent="0.2">
      <c r="A11" s="13" t="s">
        <v>8</v>
      </c>
      <c r="B11" s="22">
        <v>4.5</v>
      </c>
    </row>
    <row r="12" spans="1:2" s="11" customFormat="1" ht="69" customHeight="1" x14ac:dyDescent="0.2">
      <c r="A12" s="13" t="s">
        <v>9</v>
      </c>
      <c r="B12" s="14">
        <v>4.25</v>
      </c>
    </row>
    <row r="13" spans="1:2" s="11" customFormat="1" ht="67" customHeight="1" x14ac:dyDescent="0.2">
      <c r="A13" s="13" t="s">
        <v>10</v>
      </c>
      <c r="B13" s="14">
        <v>3</v>
      </c>
    </row>
    <row r="14" spans="1:2" s="11" customFormat="1" ht="67" customHeight="1" x14ac:dyDescent="0.2">
      <c r="A14" s="13" t="s">
        <v>11</v>
      </c>
      <c r="B14" s="14">
        <v>1</v>
      </c>
    </row>
    <row r="15" spans="1:2" s="11" customFormat="1" ht="67" customHeight="1" x14ac:dyDescent="0.2">
      <c r="A15" s="13" t="s">
        <v>12</v>
      </c>
      <c r="B15" s="14">
        <v>2.25</v>
      </c>
    </row>
    <row r="16" spans="1:2" s="11" customFormat="1" ht="15.75" customHeight="1" x14ac:dyDescent="0.2">
      <c r="A16" s="15" t="s">
        <v>3</v>
      </c>
      <c r="B16" s="16">
        <f>SUM(B10:B15)</f>
        <v>16</v>
      </c>
    </row>
    <row r="17" spans="1:2" s="11" customFormat="1" ht="15.75" customHeight="1" x14ac:dyDescent="0.2">
      <c r="A17" s="23"/>
      <c r="B17" s="20"/>
    </row>
    <row r="18" spans="1:2" s="11" customFormat="1" ht="15.75" customHeight="1" x14ac:dyDescent="0.2">
      <c r="A18" s="19" t="s">
        <v>13</v>
      </c>
      <c r="B18" s="20"/>
    </row>
    <row r="19" spans="1:2" s="11" customFormat="1" ht="98" x14ac:dyDescent="0.2">
      <c r="A19" s="13" t="s">
        <v>14</v>
      </c>
      <c r="B19" s="14">
        <v>3</v>
      </c>
    </row>
    <row r="20" spans="1:2" s="11" customFormat="1" ht="84" x14ac:dyDescent="0.2">
      <c r="A20" s="21" t="s">
        <v>15</v>
      </c>
      <c r="B20" s="14">
        <v>3</v>
      </c>
    </row>
    <row r="21" spans="1:2" s="11" customFormat="1" ht="84" x14ac:dyDescent="0.2">
      <c r="A21" s="21" t="s">
        <v>16</v>
      </c>
      <c r="B21" s="14">
        <v>3</v>
      </c>
    </row>
    <row r="22" spans="1:2" s="11" customFormat="1" ht="70" x14ac:dyDescent="0.2">
      <c r="A22" s="21" t="s">
        <v>17</v>
      </c>
      <c r="B22" s="14">
        <v>2.5</v>
      </c>
    </row>
    <row r="23" spans="1:2" s="11" customFormat="1" ht="70" x14ac:dyDescent="0.2">
      <c r="A23" s="21" t="s">
        <v>18</v>
      </c>
      <c r="B23" s="14">
        <v>2</v>
      </c>
    </row>
    <row r="24" spans="1:2" s="11" customFormat="1" ht="42" x14ac:dyDescent="0.2">
      <c r="A24" s="21" t="s">
        <v>19</v>
      </c>
      <c r="B24" s="14">
        <v>1</v>
      </c>
    </row>
    <row r="25" spans="1:2" s="11" customFormat="1" ht="28" x14ac:dyDescent="0.2">
      <c r="A25" s="21" t="s">
        <v>20</v>
      </c>
      <c r="B25" s="14">
        <v>1</v>
      </c>
    </row>
    <row r="26" spans="1:2" s="11" customFormat="1" ht="56" x14ac:dyDescent="0.2">
      <c r="A26" s="13" t="s">
        <v>21</v>
      </c>
      <c r="B26" s="22">
        <v>1.5</v>
      </c>
    </row>
    <row r="27" spans="1:2" s="11" customFormat="1" ht="28" x14ac:dyDescent="0.2">
      <c r="A27" s="21" t="s">
        <v>22</v>
      </c>
      <c r="B27" s="14">
        <v>0.25</v>
      </c>
    </row>
    <row r="28" spans="1:2" s="11" customFormat="1" ht="42" x14ac:dyDescent="0.2">
      <c r="A28" s="21" t="s">
        <v>23</v>
      </c>
      <c r="B28" s="14">
        <v>1.75</v>
      </c>
    </row>
    <row r="29" spans="1:2" s="11" customFormat="1" ht="14" x14ac:dyDescent="0.2">
      <c r="A29" s="21" t="s">
        <v>24</v>
      </c>
      <c r="B29" s="14">
        <v>0.25</v>
      </c>
    </row>
    <row r="30" spans="1:2" s="11" customFormat="1" ht="28" x14ac:dyDescent="0.2">
      <c r="A30" s="21" t="s">
        <v>25</v>
      </c>
      <c r="B30" s="14">
        <v>0.5</v>
      </c>
    </row>
    <row r="31" spans="1:2" s="11" customFormat="1" ht="70" x14ac:dyDescent="0.2">
      <c r="A31" s="21" t="s">
        <v>26</v>
      </c>
      <c r="B31" s="14">
        <v>1.25</v>
      </c>
    </row>
    <row r="32" spans="1:2" s="11" customFormat="1" ht="28" x14ac:dyDescent="0.2">
      <c r="A32" s="21" t="s">
        <v>27</v>
      </c>
      <c r="B32" s="14">
        <v>1.25</v>
      </c>
    </row>
    <row r="33" spans="1:2" s="11" customFormat="1" ht="14" x14ac:dyDescent="0.2">
      <c r="A33" s="21" t="s">
        <v>28</v>
      </c>
      <c r="B33" s="14">
        <v>0.25</v>
      </c>
    </row>
    <row r="34" spans="1:2" s="11" customFormat="1" ht="56" x14ac:dyDescent="0.2">
      <c r="A34" s="21" t="s">
        <v>29</v>
      </c>
      <c r="B34" s="14">
        <v>1</v>
      </c>
    </row>
    <row r="35" spans="1:2" s="11" customFormat="1" ht="15.75" customHeight="1" x14ac:dyDescent="0.2">
      <c r="A35" s="24" t="s">
        <v>3</v>
      </c>
      <c r="B35" s="25">
        <f>SUM(B19:B34)</f>
        <v>23.5</v>
      </c>
    </row>
    <row r="36" spans="1:2" s="11" customFormat="1" ht="15.75" customHeight="1" x14ac:dyDescent="0.2">
      <c r="A36" s="26"/>
      <c r="B36" s="27"/>
    </row>
    <row r="37" spans="1:2" s="10" customFormat="1" ht="15.75" customHeight="1" x14ac:dyDescent="0.15">
      <c r="A37" s="28" t="s">
        <v>30</v>
      </c>
      <c r="B37" s="14"/>
    </row>
    <row r="38" spans="1:2" s="11" customFormat="1" ht="42" x14ac:dyDescent="0.2">
      <c r="A38" s="13" t="s">
        <v>31</v>
      </c>
      <c r="B38" s="14">
        <v>3</v>
      </c>
    </row>
    <row r="39" spans="1:2" s="11" customFormat="1" ht="56" x14ac:dyDescent="0.2">
      <c r="A39" s="13" t="s">
        <v>32</v>
      </c>
      <c r="B39" s="14">
        <v>1</v>
      </c>
    </row>
    <row r="40" spans="1:2" s="11" customFormat="1" ht="98" x14ac:dyDescent="0.2">
      <c r="A40" s="21" t="s">
        <v>33</v>
      </c>
      <c r="B40" s="14">
        <v>2</v>
      </c>
    </row>
    <row r="41" spans="1:2" s="11" customFormat="1" ht="28" x14ac:dyDescent="0.2">
      <c r="A41" s="21" t="s">
        <v>34</v>
      </c>
      <c r="B41" s="14">
        <v>2</v>
      </c>
    </row>
    <row r="42" spans="1:2" s="11" customFormat="1" ht="14" x14ac:dyDescent="0.2">
      <c r="A42" s="13" t="s">
        <v>35</v>
      </c>
      <c r="B42" s="14">
        <v>1</v>
      </c>
    </row>
    <row r="43" spans="1:2" s="11" customFormat="1" ht="15.75" customHeight="1" x14ac:dyDescent="0.2">
      <c r="A43" s="24" t="s">
        <v>3</v>
      </c>
      <c r="B43" s="25">
        <f>SUM(B38:B42)</f>
        <v>9</v>
      </c>
    </row>
    <row r="44" spans="1:2" s="11" customFormat="1" ht="15.75" customHeight="1" x14ac:dyDescent="0.2">
      <c r="A44" s="29"/>
      <c r="B44" s="14"/>
    </row>
    <row r="45" spans="1:2" s="10" customFormat="1" ht="15.75" customHeight="1" x14ac:dyDescent="0.15">
      <c r="A45" s="28" t="s">
        <v>36</v>
      </c>
      <c r="B45" s="14"/>
    </row>
    <row r="46" spans="1:2" s="11" customFormat="1" ht="154" x14ac:dyDescent="0.2">
      <c r="A46" s="13" t="s">
        <v>37</v>
      </c>
      <c r="B46" s="14">
        <v>3</v>
      </c>
    </row>
    <row r="47" spans="1:2" s="11" customFormat="1" ht="126" x14ac:dyDescent="0.2">
      <c r="A47" s="13" t="s">
        <v>38</v>
      </c>
      <c r="B47" s="14">
        <v>4</v>
      </c>
    </row>
    <row r="48" spans="1:2" s="11" customFormat="1" ht="42" x14ac:dyDescent="0.2">
      <c r="A48" s="13" t="s">
        <v>39</v>
      </c>
      <c r="B48" s="14">
        <v>0.5</v>
      </c>
    </row>
    <row r="49" spans="1:2" s="11" customFormat="1" ht="84" x14ac:dyDescent="0.2">
      <c r="A49" s="13" t="s">
        <v>40</v>
      </c>
      <c r="B49" s="14">
        <v>1.5</v>
      </c>
    </row>
    <row r="50" spans="1:2" s="11" customFormat="1" ht="84" x14ac:dyDescent="0.2">
      <c r="A50" s="13" t="s">
        <v>41</v>
      </c>
      <c r="B50" s="14">
        <v>1.5</v>
      </c>
    </row>
    <row r="51" spans="1:2" s="11" customFormat="1" ht="56" x14ac:dyDescent="0.2">
      <c r="A51" s="13" t="s">
        <v>42</v>
      </c>
      <c r="B51" s="14">
        <v>1.5</v>
      </c>
    </row>
    <row r="52" spans="1:2" s="11" customFormat="1" ht="70" x14ac:dyDescent="0.2">
      <c r="A52" s="13" t="s">
        <v>43</v>
      </c>
      <c r="B52" s="14">
        <v>1.5</v>
      </c>
    </row>
    <row r="53" spans="1:2" s="11" customFormat="1" ht="56" x14ac:dyDescent="0.2">
      <c r="A53" s="13" t="s">
        <v>44</v>
      </c>
      <c r="B53" s="14">
        <v>0.75</v>
      </c>
    </row>
    <row r="54" spans="1:2" s="11" customFormat="1" ht="15.75" customHeight="1" x14ac:dyDescent="0.2">
      <c r="A54" s="24" t="s">
        <v>3</v>
      </c>
      <c r="B54" s="25">
        <f>SUM(B46:B53)</f>
        <v>14.25</v>
      </c>
    </row>
    <row r="55" spans="1:2" s="11" customFormat="1" ht="15.75" customHeight="1" x14ac:dyDescent="0.2">
      <c r="A55" s="29"/>
      <c r="B55" s="14"/>
    </row>
    <row r="56" spans="1:2" s="10" customFormat="1" ht="15.75" customHeight="1" x14ac:dyDescent="0.15">
      <c r="A56" s="28" t="s">
        <v>45</v>
      </c>
      <c r="B56" s="14"/>
    </row>
    <row r="57" spans="1:2" s="11" customFormat="1" ht="28" x14ac:dyDescent="0.2">
      <c r="A57" s="13" t="s">
        <v>46</v>
      </c>
      <c r="B57" s="14">
        <v>2.5</v>
      </c>
    </row>
    <row r="58" spans="1:2" s="11" customFormat="1" ht="28" x14ac:dyDescent="0.2">
      <c r="A58" s="13" t="s">
        <v>47</v>
      </c>
      <c r="B58" s="14">
        <v>1.5</v>
      </c>
    </row>
    <row r="59" spans="1:2" s="11" customFormat="1" ht="56" x14ac:dyDescent="0.2">
      <c r="A59" s="13" t="s">
        <v>48</v>
      </c>
      <c r="B59" s="14">
        <v>6</v>
      </c>
    </row>
    <row r="60" spans="1:2" s="11" customFormat="1" ht="42" x14ac:dyDescent="0.2">
      <c r="A60" s="13" t="s">
        <v>49</v>
      </c>
      <c r="B60" s="14">
        <v>2</v>
      </c>
    </row>
    <row r="61" spans="1:2" s="11" customFormat="1" ht="28" x14ac:dyDescent="0.2">
      <c r="A61" s="13" t="s">
        <v>50</v>
      </c>
      <c r="B61" s="14">
        <v>1.75</v>
      </c>
    </row>
    <row r="62" spans="1:2" s="11" customFormat="1" ht="42" x14ac:dyDescent="0.2">
      <c r="A62" s="13" t="s">
        <v>51</v>
      </c>
      <c r="B62" s="14">
        <v>2.25</v>
      </c>
    </row>
    <row r="63" spans="1:2" s="11" customFormat="1" ht="14" x14ac:dyDescent="0.2">
      <c r="A63" s="13" t="s">
        <v>52</v>
      </c>
      <c r="B63" s="14">
        <v>0.5</v>
      </c>
    </row>
    <row r="64" spans="1:2" s="11" customFormat="1" ht="15.75" customHeight="1" x14ac:dyDescent="0.2">
      <c r="A64" s="24" t="s">
        <v>3</v>
      </c>
      <c r="B64" s="25">
        <f>SUM(B56:B63)</f>
        <v>16.5</v>
      </c>
    </row>
    <row r="65" spans="1:2" s="11" customFormat="1" ht="15.75" customHeight="1" x14ac:dyDescent="0.2">
      <c r="A65" s="29"/>
      <c r="B65" s="14"/>
    </row>
    <row r="66" spans="1:2" s="11" customFormat="1" ht="15.75" customHeight="1" x14ac:dyDescent="0.2">
      <c r="A66" s="8" t="s">
        <v>53</v>
      </c>
      <c r="B66" s="14"/>
    </row>
    <row r="67" spans="1:2" s="11" customFormat="1" ht="56" x14ac:dyDescent="0.2">
      <c r="A67" s="21" t="s">
        <v>54</v>
      </c>
      <c r="B67" s="14">
        <v>1</v>
      </c>
    </row>
    <row r="68" spans="1:2" s="11" customFormat="1" ht="112" x14ac:dyDescent="0.2">
      <c r="A68" s="21" t="s">
        <v>55</v>
      </c>
      <c r="B68" s="14">
        <v>4.25</v>
      </c>
    </row>
    <row r="69" spans="1:2" s="11" customFormat="1" ht="15.75" customHeight="1" x14ac:dyDescent="0.2">
      <c r="A69" s="24" t="s">
        <v>3</v>
      </c>
      <c r="B69" s="25">
        <f>SUM(B67:B68)</f>
        <v>5.25</v>
      </c>
    </row>
    <row r="70" spans="1:2" s="11" customFormat="1" ht="15.75" customHeight="1" x14ac:dyDescent="0.2">
      <c r="A70" s="30"/>
      <c r="B70" s="14"/>
    </row>
    <row r="71" spans="1:2" s="11" customFormat="1" ht="15.75" customHeight="1" x14ac:dyDescent="0.2">
      <c r="A71" s="8" t="s">
        <v>56</v>
      </c>
      <c r="B71" s="14"/>
    </row>
    <row r="72" spans="1:2" s="11" customFormat="1" ht="14" x14ac:dyDescent="0.2">
      <c r="A72" s="21"/>
      <c r="B72" s="20"/>
    </row>
    <row r="73" spans="1:2" s="11" customFormat="1" ht="70" x14ac:dyDescent="0.2">
      <c r="A73" s="21" t="s">
        <v>57</v>
      </c>
      <c r="B73" s="14">
        <v>4.5</v>
      </c>
    </row>
    <row r="74" spans="1:2" s="11" customFormat="1" ht="56" x14ac:dyDescent="0.2">
      <c r="A74" s="21" t="s">
        <v>58</v>
      </c>
      <c r="B74" s="14">
        <v>1</v>
      </c>
    </row>
    <row r="75" spans="1:2" s="11" customFormat="1" ht="15.75" customHeight="1" x14ac:dyDescent="0.2">
      <c r="A75" s="24" t="s">
        <v>3</v>
      </c>
      <c r="B75" s="25">
        <f>SUM(B72:B74)</f>
        <v>5.5</v>
      </c>
    </row>
    <row r="76" spans="1:2" s="11" customFormat="1" ht="15.75" customHeight="1" x14ac:dyDescent="0.2">
      <c r="A76" s="30"/>
      <c r="B76" s="14"/>
    </row>
    <row r="77" spans="1:2" s="11" customFormat="1" ht="15.75" customHeight="1" x14ac:dyDescent="0.2">
      <c r="A77" s="8" t="s">
        <v>59</v>
      </c>
      <c r="B77" s="14"/>
    </row>
    <row r="78" spans="1:2" s="11" customFormat="1" ht="98" x14ac:dyDescent="0.2">
      <c r="A78" s="21" t="s">
        <v>60</v>
      </c>
      <c r="B78" s="14">
        <v>1.75</v>
      </c>
    </row>
    <row r="79" spans="1:2" s="11" customFormat="1" ht="56" x14ac:dyDescent="0.2">
      <c r="A79" s="21" t="s">
        <v>61</v>
      </c>
      <c r="B79" s="14">
        <v>0.75</v>
      </c>
    </row>
    <row r="80" spans="1:2" s="11" customFormat="1" ht="70" x14ac:dyDescent="0.2">
      <c r="A80" s="21" t="s">
        <v>62</v>
      </c>
      <c r="B80" s="14">
        <v>0.75</v>
      </c>
    </row>
    <row r="81" spans="1:2" s="11" customFormat="1" ht="70" x14ac:dyDescent="0.2">
      <c r="A81" s="21" t="s">
        <v>63</v>
      </c>
      <c r="B81" s="14">
        <v>0</v>
      </c>
    </row>
    <row r="82" spans="1:2" s="11" customFormat="1" ht="28" x14ac:dyDescent="0.2">
      <c r="A82" s="21" t="s">
        <v>64</v>
      </c>
      <c r="B82" s="14">
        <v>4</v>
      </c>
    </row>
    <row r="83" spans="1:2" s="11" customFormat="1" ht="15.75" customHeight="1" x14ac:dyDescent="0.2">
      <c r="A83" s="24" t="s">
        <v>3</v>
      </c>
      <c r="B83" s="25">
        <f>SUM(B78:B82)</f>
        <v>7.25</v>
      </c>
    </row>
    <row r="84" spans="1:2" s="11" customFormat="1" ht="15.75" customHeight="1" x14ac:dyDescent="0.2">
      <c r="A84" s="26"/>
      <c r="B84" s="32"/>
    </row>
    <row r="85" spans="1:2" s="11" customFormat="1" ht="16.5" customHeight="1" thickBot="1" x14ac:dyDescent="0.25">
      <c r="A85" s="33" t="s">
        <v>65</v>
      </c>
      <c r="B85" s="34">
        <f>SUM(B7+B16+B35+B43+B54+B64+B69+B75+B83)</f>
        <v>97.25</v>
      </c>
    </row>
    <row r="86" spans="1:2" s="11" customFormat="1" ht="16.5" customHeight="1" thickBot="1" x14ac:dyDescent="0.25">
      <c r="A86" s="33" t="s">
        <v>66</v>
      </c>
      <c r="B86" s="34" t="s">
        <v>67</v>
      </c>
    </row>
    <row r="87" spans="1:2" ht="15.75" customHeight="1" x14ac:dyDescent="0.2">
      <c r="A87" s="10"/>
      <c r="B87" s="10"/>
    </row>
    <row r="88" spans="1:2" ht="15.75" customHeight="1" x14ac:dyDescent="0.2">
      <c r="A88" s="35" t="s">
        <v>68</v>
      </c>
      <c r="B88" s="10"/>
    </row>
    <row r="89" spans="1:2" ht="15.75" customHeight="1" x14ac:dyDescent="0.2">
      <c r="A89" s="10"/>
      <c r="B89" s="10"/>
    </row>
    <row r="90" spans="1:2" ht="15.75" customHeight="1" x14ac:dyDescent="0.2">
      <c r="A90" s="10"/>
      <c r="B90" s="31" t="s">
        <v>69</v>
      </c>
    </row>
    <row r="91" spans="1:2" ht="15.75" customHeight="1" x14ac:dyDescent="0.2">
      <c r="A91" s="10"/>
      <c r="B91" s="31" t="s">
        <v>70</v>
      </c>
    </row>
    <row r="92" spans="1:2" ht="15.75" customHeight="1" x14ac:dyDescent="0.2">
      <c r="A92" s="10"/>
      <c r="B92" s="31" t="s">
        <v>71</v>
      </c>
    </row>
    <row r="93" spans="1:2" ht="15.75" customHeight="1" x14ac:dyDescent="0.2">
      <c r="A93" s="10"/>
      <c r="B93" s="36" t="s">
        <v>72</v>
      </c>
    </row>
    <row r="94" spans="1:2" ht="15.75" customHeight="1" x14ac:dyDescent="0.2">
      <c r="A94" s="10"/>
      <c r="B94" s="37" t="s">
        <v>73</v>
      </c>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c r="A126" s="10"/>
      <c r="B126" s="10"/>
    </row>
    <row r="127" spans="1:2" ht="15.75" customHeight="1" x14ac:dyDescent="0.2">
      <c r="A127" s="10"/>
      <c r="B127" s="10"/>
    </row>
    <row r="128" spans="1:2" ht="15.75" customHeight="1" x14ac:dyDescent="0.2">
      <c r="A128" s="10"/>
      <c r="B128" s="10"/>
    </row>
    <row r="129" spans="1:2" ht="15.75" customHeight="1" x14ac:dyDescent="0.2">
      <c r="A129" s="10"/>
      <c r="B129" s="10"/>
    </row>
    <row r="130" spans="1:2" ht="15.75" customHeight="1" x14ac:dyDescent="0.2">
      <c r="A130" s="10"/>
      <c r="B130" s="10"/>
    </row>
    <row r="131" spans="1:2" ht="15.75" customHeight="1" x14ac:dyDescent="0.2">
      <c r="A131" s="10"/>
      <c r="B131" s="10"/>
    </row>
    <row r="132" spans="1:2" ht="15.75" customHeight="1" x14ac:dyDescent="0.2">
      <c r="A132" s="10"/>
      <c r="B132" s="10"/>
    </row>
    <row r="133" spans="1:2" ht="15.75" customHeight="1" x14ac:dyDescent="0.2">
      <c r="A133" s="10"/>
      <c r="B133" s="10"/>
    </row>
    <row r="134" spans="1:2" ht="15.75" customHeight="1" x14ac:dyDescent="0.2">
      <c r="A134" s="10"/>
      <c r="B134" s="10"/>
    </row>
    <row r="135" spans="1:2" ht="15.75" customHeight="1" x14ac:dyDescent="0.2">
      <c r="A135" s="10"/>
      <c r="B135" s="10"/>
    </row>
    <row r="136" spans="1:2" ht="15.75" customHeight="1" x14ac:dyDescent="0.2">
      <c r="A136" s="10"/>
      <c r="B136" s="10"/>
    </row>
    <row r="137" spans="1:2" ht="15.75" customHeight="1" x14ac:dyDescent="0.2">
      <c r="A137" s="10"/>
      <c r="B137" s="10"/>
    </row>
    <row r="138" spans="1:2" ht="15.75" customHeight="1" x14ac:dyDescent="0.2">
      <c r="A138" s="10"/>
      <c r="B138" s="10"/>
    </row>
    <row r="139" spans="1:2" ht="15.75" customHeight="1" x14ac:dyDescent="0.2">
      <c r="A139" s="10"/>
      <c r="B139" s="10"/>
    </row>
    <row r="140" spans="1:2" ht="15.75" customHeight="1" x14ac:dyDescent="0.2">
      <c r="A140" s="10"/>
      <c r="B140" s="10"/>
    </row>
    <row r="141" spans="1:2" ht="15.75" customHeight="1" x14ac:dyDescent="0.2">
      <c r="A141" s="10"/>
      <c r="B141" s="10"/>
    </row>
    <row r="142" spans="1:2" ht="15.75" customHeight="1" x14ac:dyDescent="0.2">
      <c r="A142" s="10"/>
      <c r="B142" s="10"/>
    </row>
    <row r="143" spans="1:2" ht="15.75" customHeight="1" x14ac:dyDescent="0.2">
      <c r="A143" s="10"/>
      <c r="B143" s="10"/>
    </row>
    <row r="144" spans="1:2" ht="15.75" customHeight="1" x14ac:dyDescent="0.2">
      <c r="A144" s="10"/>
      <c r="B144" s="10"/>
    </row>
    <row r="145" spans="1:2" ht="15.75" customHeight="1" x14ac:dyDescent="0.2">
      <c r="A145" s="10"/>
      <c r="B145" s="10"/>
    </row>
    <row r="146" spans="1:2" ht="15.75" customHeight="1" x14ac:dyDescent="0.2">
      <c r="A146" s="10"/>
      <c r="B146" s="10"/>
    </row>
    <row r="147" spans="1:2" ht="15.75" customHeight="1" x14ac:dyDescent="0.2">
      <c r="A147" s="10"/>
      <c r="B147" s="10"/>
    </row>
    <row r="148" spans="1:2" ht="15.75" customHeight="1" x14ac:dyDescent="0.2">
      <c r="A148" s="10"/>
      <c r="B148" s="10"/>
    </row>
    <row r="149" spans="1:2" ht="15.75" customHeight="1" x14ac:dyDescent="0.2">
      <c r="A149" s="10"/>
      <c r="B149" s="10"/>
    </row>
    <row r="150" spans="1:2" ht="15.75" customHeight="1" x14ac:dyDescent="0.2">
      <c r="A150" s="10"/>
      <c r="B150" s="10"/>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row r="1018" spans="1:2" ht="15.75" customHeight="1" x14ac:dyDescent="0.2">
      <c r="A1018" s="3"/>
      <c r="B1018" s="3"/>
    </row>
    <row r="1019" spans="1:2" ht="15.75" customHeight="1" x14ac:dyDescent="0.2">
      <c r="A1019" s="3"/>
      <c r="B1019" s="3"/>
    </row>
    <row r="1020" spans="1:2" ht="15.75" customHeight="1" x14ac:dyDescent="0.2">
      <c r="A1020" s="3"/>
      <c r="B1020" s="3"/>
    </row>
    <row r="1021" spans="1:2" ht="15.75" customHeight="1" x14ac:dyDescent="0.2">
      <c r="A1021" s="3"/>
      <c r="B1021" s="3"/>
    </row>
    <row r="1022" spans="1:2" ht="15.75" customHeight="1" x14ac:dyDescent="0.2">
      <c r="A1022" s="3"/>
      <c r="B1022" s="3"/>
    </row>
    <row r="1023" spans="1:2" ht="15.75" customHeight="1" x14ac:dyDescent="0.2">
      <c r="A1023" s="3"/>
      <c r="B1023" s="3"/>
    </row>
    <row r="1024" spans="1:2" ht="15.75" customHeight="1" x14ac:dyDescent="0.2">
      <c r="A1024" s="3"/>
      <c r="B1024" s="3"/>
    </row>
    <row r="1025" spans="1:2" ht="15.75" customHeight="1" x14ac:dyDescent="0.2">
      <c r="A1025" s="3"/>
      <c r="B1025" s="3"/>
    </row>
    <row r="1026" spans="1:2" ht="15.75" customHeight="1" x14ac:dyDescent="0.2">
      <c r="A1026" s="3"/>
      <c r="B1026" s="3"/>
    </row>
    <row r="1027" spans="1:2" ht="15.75" customHeight="1" x14ac:dyDescent="0.2">
      <c r="A1027" s="3"/>
      <c r="B1027" s="3"/>
    </row>
    <row r="1028" spans="1:2" ht="15.75" customHeight="1" x14ac:dyDescent="0.2">
      <c r="A1028" s="3"/>
      <c r="B1028" s="3"/>
    </row>
    <row r="1029" spans="1:2" ht="15.75" customHeight="1" x14ac:dyDescent="0.2">
      <c r="A1029" s="3"/>
      <c r="B1029" s="3"/>
    </row>
    <row r="1030" spans="1:2" ht="15.75" customHeight="1" x14ac:dyDescent="0.2">
      <c r="A1030" s="3"/>
      <c r="B1030" s="3"/>
    </row>
    <row r="1031" spans="1:2" ht="15.75" customHeight="1" x14ac:dyDescent="0.2">
      <c r="A1031" s="3"/>
      <c r="B1031" s="3"/>
    </row>
    <row r="1032" spans="1:2" ht="15.75" customHeight="1" x14ac:dyDescent="0.2">
      <c r="A1032" s="3"/>
      <c r="B1032" s="3"/>
    </row>
    <row r="1033" spans="1:2" ht="15.75" customHeight="1" x14ac:dyDescent="0.2">
      <c r="A1033" s="3"/>
      <c r="B1033" s="3"/>
    </row>
    <row r="1034" spans="1:2" ht="15.75" customHeight="1" x14ac:dyDescent="0.2">
      <c r="A1034" s="3"/>
      <c r="B1034" s="3"/>
    </row>
    <row r="1035" spans="1:2" ht="15.75" customHeight="1" x14ac:dyDescent="0.2">
      <c r="A1035" s="3"/>
      <c r="B1035" s="3"/>
    </row>
    <row r="1036" spans="1:2" ht="15.75" customHeight="1" x14ac:dyDescent="0.2">
      <c r="A1036" s="3"/>
      <c r="B1036" s="3"/>
    </row>
    <row r="1037" spans="1:2" ht="15.75" customHeight="1" x14ac:dyDescent="0.2">
      <c r="A1037" s="3"/>
      <c r="B1037" s="3"/>
    </row>
    <row r="1038" spans="1:2" ht="15.75" customHeight="1" x14ac:dyDescent="0.2">
      <c r="A1038" s="3"/>
      <c r="B1038" s="3"/>
    </row>
    <row r="1039" spans="1:2" ht="15.75" customHeight="1" x14ac:dyDescent="0.2">
      <c r="A1039" s="3"/>
      <c r="B1039" s="3"/>
    </row>
    <row r="1040" spans="1:2" ht="15.75" customHeight="1" x14ac:dyDescent="0.2">
      <c r="A1040" s="3"/>
      <c r="B1040" s="3"/>
    </row>
  </sheetData>
  <hyperlinks>
    <hyperlink ref="A88" r:id="rId1" display="https://www.thoxan.com/kontakt/" xr:uid="{6917CF28-4C5C-5C4C-81D8-D7019324BA6E}"/>
    <hyperlink ref="A2" r:id="rId2" xr:uid="{996E19D7-8F3D-A64F-85B7-4DACC78C068F}"/>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2025-05-07T12:59:04Z</dcterms:created>
  <dcterms:modified xsi:type="dcterms:W3CDTF">2025-05-07T13:00:43Z</dcterms:modified>
</cp:coreProperties>
</file>