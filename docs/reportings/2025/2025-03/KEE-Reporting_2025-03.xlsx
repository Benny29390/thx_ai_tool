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3/"/>
    </mc:Choice>
  </mc:AlternateContent>
  <xr:revisionPtr revIDLastSave="0" documentId="13_ncr:1_{F8A4E581-0E08-704C-B9F7-1B33008EC114}" xr6:coauthVersionLast="47" xr6:coauthVersionMax="47" xr10:uidLastSave="{00000000-0000-0000-0000-000000000000}"/>
  <bookViews>
    <workbookView xWindow="30320" yWindow="500" windowWidth="21740" windowHeight="27000" xr2:uid="{2F516194-A2DA-2346-A801-5AEAD4FCDDC2}"/>
  </bookViews>
  <sheets>
    <sheet name="KE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44" i="1"/>
  <c r="B39" i="1"/>
  <c r="B33" i="1"/>
  <c r="B19" i="1"/>
  <c r="B13" i="1"/>
  <c r="B7" i="1"/>
  <c r="B59" i="1" l="1"/>
</calcChain>
</file>

<file path=xl/sharedStrings.xml><?xml version="1.0" encoding="utf-8"?>
<sst xmlns="http://schemas.openxmlformats.org/spreadsheetml/2006/main" count="60" uniqueCount="53">
  <si>
    <t>keeunit GmbH</t>
  </si>
  <si>
    <t>1. Quartal 2025</t>
  </si>
  <si>
    <t>https://keelearning.de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</si>
  <si>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</si>
  <si>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</si>
  <si>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</si>
  <si>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</si>
  <si>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</si>
  <si>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r>
      <t xml:space="preserve">Entfernen von Superlativen auf der aktuellen Website, Prüfung des Systems, Abstimmung und Dokumentation (20.-21.01., BKO, TKI) 
</t>
    </r>
    <r>
      <rPr>
        <sz val="10"/>
        <color rgb="FFFF0000"/>
        <rFont val="Arial"/>
        <family val="2"/>
      </rPr>
      <t>= 1 Std. ohne Berechnung</t>
    </r>
  </si>
  <si>
    <t>Erste Textarbeiten zur Systemlösung (Transformationsschritte) gemäß Abstimmung, interne Kommunikation, Dokumentation (28.02.-04.03., GBO, TKI)</t>
  </si>
  <si>
    <t>Weitere Textarbeiten zur Systemlösung (Transformationsschritte) gemäß Abstimmung, interne Kommunikation, senden an Kunde, Dokumentation (10.-19.03., GBO, TKI)</t>
  </si>
  <si>
    <t>3. Technische Arbeiten, UX-Optimierung, Onpage-Optimierung, ggf. Programmierung</t>
  </si>
  <si>
    <t>Testinstallation der keelearning-Website auf einem lokalen Server, technische'Prüfung, um Systeme sowie zwei Page Builder parallel betreiben zu können, interne Abstimmung (13.-15.01., BKO, TKI)</t>
  </si>
  <si>
    <t>Prüfung des Materials, Interne Abstimmung zur geschärften Positionierung lt. Miro-Board und Loom-Videos, Austausch mit Norma und Klären von div. Fragen 10-11 Uhr, anschließend Abstimmung zu den nächsten Maßnahmen und zur Visualisierung der Ideen (21.-24.02., BKO, TKI)</t>
  </si>
  <si>
    <t>Überarbeitung Webdesign, verschiedene Varianten Hero Header, Entwicklung Corporate Design Guidelines, Abstimmung im Team, Dokumentation (24.-27.02., BKO, RBO, TKI)</t>
  </si>
  <si>
    <t>4. Grafikdesign, Creatives, Corporate Design</t>
  </si>
  <si>
    <t>Kickoff-Call bzgl. Grafikdesign / Creatives für die geplanten Kampagnen (13.02., RBO, TKI)</t>
  </si>
  <si>
    <t>Sichtung/Ergänzung Ticket "KEE Marketing-Automation, Konzeption Funnel-Systematik, Copywriting" (17.02., RBO)</t>
  </si>
  <si>
    <t>Zoom-Call mit Daniel und Jonas zur Abstimmung der Anforderungen an die Social Ads Creatives; Kommunikation &amp; Dokumentation (19.02., RBO)</t>
  </si>
  <si>
    <t>Zoom-Call mit Benjamin Köhler bzgl. aktueller Design-Ausrichtung / Creatives (28.02., RBO)</t>
  </si>
  <si>
    <t>Sichtung bisheriges Material und erste grafische Entwürfe (05.03., RBO)</t>
  </si>
  <si>
    <t>Zoom-Call mit Benny und Thomas zur Besprechung der Creative-Entwürfe und weiteres Vorgehen (06.03., RBO, BKO, TKI)</t>
  </si>
  <si>
    <t>Sichtung bisheriges Material, Ads der Konkurrenz und weitere grafische Entwürfe erstellen (06.03., RBO)</t>
  </si>
  <si>
    <t>Finalisierung Entwürfe nach Feedback-Call, Erstellung von Instagram Mockups, Loom-Präsentation (07.03., RBO)</t>
  </si>
  <si>
    <t>Anpassung der Entwürfe an Webdesign und Bereitstellung in Canva inkl. Template (Styleguide) &amp; Info-Video (17.-18.03., RBO)</t>
  </si>
  <si>
    <t>Gemeinsamer Austausch zur Umsetzung der Visualisierung der Systemlösung (18.03., RBO, PGR, TKI)</t>
  </si>
  <si>
    <t>Canva-Vorlagen + Ausschnitt Info-Video bereitgestellt (21.03., RBO)</t>
  </si>
  <si>
    <t>5. Google Ads (Monitoring, Kampagnen umbauen, etc.)</t>
  </si>
  <si>
    <t>Google Ads (Monitoring Januar 2025):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(01.-31.01., JST, TKI)</t>
  </si>
  <si>
    <t>Google Ads (Monitoring Februar 2025):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(01.-28.02., JST, TKI)</t>
  </si>
  <si>
    <t>Google Ads (Monitoring März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(01.-31.03., JST, TKI)</t>
  </si>
  <si>
    <t>6. Social Ads (Monitoring, Kampagnen, etc.)</t>
  </si>
  <si>
    <t>Social Ads (Monitoring Januar 2025): Monatliches Monitoring der Werbe-kampagnen bei Facebook und Instagram, Anpassen der Werbeanzeigen, Verfeinern der Zielgruppe, kl. Arbeiten am Werbekonto, Abstimmung und Dokumentation (01.-21.01., JST, TKI)</t>
  </si>
  <si>
    <t>Social Ads Konzept entwickeln für mehrstufige Bewerbung von Interessierten entlang der Customer Journey, Auswertung der Werbekampagnen in Hinblick auf passende Conversion-Ziele, Ermittlung von Reichweite und Klickzahlen in Hinblick auf höhere Werbebudgets, Zusammentragen der Informationen und Aufbereiten als Präsentation mit konkreten Handlungsempfehlungen (28.01.-04.02., DHE, JST, TKI)</t>
  </si>
  <si>
    <t>7. Beratung &amp; Sonstiges</t>
  </si>
  <si>
    <t>Vorbereitung und virtuelle Abstimmung zur aktuellen Zusammenarbeit, Positionierung, weitere Vorgehensweise 2025, Klärung von div. Fragen 12-13 Uhr, anschließend Dokumentation und interne Abstimmung für die nächsten Maßnahmen (20.01., BKO, TKI)</t>
  </si>
  <si>
    <t>Kurze Prüfung Conversion-Tracking im Capterra PPC-Programm, Abstimmung (21.01., TKI)</t>
  </si>
  <si>
    <r>
      <t xml:space="preserve">Vorbereitung und Abstimmung zur erweiterten Zusammenarbeit, anschließend Dokumentation und interne Abstimmung für die nächsten Maßnahmen (30.01., TKI) = </t>
    </r>
    <r>
      <rPr>
        <sz val="10"/>
        <color rgb="FFFF0000"/>
        <rFont val="Arial"/>
        <family val="2"/>
      </rPr>
      <t>Ca. 1 Std. o. Berechnung (wg. Beauftragung)</t>
    </r>
  </si>
  <si>
    <t>Vorbereitung und Abstimmung zum Social-Ads-Konzept, weitere Vorgehensweise für PPC-Kampagnen, Klärung von div. Fragen 12:45-13:45 Uhr, anschließend Dokumentation und interne Abstimmung für die nächsten Maßnahmen (11.02., TKI)</t>
  </si>
  <si>
    <t>PPC-Kampagnen / Marketing-Automation: Abstimmung Linkedin-Business-Manager, Briefing für Daniel/Jonas, Abstimmung Ralf wegen Creatives, interne Organisation, Vorbereitung für Workshop Marketing-Automation mit Fragestellungen, Dokumentation per Video (11.-12.02., TKI)</t>
  </si>
  <si>
    <t>Vorbereitung und Kick-off-Workshop zur Marketing-Automation, Systemlösung, Vorgehensweise, Klärung von div. Fragen 11:30-12:50 Uhr, anschließend Dokumentation (Protokoll), Planung des Systemlösungs-Workshops und interne Abstimmung für die nächsten Maßnahmen (18.02., TKI)</t>
  </si>
  <si>
    <t>Vorbereitung und Workshop zur Systemlösung, inhaltliches Sparring zu den Transformationsschritten, Pains &amp; Gains, Klären von div. Fragen, 11-12:50 Uhr, anschließend Dokumentation und interne Abstimmung (Call) mit Gaby Bohnert für Textarbeiten (27.02., GBO, TKI)</t>
  </si>
  <si>
    <t>Vorbereitung und Workshop zur weiteren Ausarbeitung der Systemlösung, Klären von div. Fragen, 11-12.30 Uhr, anschließend Abstimmung und Dokumentation der nächsten Schritte (06.03., TKI)</t>
  </si>
  <si>
    <t>Kurze Prüfung und Abstimmung zu WiWO-Auszeichnung und kostenpflichtigen Siegeln (12.03., TKI)</t>
  </si>
  <si>
    <t>Organisation, Planung, Überwachung und Steuerung der Aufgaben und Ressourcen (pro Tagessatz ca. 0,5 Std., TKI)</t>
  </si>
  <si>
    <t>Aufwand ca. insgesamt in Std.</t>
  </si>
  <si>
    <t>Aufwand in Tagessätzen</t>
  </si>
  <si>
    <t>8 Tagessätze</t>
  </si>
  <si>
    <t>Noch Rückfragen? Kontakt zur Thoxan Communications GmbH unter https://www.thoxan.com/kontakt</t>
  </si>
  <si>
    <t>1,5 TS im Januar</t>
  </si>
  <si>
    <t>1,5 TS im Februar</t>
  </si>
  <si>
    <t>= 6-7 TS im 1. Quartal 2025</t>
  </si>
  <si>
    <t>3 bis 4 TS ab März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</si>
</sst>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FF0000"/>
      <name val="Arial"/>
      <family val="2"/>
    </font>
    <font>
      <sz val="10"/>
      <color theme="0" tint="-0.249977111117893"/>
      <name val="Arial"/>
      <family val="2"/>
    </font>
    <font>
      <sz val="10"/>
      <color rgb="FF808080"/>
      <name val="Arial"/>
      <family val="2"/>
    </font>
    <font>
      <b/>
      <sz val="10"/>
      <color theme="0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9" fillId="0" borderId="0" xfId="0" applyFont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quotePrefix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eelearning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30B3-E69F-1C4C-AE58-9369A9D27069}">
  <dimension ref="A1:B1014"/>
  <sheetViews>
    <sheetView tabSelected="1" zoomScale="150" zoomScaleNormal="150" workbookViewId="0">
      <pane ySplit="4" topLeftCell="A5" activePane="bottomLeft" state="frozen"/>
      <selection pane="bottomLeft" activeCell="B52" sqref="B52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42" x14ac:dyDescent="0.2">
      <c r="A10" s="20" t="s">
        <v>8</v>
      </c>
      <c r="B10" s="21">
        <v>0</v>
      </c>
    </row>
    <row r="11" spans="1:2" s="11" customFormat="1" ht="42" x14ac:dyDescent="0.2">
      <c r="A11" s="22" t="s">
        <v>9</v>
      </c>
      <c r="B11" s="14">
        <v>3.5</v>
      </c>
    </row>
    <row r="12" spans="1:2" s="11" customFormat="1" ht="42" x14ac:dyDescent="0.2">
      <c r="A12" s="22" t="s">
        <v>10</v>
      </c>
      <c r="B12" s="18">
        <v>4.5</v>
      </c>
    </row>
    <row r="13" spans="1:2" s="11" customFormat="1" ht="15.75" customHeight="1" x14ac:dyDescent="0.2">
      <c r="A13" s="15" t="s">
        <v>4</v>
      </c>
      <c r="B13" s="16">
        <f>SUM(B10:B12)</f>
        <v>8</v>
      </c>
    </row>
    <row r="14" spans="1:2" s="11" customFormat="1" ht="15.75" customHeight="1" x14ac:dyDescent="0.2">
      <c r="A14" s="23"/>
      <c r="B14" s="24"/>
    </row>
    <row r="15" spans="1:2" s="10" customFormat="1" ht="15.75" customHeight="1" x14ac:dyDescent="0.15">
      <c r="A15" s="25" t="s">
        <v>11</v>
      </c>
      <c r="B15" s="14"/>
    </row>
    <row r="16" spans="1:2" s="11" customFormat="1" ht="42" x14ac:dyDescent="0.2">
      <c r="A16" s="13" t="s">
        <v>12</v>
      </c>
      <c r="B16" s="14">
        <v>3</v>
      </c>
    </row>
    <row r="17" spans="1:2" s="11" customFormat="1" ht="70" x14ac:dyDescent="0.2">
      <c r="A17" s="13" t="s">
        <v>13</v>
      </c>
      <c r="B17" s="14">
        <v>3</v>
      </c>
    </row>
    <row r="18" spans="1:2" s="11" customFormat="1" ht="42" x14ac:dyDescent="0.2">
      <c r="A18" s="13" t="s">
        <v>14</v>
      </c>
      <c r="B18" s="14">
        <v>3.5</v>
      </c>
    </row>
    <row r="19" spans="1:2" s="11" customFormat="1" ht="15.75" customHeight="1" x14ac:dyDescent="0.2">
      <c r="A19" s="26" t="s">
        <v>4</v>
      </c>
      <c r="B19" s="27">
        <f>SUM(B15:B18)</f>
        <v>9.5</v>
      </c>
    </row>
    <row r="20" spans="1:2" s="11" customFormat="1" ht="15.75" customHeight="1" x14ac:dyDescent="0.2">
      <c r="A20" s="28"/>
      <c r="B20" s="14"/>
    </row>
    <row r="21" spans="1:2" s="10" customFormat="1" ht="15.75" customHeight="1" x14ac:dyDescent="0.15">
      <c r="A21" s="25" t="s">
        <v>15</v>
      </c>
      <c r="B21" s="14"/>
    </row>
    <row r="22" spans="1:2" s="11" customFormat="1" ht="28" x14ac:dyDescent="0.2">
      <c r="A22" s="13" t="s">
        <v>16</v>
      </c>
      <c r="B22" s="14">
        <v>0.5</v>
      </c>
    </row>
    <row r="23" spans="1:2" s="11" customFormat="1" ht="28" x14ac:dyDescent="0.2">
      <c r="A23" s="13" t="s">
        <v>17</v>
      </c>
      <c r="B23" s="14">
        <v>0.25</v>
      </c>
    </row>
    <row r="24" spans="1:2" s="11" customFormat="1" ht="42" x14ac:dyDescent="0.2">
      <c r="A24" s="13" t="s">
        <v>18</v>
      </c>
      <c r="B24" s="14">
        <v>0.5</v>
      </c>
    </row>
    <row r="25" spans="1:2" s="11" customFormat="1" ht="28" x14ac:dyDescent="0.2">
      <c r="A25" s="13" t="s">
        <v>19</v>
      </c>
      <c r="B25" s="14">
        <v>0.5</v>
      </c>
    </row>
    <row r="26" spans="1:2" s="11" customFormat="1" ht="14" x14ac:dyDescent="0.2">
      <c r="A26" s="13" t="s">
        <v>20</v>
      </c>
      <c r="B26" s="14">
        <v>1.25</v>
      </c>
    </row>
    <row r="27" spans="1:2" s="11" customFormat="1" ht="28" x14ac:dyDescent="0.2">
      <c r="A27" s="13" t="s">
        <v>21</v>
      </c>
      <c r="B27" s="14">
        <v>2.25</v>
      </c>
    </row>
    <row r="28" spans="1:2" s="11" customFormat="1" ht="28" x14ac:dyDescent="0.2">
      <c r="A28" s="13" t="s">
        <v>22</v>
      </c>
      <c r="B28" s="14">
        <v>2.25</v>
      </c>
    </row>
    <row r="29" spans="1:2" s="11" customFormat="1" ht="28" x14ac:dyDescent="0.2">
      <c r="A29" s="13" t="s">
        <v>23</v>
      </c>
      <c r="B29" s="14">
        <v>1.5</v>
      </c>
    </row>
    <row r="30" spans="1:2" s="11" customFormat="1" ht="28" x14ac:dyDescent="0.2">
      <c r="A30" s="13" t="s">
        <v>24</v>
      </c>
      <c r="B30" s="14">
        <v>3.25</v>
      </c>
    </row>
    <row r="31" spans="1:2" s="11" customFormat="1" ht="28" x14ac:dyDescent="0.2">
      <c r="A31" s="13" t="s">
        <v>25</v>
      </c>
      <c r="B31" s="14">
        <v>1</v>
      </c>
    </row>
    <row r="32" spans="1:2" s="11" customFormat="1" ht="14" x14ac:dyDescent="0.2">
      <c r="A32" s="13" t="s">
        <v>26</v>
      </c>
      <c r="B32" s="14">
        <v>0.25</v>
      </c>
    </row>
    <row r="33" spans="1:2" s="11" customFormat="1" ht="15.75" customHeight="1" x14ac:dyDescent="0.2">
      <c r="A33" s="26" t="s">
        <v>4</v>
      </c>
      <c r="B33" s="27">
        <f>SUM(B21:B32)</f>
        <v>13.5</v>
      </c>
    </row>
    <row r="34" spans="1:2" s="11" customFormat="1" ht="15.75" customHeight="1" x14ac:dyDescent="0.2">
      <c r="A34" s="28"/>
      <c r="B34" s="14"/>
    </row>
    <row r="35" spans="1:2" s="11" customFormat="1" ht="15.75" customHeight="1" x14ac:dyDescent="0.2">
      <c r="A35" s="8" t="s">
        <v>27</v>
      </c>
      <c r="B35" s="14"/>
    </row>
    <row r="36" spans="1:2" s="11" customFormat="1" ht="112" x14ac:dyDescent="0.2">
      <c r="A36" s="22" t="s">
        <v>28</v>
      </c>
      <c r="B36" s="14">
        <v>8</v>
      </c>
    </row>
    <row r="37" spans="1:2" s="11" customFormat="1" ht="112" x14ac:dyDescent="0.2">
      <c r="A37" s="22" t="s">
        <v>29</v>
      </c>
      <c r="B37" s="14">
        <v>4</v>
      </c>
    </row>
    <row r="38" spans="1:2" s="11" customFormat="1" ht="112" x14ac:dyDescent="0.2">
      <c r="A38" s="22" t="s">
        <v>30</v>
      </c>
      <c r="B38" s="14">
        <v>4</v>
      </c>
    </row>
    <row r="39" spans="1:2" s="11" customFormat="1" ht="15.75" customHeight="1" x14ac:dyDescent="0.2">
      <c r="A39" s="26" t="s">
        <v>4</v>
      </c>
      <c r="B39" s="27">
        <f>SUM(B36:B38)</f>
        <v>16</v>
      </c>
    </row>
    <row r="40" spans="1:2" s="11" customFormat="1" ht="15.75" customHeight="1" x14ac:dyDescent="0.2">
      <c r="A40" s="29"/>
      <c r="B40" s="14"/>
    </row>
    <row r="41" spans="1:2" s="11" customFormat="1" ht="15.75" customHeight="1" x14ac:dyDescent="0.2">
      <c r="A41" s="8" t="s">
        <v>31</v>
      </c>
      <c r="B41" s="14"/>
    </row>
    <row r="42" spans="1:2" s="11" customFormat="1" ht="56" x14ac:dyDescent="0.2">
      <c r="A42" s="22" t="s">
        <v>32</v>
      </c>
      <c r="B42" s="24">
        <v>0.5</v>
      </c>
    </row>
    <row r="43" spans="1:2" s="11" customFormat="1" ht="98" x14ac:dyDescent="0.2">
      <c r="A43" s="22" t="s">
        <v>33</v>
      </c>
      <c r="B43" s="14">
        <v>4.5</v>
      </c>
    </row>
    <row r="44" spans="1:2" s="11" customFormat="1" ht="15.75" customHeight="1" x14ac:dyDescent="0.2">
      <c r="A44" s="26" t="s">
        <v>4</v>
      </c>
      <c r="B44" s="27">
        <f>SUM(B42:B43)</f>
        <v>5</v>
      </c>
    </row>
    <row r="45" spans="1:2" s="11" customFormat="1" ht="15.75" customHeight="1" x14ac:dyDescent="0.2">
      <c r="A45" s="29"/>
      <c r="B45" s="14"/>
    </row>
    <row r="46" spans="1:2" s="11" customFormat="1" ht="15.75" customHeight="1" x14ac:dyDescent="0.2">
      <c r="A46" s="8" t="s">
        <v>34</v>
      </c>
      <c r="B46" s="14"/>
    </row>
    <row r="47" spans="1:2" s="11" customFormat="1" ht="56" x14ac:dyDescent="0.2">
      <c r="A47" s="22" t="s">
        <v>35</v>
      </c>
      <c r="B47" s="14">
        <v>2.5</v>
      </c>
    </row>
    <row r="48" spans="1:2" s="11" customFormat="1" ht="28" x14ac:dyDescent="0.2">
      <c r="A48" s="22" t="s">
        <v>36</v>
      </c>
      <c r="B48" s="14">
        <v>0.25</v>
      </c>
    </row>
    <row r="49" spans="1:2" s="11" customFormat="1" ht="56" x14ac:dyDescent="0.2">
      <c r="A49" s="22" t="s">
        <v>37</v>
      </c>
      <c r="B49" s="14">
        <v>0</v>
      </c>
    </row>
    <row r="50" spans="1:2" s="11" customFormat="1" ht="56" x14ac:dyDescent="0.2">
      <c r="A50" s="22" t="s">
        <v>38</v>
      </c>
      <c r="B50" s="14">
        <v>1</v>
      </c>
    </row>
    <row r="51" spans="1:2" s="11" customFormat="1" ht="70" x14ac:dyDescent="0.2">
      <c r="A51" s="22" t="s">
        <v>39</v>
      </c>
      <c r="B51" s="14">
        <v>1</v>
      </c>
    </row>
    <row r="52" spans="1:2" s="11" customFormat="1" ht="70" x14ac:dyDescent="0.2">
      <c r="A52" s="22" t="s">
        <v>40</v>
      </c>
      <c r="B52" s="14">
        <v>2.25</v>
      </c>
    </row>
    <row r="53" spans="1:2" s="11" customFormat="1" ht="56" x14ac:dyDescent="0.2">
      <c r="A53" s="22" t="s">
        <v>41</v>
      </c>
      <c r="B53" s="14">
        <v>3</v>
      </c>
    </row>
    <row r="54" spans="1:2" s="11" customFormat="1" ht="42" x14ac:dyDescent="0.2">
      <c r="A54" s="22" t="s">
        <v>42</v>
      </c>
      <c r="B54" s="14">
        <v>2</v>
      </c>
    </row>
    <row r="55" spans="1:2" s="11" customFormat="1" ht="28" x14ac:dyDescent="0.2">
      <c r="A55" s="22" t="s">
        <v>43</v>
      </c>
      <c r="B55" s="14">
        <v>0.25</v>
      </c>
    </row>
    <row r="56" spans="1:2" s="11" customFormat="1" ht="28" x14ac:dyDescent="0.2">
      <c r="A56" s="22" t="s">
        <v>44</v>
      </c>
      <c r="B56" s="14">
        <v>4</v>
      </c>
    </row>
    <row r="57" spans="1:2" s="11" customFormat="1" ht="15.75" customHeight="1" x14ac:dyDescent="0.2">
      <c r="A57" s="26" t="s">
        <v>4</v>
      </c>
      <c r="B57" s="27">
        <f>SUM(B47:B56)</f>
        <v>16.25</v>
      </c>
    </row>
    <row r="58" spans="1:2" s="11" customFormat="1" ht="15.75" customHeight="1" x14ac:dyDescent="0.2">
      <c r="A58" s="31"/>
      <c r="B58" s="32"/>
    </row>
    <row r="59" spans="1:2" s="11" customFormat="1" ht="16.5" customHeight="1" thickBot="1" x14ac:dyDescent="0.25">
      <c r="A59" s="33" t="s">
        <v>45</v>
      </c>
      <c r="B59" s="34">
        <f>SUM(B7+B13+B19+B33+B39+B44+B57)</f>
        <v>68.25</v>
      </c>
    </row>
    <row r="60" spans="1:2" s="11" customFormat="1" ht="16.5" customHeight="1" thickBot="1" x14ac:dyDescent="0.25">
      <c r="A60" s="33" t="s">
        <v>46</v>
      </c>
      <c r="B60" s="34" t="s">
        <v>47</v>
      </c>
    </row>
    <row r="61" spans="1:2" ht="15.75" customHeight="1" x14ac:dyDescent="0.2">
      <c r="A61" s="10"/>
      <c r="B61" s="10"/>
    </row>
    <row r="62" spans="1:2" ht="15.75" customHeight="1" x14ac:dyDescent="0.2">
      <c r="A62" s="35" t="s">
        <v>48</v>
      </c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30" t="s">
        <v>49</v>
      </c>
    </row>
    <row r="65" spans="1:2" ht="15.75" customHeight="1" x14ac:dyDescent="0.2">
      <c r="A65" s="10"/>
      <c r="B65" s="30" t="s">
        <v>50</v>
      </c>
    </row>
    <row r="66" spans="1:2" ht="15.75" customHeight="1" x14ac:dyDescent="0.2">
      <c r="A66" s="10"/>
      <c r="B66" s="30" t="s">
        <v>52</v>
      </c>
    </row>
    <row r="67" spans="1:2" ht="15.75" customHeight="1" x14ac:dyDescent="0.2">
      <c r="A67" s="10"/>
      <c r="B67" s="36" t="s">
        <v>51</v>
      </c>
    </row>
    <row r="68" spans="1:2" ht="15.75" customHeight="1" x14ac:dyDescent="0.2">
      <c r="A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10"/>
      <c r="B113" s="10"/>
    </row>
    <row r="114" spans="1:2" ht="15.75" customHeight="1" x14ac:dyDescent="0.2">
      <c r="A114" s="10"/>
      <c r="B114" s="10"/>
    </row>
    <row r="115" spans="1:2" ht="15.75" customHeight="1" x14ac:dyDescent="0.2">
      <c r="A115" s="10"/>
      <c r="B115" s="10"/>
    </row>
    <row r="116" spans="1:2" ht="15.75" customHeight="1" x14ac:dyDescent="0.2">
      <c r="A116" s="10"/>
      <c r="B116" s="10"/>
    </row>
    <row r="117" spans="1:2" ht="15.75" customHeight="1" x14ac:dyDescent="0.2">
      <c r="A117" s="10"/>
      <c r="B117" s="10"/>
    </row>
    <row r="118" spans="1:2" ht="15.75" customHeight="1" x14ac:dyDescent="0.2">
      <c r="A118" s="10"/>
      <c r="B118" s="10"/>
    </row>
    <row r="119" spans="1:2" ht="15.75" customHeight="1" x14ac:dyDescent="0.2">
      <c r="A119" s="10"/>
      <c r="B119" s="10"/>
    </row>
    <row r="120" spans="1:2" ht="15.75" customHeight="1" x14ac:dyDescent="0.2">
      <c r="A120" s="10"/>
      <c r="B120" s="10"/>
    </row>
    <row r="121" spans="1:2" ht="15.75" customHeight="1" x14ac:dyDescent="0.2">
      <c r="A121" s="10"/>
      <c r="B121" s="10"/>
    </row>
    <row r="122" spans="1:2" ht="15.75" customHeight="1" x14ac:dyDescent="0.2">
      <c r="A122" s="10"/>
      <c r="B122" s="10"/>
    </row>
    <row r="123" spans="1:2" ht="15.75" customHeight="1" x14ac:dyDescent="0.2">
      <c r="A123" s="10"/>
      <c r="B123" s="10"/>
    </row>
    <row r="124" spans="1:2" ht="15.75" customHeight="1" x14ac:dyDescent="0.2">
      <c r="A124" s="10"/>
      <c r="B124" s="10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  <row r="1003" spans="1:2" ht="15.75" customHeight="1" x14ac:dyDescent="0.2">
      <c r="A1003" s="3"/>
      <c r="B1003" s="3"/>
    </row>
    <row r="1004" spans="1:2" ht="15.75" customHeight="1" x14ac:dyDescent="0.2">
      <c r="A1004" s="3"/>
      <c r="B1004" s="3"/>
    </row>
    <row r="1005" spans="1:2" ht="15.75" customHeight="1" x14ac:dyDescent="0.2">
      <c r="A1005" s="3"/>
      <c r="B1005" s="3"/>
    </row>
    <row r="1006" spans="1:2" ht="15.75" customHeight="1" x14ac:dyDescent="0.2">
      <c r="A1006" s="3"/>
      <c r="B1006" s="3"/>
    </row>
    <row r="1007" spans="1:2" ht="15.75" customHeight="1" x14ac:dyDescent="0.2">
      <c r="A1007" s="3"/>
      <c r="B1007" s="3"/>
    </row>
    <row r="1008" spans="1:2" ht="15.75" customHeight="1" x14ac:dyDescent="0.2">
      <c r="A1008" s="3"/>
      <c r="B1008" s="3"/>
    </row>
    <row r="1009" spans="1:2" ht="15.75" customHeight="1" x14ac:dyDescent="0.2">
      <c r="A1009" s="3"/>
      <c r="B1009" s="3"/>
    </row>
    <row r="1010" spans="1:2" ht="15.75" customHeight="1" x14ac:dyDescent="0.2">
      <c r="A1010" s="3"/>
      <c r="B1010" s="3"/>
    </row>
    <row r="1011" spans="1:2" ht="15.75" customHeight="1" x14ac:dyDescent="0.2">
      <c r="A1011" s="3"/>
      <c r="B1011" s="3"/>
    </row>
    <row r="1012" spans="1:2" ht="15.75" customHeight="1" x14ac:dyDescent="0.2">
      <c r="A1012" s="3"/>
      <c r="B1012" s="3"/>
    </row>
    <row r="1013" spans="1:2" ht="15.75" customHeight="1" x14ac:dyDescent="0.2">
      <c r="A1013" s="3"/>
      <c r="B1013" s="3"/>
    </row>
    <row r="1014" spans="1:2" ht="15.75" customHeight="1" x14ac:dyDescent="0.2">
      <c r="A1014" s="3"/>
      <c r="B1014" s="3"/>
    </row>
  </sheetData>
  <hyperlinks>
    <hyperlink ref="A62" r:id="rId1" display="https://www.thoxan.com/kontakt/" xr:uid="{9CC5D56B-0C27-DF4B-86DB-DF04788736D1}"/>
    <hyperlink ref="A2" r:id="rId2" xr:uid="{D31B31DB-7544-0145-A324-27E575FE5FF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2025-03-23T11:27:31Z</dcterms:created>
  <dcterms:modified xsi:type="dcterms:W3CDTF">2025-03-23T11:39:36Z</dcterms:modified>
</cp:coreProperties>
</file>