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8_{6AE9D75B-00ED-FC45-ABFD-99093EC495CC}" xr6:coauthVersionLast="47" xr6:coauthVersionMax="47" xr10:uidLastSave="{00000000-0000-0000-0000-000000000000}"/>
  <bookViews>
    <workbookView xWindow="2760" yWindow="880" windowWidth="27580" windowHeight="20280" xr2:uid="{D99351D9-0372-3B48-A4EA-E0F666383113}"/>
  </bookViews>
  <sheets>
    <sheet name="SR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2" i="1"/>
  <c r="B22" i="1"/>
  <c r="B16" i="1"/>
  <c r="B12" i="1"/>
  <c r="B42" i="1" l="1"/>
</calcChain>
</file>

<file path=xl/sharedStrings.xml><?xml version="1.0" encoding="utf-8"?>
<sst xmlns="http://schemas.openxmlformats.org/spreadsheetml/2006/main" count="41" uniqueCount="36">
  <si>
    <t>Serious Results Beratung und Training UG </t>
  </si>
  <si>
    <t>1. Quartal 2025</t>
  </si>
  <si>
    <t>https://www.jensdroege.de/ bzw. playwork.pro</t>
  </si>
  <si>
    <t>Monatliche Optimierung</t>
  </si>
  <si>
    <t>Aufwand ca. in Std.</t>
  </si>
  <si>
    <t>1. Aufbau eines einheitlichen Brandings (Positionierung), Werbemittel, Angebot, etc.</t>
  </si>
  <si>
    <r>
      <rPr>
        <b/>
        <sz val="10"/>
        <color theme="1"/>
        <rFont val="Arial"/>
        <family val="2"/>
      </rPr>
      <t>Visitenkarten:</t>
    </r>
    <r>
      <rPr>
        <sz val="10"/>
        <color theme="1"/>
        <rFont val="Arial"/>
        <family val="2"/>
      </rPr>
      <t xml:space="preserve"> Konzeption, Entwurf und Ausgestaltung einer 2-seitigen Visitenkarten im Format 85x55 mm, inkl. 1 Korrekturphase, Reinzeichnung nach Freigabe durch den Kunden, Druckvorlagenerstellung (02.-09.12., RBO)</t>
    </r>
  </si>
  <si>
    <r>
      <rPr>
        <b/>
        <sz val="10"/>
        <color theme="1"/>
        <rFont val="Arial"/>
        <family val="2"/>
      </rPr>
      <t>Angebots-Vorlage:</t>
    </r>
    <r>
      <rPr>
        <sz val="10"/>
        <color theme="1"/>
        <rFont val="Arial"/>
        <family val="2"/>
      </rPr>
      <t xml:space="preserve"> Finalisierung der Angebotsvorlage anhand der neu konzipierten Werbeflyer-Vorlage mit verschiedenen Farbtönen, Reinzeichnung nach Freigabe durch den Kunden, Druckvorlagenerstellung, Abstimmung und Dokumentation (09.12., RBO)</t>
    </r>
  </si>
  <si>
    <r>
      <rPr>
        <b/>
        <sz val="10"/>
        <color theme="1"/>
        <rFont val="Arial"/>
        <family val="2"/>
      </rPr>
      <t>Header für LinkedIn Events:</t>
    </r>
    <r>
      <rPr>
        <sz val="10"/>
        <color theme="1"/>
        <rFont val="Arial"/>
        <family val="2"/>
      </rPr>
      <t xml:space="preserve"> Konzeption, Entwurf und Ausgestaltung von Headergrafiken für LinkedIn Events (Logo, Titel, Teaserbild), inkl. 1 Korrekturphase, Reinzeichnung nach Freigabe durch den Kunden (10.12., RBO)</t>
    </r>
  </si>
  <si>
    <r>
      <rPr>
        <b/>
        <sz val="10"/>
        <color theme="1"/>
        <rFont val="Arial"/>
        <family val="2"/>
      </rPr>
      <t>DIN lang für Notizen:</t>
    </r>
    <r>
      <rPr>
        <sz val="10"/>
        <color theme="1"/>
        <rFont val="Arial"/>
        <family val="2"/>
      </rPr>
      <t xml:space="preserve"> Konzeption, Entwurf und Ausgestaltung eines DIN lang Flyers für Notizen, inkl. 1 Korrekturphase, Reinzeichnung nach Freigabe durch den Kunden, Druckvorlagenerstellung (10.12., RBO)</t>
    </r>
  </si>
  <si>
    <r>
      <rPr>
        <b/>
        <sz val="10"/>
        <color theme="1"/>
        <rFont val="Arial"/>
        <family val="2"/>
      </rPr>
      <t>Werbeflyer DIN A4:</t>
    </r>
    <r>
      <rPr>
        <sz val="10"/>
        <color theme="1"/>
        <rFont val="Arial"/>
        <family val="2"/>
      </rPr>
      <t xml:space="preserve"> Finalisierung des Werbeflyers, Integration der Werbesprüche-Ideen, Reinzeichnung nach Freigabe durch den Kunden, Druckvorlagenerstellung (13.12., RBO)</t>
    </r>
  </si>
  <si>
    <r>
      <rPr>
        <b/>
        <sz val="10"/>
        <color theme="1"/>
        <rFont val="Arial"/>
        <family val="2"/>
      </rPr>
      <t>Newsletter-Header:</t>
    </r>
    <r>
      <rPr>
        <sz val="10"/>
        <color theme="1"/>
        <rFont val="Arial"/>
        <family val="2"/>
      </rPr>
      <t xml:space="preserve"> Konzeption, Entwurf und Ausgestaltung eines Headers für einen Pipedrive Newsletter, inkl. 1 Korrekturphase, Reinzeichnung nach Freigabe durch den Kunden (10.12., RBO)</t>
    </r>
  </si>
  <si>
    <t>2. Onpage-Optimierung, technische Arbeiten</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</si>
  <si>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(23.-25.03., TKI) </t>
  </si>
  <si>
    <t>3. Redaktionelle Arbeiten, UX-Optimierung &amp; Website-Pflege</t>
  </si>
  <si>
    <t>Recherche wegen der Platzierung der Ausbildungsangebote, Besucherzahlen und Conversions, Dokumentation und Abstimmung zur Vorgehensweise (18.03., TKI)</t>
  </si>
  <si>
    <t>Umsetzung des Grids für die nächsten drei Termine auf der Startseite, kl. Anpassungen, Abstimmung (19.03., BKO, TKI)</t>
  </si>
  <si>
    <r>
      <rPr>
        <b/>
        <sz val="10"/>
        <color theme="1"/>
        <rFont val="Arial"/>
        <family val="2"/>
      </rPr>
      <t>Textarbeiten Landingpage "Überlastung Führungskräfte":</t>
    </r>
    <r>
      <rPr>
        <sz val="10"/>
        <color theme="1"/>
        <rFont val="Arial"/>
        <family val="2"/>
      </rPr>
      <t xml:space="preserve"> Abstimmung, Briefing und inhaltliche Konzeption (Scribble), Recherche und Zusammentragen der Informationen, Texterstellung, Keyword-Optimierung nach WDF*IDF, Ergänzungen und kl. Anpassungen, Lektorat, Abstimmung  und Dokumentation (24.-25.03., GBO, TKI)</t>
    </r>
  </si>
  <si>
    <t>4. Google Ads, Conversion-Tracking, Monitoring, etc.</t>
  </si>
  <si>
    <r>
      <rPr>
        <b/>
        <sz val="10"/>
        <color theme="1"/>
        <rFont val="Arial"/>
        <family val="2"/>
      </rPr>
      <t xml:space="preserve">Optimierung von Google Analytics 4 </t>
    </r>
    <r>
      <rPr>
        <sz val="10"/>
        <color theme="1"/>
        <rFont val="Arial"/>
        <family val="2"/>
      </rPr>
      <t>und Website-Integration mithilfe des Google Tag Managers, Ereignisse aus dem Google Tag Manager importieren, um Aktionen auf der Website nachverfolgen zu können, Conversions in der neuen Google Analytics 4 Property einrichten und in Google Ads importieren, um Online Marketing Maßnahmen zu bewerten, Zielgruppen erstellen für Auswertungen und Remarketing-Maßnahmen, kl. Anpassungen und Dokumentation (10.-11.12., JST, DHE)</t>
    </r>
  </si>
  <si>
    <r>
      <rPr>
        <b/>
        <sz val="10"/>
        <color theme="1"/>
        <rFont val="Arial"/>
        <family val="2"/>
      </rPr>
      <t xml:space="preserve">Optimierung des Conversion-Trackings: </t>
    </r>
    <r>
      <rPr>
        <sz val="10"/>
        <color theme="1"/>
        <rFont val="Arial"/>
        <family val="2"/>
      </rPr>
      <t>Abstimmung und Website-Recherche, technische Einrichtung des Conversion-Trackings mittels Google Tag Manager zur Messung verschiedener Conversion-Ziele lt. Konzeption und Absprache, Verbindung zu Google Analytics herstellen, Funktionsprüfung und Dokumentation (10.-16.12., JST, TKI)</t>
    </r>
  </si>
  <si>
    <r>
      <rPr>
        <b/>
        <sz val="10"/>
        <color theme="1"/>
        <rFont val="Arial"/>
        <family val="2"/>
      </rPr>
      <t>Optimierung des bestehenden Google Ads Kontos</t>
    </r>
    <r>
      <rPr>
        <sz val="10"/>
        <color theme="1"/>
        <rFont val="Arial"/>
        <family val="2"/>
      </rPr>
      <t>, Abstimmung, Einrichtung weiterer Google Ads Kampagnen (LSP-Seminar Februar 2025), Anzeigengruppen erstellt, Keywords recherchiert und hinzugefügt, Anzeigentexte für die verschiedenen Kampagnen erstellt, Anzeigenerweiterungen und Sitelinks erstellt, Zielgruppen sowie beispielhaftes Bildmaterial fürs Remarketing hinzugefügt, Budgets angepasst, weitere kl. Anpassungen im Google Ads Konto, Dokumentation und Abstimmung (10.-13.12., JST, DHE)</t>
    </r>
  </si>
  <si>
    <r>
      <rPr>
        <b/>
        <sz val="10"/>
        <color theme="1"/>
        <rFont val="Arial"/>
        <family val="2"/>
      </rPr>
      <t xml:space="preserve">Lookerstudio-Dashboard für Google Ads (Einrichtung): </t>
    </r>
    <r>
      <rPr>
        <sz val="10"/>
        <color theme="1"/>
        <rFont val="Arial"/>
        <family val="2"/>
      </rPr>
      <t>Abstimmung und Recherche, Einrichtung eines Dashboards auf Basis von Google Lookerstudio, Verknüpfen mit Google Tag Manager, Google Analytics und Google Ads, Anpassen der Kennzahlen und Auswertungen für einen schnellen Überblick, Vormonats-Vergleich, Kampagnen, Anzeigengruppen und Keywords, Dokumentation und Abstimmung (27.01., JST)</t>
    </r>
  </si>
  <si>
    <r>
      <rPr>
        <b/>
        <sz val="10"/>
        <color theme="1"/>
        <rFont val="Arial"/>
        <family val="2"/>
      </rPr>
      <t>Google Ads (Monitoring):</t>
    </r>
    <r>
      <rPr>
        <sz val="10"/>
        <color theme="1"/>
        <rFont val="Arial"/>
        <family val="2"/>
      </rPr>
      <t xml:space="preserve">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(15.12.-31.01., JST, TKI)</t>
    </r>
  </si>
  <si>
    <r>
      <rPr>
        <b/>
        <sz val="10"/>
        <color theme="1"/>
        <rFont val="Arial"/>
        <family val="2"/>
      </rPr>
      <t>Google Ads (Monitoring):</t>
    </r>
    <r>
      <rPr>
        <sz val="10"/>
        <color theme="1"/>
        <rFont val="Arial"/>
        <family val="2"/>
      </rPr>
      <t xml:space="preserve">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(01.-28.02., JST, TKI)</t>
    </r>
  </si>
  <si>
    <t>Konzeption Google Ads Strategie, Funnel-Systematik entwickeln (Pretargeting, Search, Solution, Conversion, Remarketing), div. Abstimmung und Überlegungen zu "Kittelbrennfaktoren", Dokumentation und Konzepterstellung fürs Briefing zur Umsetzung, kurze Keyword-Prüfung, Abstimmung und Dokumentation (12.02., 20.02.-03.03., 18.-20.03., TKI)</t>
  </si>
  <si>
    <t>5. Beratung &amp; Sonstiges</t>
  </si>
  <si>
    <t>Recherche nach möglichen Kittelbrennfaktoren, Zusammentragen der Informationen, Ergänzung mit möglichen Fragestellungen für Workshops, Priorisierung und Aufbereitung als Tabelle zur Übersicht (22., 23.01., TKI)</t>
  </si>
  <si>
    <t>Kurze Vorbereitung und Durchführung eines Workshops zur strategischen Ausrichtung, Positionierung als Organisationsentwicklung, Zielgruppen und deren ereignisorientierte Bedarfsanalyse, Klären von Fragen, Entwicklung einer passenden Vermarktungsstrategie via Google Ads und Website, 10-11:20 Uhr, anschließend Dokumentation und Planung der nächsten Schritte (23.01., TKI)</t>
  </si>
  <si>
    <t>Kurze Vorbereitung und Durchführung eines Workshops zum Thema Google Ads, Kampagnenstruktur abstimmen, Klären von div. Fragen, 11.30--12:20 Uhr, anschließend Aktivieren und Bearbeiten der Kampagnen für gezielte Bewerbung, Dokumentation und Planung der nächsten Schritte (11.02., TKI)</t>
  </si>
  <si>
    <t>Kurze Vorbereitung und Durchführung eines Workshops zum Thema Google Ads und Kampagnen-Entwicklung, Aufbau von Landingpages für verschiedene Kittelbrennfaktoren, erste Schritte auf dem Weg zu einer Systemlösung, Klären von div. Fragen, 13.00--14:10 Uhr, anschließend interne Abstimmung für die nächsten Schritte (11.03., TKI)</t>
  </si>
  <si>
    <t>Organisation, Planung, Überwachung und Steuerung der Aufgaben und Ressourcen (pro Tagessatz ca. 0,5 Std., TKI)</t>
  </si>
  <si>
    <t>Aufwand ca. insgesamt in Std.</t>
  </si>
  <si>
    <t>Aufwand in Tagessätzen</t>
  </si>
  <si>
    <t>5 TS</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</si>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</sst>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rgb="FF000000"/>
      <name val="Arial"/>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249977111117893"/>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0" borderId="0" xfId="0" applyFont="1"/>
    <xf numFmtId="49" fontId="2" fillId="0" borderId="0" xfId="0" applyNumberFormat="1" applyFont="1" applyAlignment="1">
      <alignment horizontal="right"/>
    </xf>
    <xf numFmtId="0" fontId="3" fillId="0" borderId="0" xfId="0" applyFont="1"/>
    <xf numFmtId="49" fontId="5" fillId="0" borderId="0" xfId="1" applyNumberFormat="1" applyFont="1" applyAlignment="1">
      <alignment horizontal="left"/>
    </xf>
    <xf numFmtId="49" fontId="6" fillId="0" borderId="0" xfId="0" applyNumberFormat="1" applyFont="1" applyAlignment="1">
      <alignment horizontal="right"/>
    </xf>
    <xf numFmtId="49" fontId="6" fillId="0" borderId="0" xfId="0" applyNumberFormat="1" applyFont="1" applyAlignment="1">
      <alignment horizontal="left"/>
    </xf>
    <xf numFmtId="0" fontId="7" fillId="0" borderId="0" xfId="0" applyFont="1"/>
    <xf numFmtId="0" fontId="6" fillId="0" borderId="0" xfId="0" applyFont="1"/>
    <xf numFmtId="0" fontId="7" fillId="0" borderId="1" xfId="0" applyFont="1" applyBorder="1"/>
    <xf numFmtId="0" fontId="7" fillId="2" borderId="1" xfId="0" applyFont="1" applyFill="1" applyBorder="1" applyAlignment="1">
      <alignment horizontal="center" vertical="center"/>
    </xf>
    <xf numFmtId="0" fontId="8" fillId="0" borderId="0" xfId="0" applyFont="1"/>
    <xf numFmtId="0" fontId="7" fillId="0" borderId="1" xfId="0" applyFont="1" applyBorder="1" applyAlignment="1">
      <alignment wrapText="1"/>
    </xf>
    <xf numFmtId="0" fontId="7" fillId="0" borderId="1"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horizontal="center" vertical="center"/>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6" fillId="0" borderId="1" xfId="0" applyFont="1" applyBorder="1" applyAlignment="1">
      <alignment wrapText="1"/>
    </xf>
    <xf numFmtId="0" fontId="9" fillId="0" borderId="0" xfId="0" applyFont="1"/>
    <xf numFmtId="0" fontId="7" fillId="0" borderId="3" xfId="0" applyFont="1" applyBorder="1"/>
    <xf numFmtId="0" fontId="6" fillId="0" borderId="2" xfId="0" applyFont="1" applyBorder="1" applyAlignment="1">
      <alignment horizontal="center" vertical="center"/>
    </xf>
    <xf numFmtId="0" fontId="6" fillId="0" borderId="3" xfId="0" applyFont="1" applyBorder="1" applyAlignment="1">
      <alignment vertical="top" wrapText="1"/>
    </xf>
    <xf numFmtId="0" fontId="6" fillId="0" borderId="2" xfId="0" applyFont="1" applyBorder="1" applyAlignment="1" applyProtection="1">
      <alignment vertical="top" wrapText="1"/>
      <protection locked="0"/>
    </xf>
    <xf numFmtId="0" fontId="6" fillId="3" borderId="1" xfId="0" applyFont="1" applyFill="1" applyBorder="1" applyAlignment="1">
      <alignment horizontal="center" vertical="center"/>
    </xf>
    <xf numFmtId="0" fontId="6" fillId="2" borderId="2" xfId="0" applyFont="1" applyFill="1" applyBorder="1" applyAlignment="1">
      <alignment vertical="center"/>
    </xf>
    <xf numFmtId="0" fontId="6" fillId="2" borderId="2" xfId="0" applyFont="1" applyFill="1" applyBorder="1" applyAlignment="1">
      <alignment horizontal="center" vertical="center"/>
    </xf>
    <xf numFmtId="0" fontId="6" fillId="0" borderId="3" xfId="0" applyFont="1" applyBorder="1" applyAlignment="1">
      <alignment vertical="center"/>
    </xf>
    <xf numFmtId="0" fontId="6" fillId="0" borderId="0" xfId="0" applyFont="1" applyAlignment="1">
      <alignment vertical="top" wrapText="1"/>
    </xf>
    <xf numFmtId="0" fontId="6" fillId="0" borderId="4" xfId="0" applyFont="1" applyBorder="1" applyAlignment="1">
      <alignment vertical="top" wrapText="1"/>
    </xf>
    <xf numFmtId="0" fontId="6" fillId="0" borderId="5" xfId="0" applyFont="1" applyBorder="1" applyAlignment="1">
      <alignment horizontal="center" vertical="center"/>
    </xf>
    <xf numFmtId="0" fontId="6" fillId="2" borderId="6" xfId="0" applyFont="1" applyFill="1" applyBorder="1" applyAlignment="1">
      <alignment vertical="center"/>
    </xf>
    <xf numFmtId="0" fontId="7" fillId="2" borderId="6" xfId="0" applyFont="1" applyFill="1" applyBorder="1" applyAlignment="1">
      <alignment horizontal="center" vertical="center"/>
    </xf>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jensdroege.de/%20bzw.%20playwork.pro"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342B-E40D-D84A-8CE6-16C8262BD61E}">
  <dimension ref="A1:B997"/>
  <sheetViews>
    <sheetView tabSelected="1" zoomScale="130" zoomScaleNormal="130" workbookViewId="0">
      <pane ySplit="4" topLeftCell="A5" activePane="bottomLeft" state="frozen"/>
      <selection pane="bottomLeft" activeCell="C38" sqref="C38"/>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9"/>
      <c r="B4" s="10" t="s">
        <v>4</v>
      </c>
    </row>
    <row r="5" spans="1:2" s="11" customFormat="1" ht="29" x14ac:dyDescent="0.2">
      <c r="A5" s="12" t="s">
        <v>5</v>
      </c>
      <c r="B5" s="13"/>
    </row>
    <row r="6" spans="1:2" s="11" customFormat="1" ht="56" x14ac:dyDescent="0.2">
      <c r="A6" s="15" t="s">
        <v>6</v>
      </c>
      <c r="B6" s="16">
        <v>1</v>
      </c>
    </row>
    <row r="7" spans="1:2" s="11" customFormat="1" ht="70" x14ac:dyDescent="0.2">
      <c r="A7" s="15" t="s">
        <v>7</v>
      </c>
      <c r="B7" s="16">
        <v>4.75</v>
      </c>
    </row>
    <row r="8" spans="1:2" s="11" customFormat="1" ht="56" x14ac:dyDescent="0.2">
      <c r="A8" s="15" t="s">
        <v>8</v>
      </c>
      <c r="B8" s="16">
        <v>0.75</v>
      </c>
    </row>
    <row r="9" spans="1:2" s="11" customFormat="1" ht="56" x14ac:dyDescent="0.2">
      <c r="A9" s="15" t="s">
        <v>9</v>
      </c>
      <c r="B9" s="16">
        <v>0.75</v>
      </c>
    </row>
    <row r="10" spans="1:2" s="11" customFormat="1" ht="42" x14ac:dyDescent="0.2">
      <c r="A10" s="15" t="s">
        <v>10</v>
      </c>
      <c r="B10" s="16">
        <v>1.5</v>
      </c>
    </row>
    <row r="11" spans="1:2" s="11" customFormat="1" ht="42" x14ac:dyDescent="0.2">
      <c r="A11" s="15" t="s">
        <v>11</v>
      </c>
      <c r="B11" s="16">
        <v>0.5</v>
      </c>
    </row>
    <row r="12" spans="1:2" s="11" customFormat="1" ht="15.75" customHeight="1" x14ac:dyDescent="0.2">
      <c r="A12" s="17" t="s">
        <v>4</v>
      </c>
      <c r="B12" s="18">
        <f>SUM(B5:B11)</f>
        <v>9.25</v>
      </c>
    </row>
    <row r="13" spans="1:2" s="11" customFormat="1" ht="14" x14ac:dyDescent="0.2">
      <c r="A13" s="19"/>
      <c r="B13" s="13"/>
    </row>
    <row r="14" spans="1:2" s="11" customFormat="1" x14ac:dyDescent="0.2">
      <c r="A14" s="12" t="s">
        <v>12</v>
      </c>
      <c r="B14" s="13"/>
    </row>
    <row r="15" spans="1:2" s="20" customFormat="1" ht="98" x14ac:dyDescent="0.2">
      <c r="A15" s="15" t="s">
        <v>13</v>
      </c>
      <c r="B15" s="16">
        <v>2</v>
      </c>
    </row>
    <row r="16" spans="1:2" s="11" customFormat="1" ht="15.75" customHeight="1" x14ac:dyDescent="0.2">
      <c r="A16" s="17" t="s">
        <v>4</v>
      </c>
      <c r="B16" s="18">
        <f>SUM(B14:B15)</f>
        <v>2</v>
      </c>
    </row>
    <row r="17" spans="1:2" s="11" customFormat="1" ht="15.75" customHeight="1" x14ac:dyDescent="0.2">
      <c r="A17" s="9"/>
      <c r="B17" s="13"/>
    </row>
    <row r="18" spans="1:2" s="11" customFormat="1" ht="15.75" customHeight="1" x14ac:dyDescent="0.2">
      <c r="A18" s="21" t="s">
        <v>14</v>
      </c>
      <c r="B18" s="14"/>
    </row>
    <row r="19" spans="1:2" s="11" customFormat="1" ht="42" x14ac:dyDescent="0.2">
      <c r="A19" s="23" t="s">
        <v>15</v>
      </c>
      <c r="B19" s="22">
        <v>0.5</v>
      </c>
    </row>
    <row r="20" spans="1:2" s="20" customFormat="1" ht="28" x14ac:dyDescent="0.2">
      <c r="A20" s="24" t="s">
        <v>16</v>
      </c>
      <c r="B20" s="25">
        <v>0.75</v>
      </c>
    </row>
    <row r="21" spans="1:2" s="20" customFormat="1" ht="68" customHeight="1" x14ac:dyDescent="0.2">
      <c r="A21" s="15" t="s">
        <v>17</v>
      </c>
      <c r="B21" s="16">
        <v>4.5</v>
      </c>
    </row>
    <row r="22" spans="1:2" s="11" customFormat="1" ht="15.75" customHeight="1" x14ac:dyDescent="0.2">
      <c r="A22" s="26" t="s">
        <v>4</v>
      </c>
      <c r="B22" s="27">
        <f>SUM(B19:B21)</f>
        <v>5.75</v>
      </c>
    </row>
    <row r="23" spans="1:2" s="11" customFormat="1" ht="15.75" customHeight="1" x14ac:dyDescent="0.2">
      <c r="A23" s="28"/>
      <c r="B23" s="14"/>
    </row>
    <row r="24" spans="1:2" s="11" customFormat="1" ht="15.75" customHeight="1" x14ac:dyDescent="0.2">
      <c r="A24" s="9" t="s">
        <v>18</v>
      </c>
      <c r="B24" s="16"/>
    </row>
    <row r="25" spans="1:2" s="11" customFormat="1" ht="95" customHeight="1" x14ac:dyDescent="0.2">
      <c r="A25" s="23" t="s">
        <v>19</v>
      </c>
      <c r="B25" s="16">
        <v>2</v>
      </c>
    </row>
    <row r="26" spans="1:2" s="11" customFormat="1" ht="70" x14ac:dyDescent="0.2">
      <c r="A26" s="23" t="s">
        <v>20</v>
      </c>
      <c r="B26" s="16">
        <v>3.5</v>
      </c>
    </row>
    <row r="27" spans="1:2" s="11" customFormat="1" ht="112" x14ac:dyDescent="0.2">
      <c r="A27" s="15" t="s">
        <v>21</v>
      </c>
      <c r="B27" s="16">
        <v>2.5</v>
      </c>
    </row>
    <row r="28" spans="1:2" s="11" customFormat="1" ht="82" customHeight="1" x14ac:dyDescent="0.2">
      <c r="A28" s="23" t="s">
        <v>22</v>
      </c>
      <c r="B28" s="16">
        <v>2</v>
      </c>
    </row>
    <row r="29" spans="1:2" s="11" customFormat="1" ht="96" customHeight="1" x14ac:dyDescent="0.2">
      <c r="A29" s="15" t="s">
        <v>23</v>
      </c>
      <c r="B29" s="16">
        <v>2.25</v>
      </c>
    </row>
    <row r="30" spans="1:2" s="11" customFormat="1" ht="96" customHeight="1" x14ac:dyDescent="0.2">
      <c r="A30" s="15" t="s">
        <v>24</v>
      </c>
      <c r="B30" s="16">
        <v>0.5</v>
      </c>
    </row>
    <row r="31" spans="1:2" s="11" customFormat="1" ht="82" customHeight="1" x14ac:dyDescent="0.2">
      <c r="A31" s="29" t="s">
        <v>25</v>
      </c>
      <c r="B31" s="16">
        <v>4</v>
      </c>
    </row>
    <row r="32" spans="1:2" s="11" customFormat="1" ht="15.75" customHeight="1" x14ac:dyDescent="0.2">
      <c r="A32" s="26" t="s">
        <v>4</v>
      </c>
      <c r="B32" s="27">
        <f>SUM(B24:B31)</f>
        <v>16.75</v>
      </c>
    </row>
    <row r="33" spans="1:2" s="11" customFormat="1" ht="14" x14ac:dyDescent="0.2">
      <c r="A33" s="23"/>
      <c r="B33" s="22"/>
    </row>
    <row r="34" spans="1:2" s="11" customFormat="1" ht="15.75" customHeight="1" x14ac:dyDescent="0.2">
      <c r="A34" s="9" t="s">
        <v>26</v>
      </c>
      <c r="B34" s="16"/>
    </row>
    <row r="35" spans="1:2" s="11" customFormat="1" ht="56" x14ac:dyDescent="0.2">
      <c r="A35" s="15" t="s">
        <v>27</v>
      </c>
      <c r="B35" s="16">
        <v>1.25</v>
      </c>
    </row>
    <row r="36" spans="1:2" s="11" customFormat="1" ht="98" x14ac:dyDescent="0.2">
      <c r="A36" s="15" t="s">
        <v>28</v>
      </c>
      <c r="B36" s="16">
        <v>1.5</v>
      </c>
    </row>
    <row r="37" spans="1:2" s="11" customFormat="1" ht="70" x14ac:dyDescent="0.2">
      <c r="A37" s="15" t="s">
        <v>29</v>
      </c>
      <c r="B37" s="16">
        <v>1.25</v>
      </c>
    </row>
    <row r="38" spans="1:2" s="11" customFormat="1" ht="84" x14ac:dyDescent="0.2">
      <c r="A38" s="15" t="s">
        <v>30</v>
      </c>
      <c r="B38" s="16">
        <v>1.5</v>
      </c>
    </row>
    <row r="39" spans="1:2" s="11" customFormat="1" ht="28" x14ac:dyDescent="0.2">
      <c r="A39" s="15" t="s">
        <v>31</v>
      </c>
      <c r="B39" s="16">
        <v>2.5</v>
      </c>
    </row>
    <row r="40" spans="1:2" s="11" customFormat="1" ht="15.75" customHeight="1" x14ac:dyDescent="0.2">
      <c r="A40" s="17" t="s">
        <v>4</v>
      </c>
      <c r="B40" s="18">
        <f>SUM(B34:B39)</f>
        <v>8</v>
      </c>
    </row>
    <row r="41" spans="1:2" s="11" customFormat="1" ht="14" x14ac:dyDescent="0.2">
      <c r="A41" s="30"/>
      <c r="B41" s="31"/>
    </row>
    <row r="42" spans="1:2" s="11" customFormat="1" ht="16.5" customHeight="1" thickBot="1" x14ac:dyDescent="0.25">
      <c r="A42" s="32" t="s">
        <v>32</v>
      </c>
      <c r="B42" s="33">
        <f>SUM(B12+B16+B22+B32+B40)</f>
        <v>41.75</v>
      </c>
    </row>
    <row r="43" spans="1:2" s="11" customFormat="1" ht="16.5" customHeight="1" thickBot="1" x14ac:dyDescent="0.25">
      <c r="A43" s="32" t="s">
        <v>33</v>
      </c>
      <c r="B43" s="33" t="s">
        <v>34</v>
      </c>
    </row>
    <row r="44" spans="1:2" ht="15.75" customHeight="1" x14ac:dyDescent="0.2">
      <c r="A44" s="8"/>
      <c r="B44" s="8"/>
    </row>
    <row r="45" spans="1:2" ht="15.75" customHeight="1" x14ac:dyDescent="0.2">
      <c r="A45" s="34" t="s">
        <v>35</v>
      </c>
      <c r="B45" s="8"/>
    </row>
    <row r="46" spans="1:2" ht="15.75" customHeight="1" x14ac:dyDescent="0.2">
      <c r="A46" s="8"/>
      <c r="B46" s="8"/>
    </row>
    <row r="47" spans="1:2" ht="15.75" customHeight="1" x14ac:dyDescent="0.2">
      <c r="A47" s="8"/>
      <c r="B47" s="8"/>
    </row>
    <row r="48" spans="1:2" ht="15.75" customHeight="1" x14ac:dyDescent="0.2">
      <c r="A48" s="8"/>
      <c r="B48" s="8"/>
    </row>
    <row r="49" spans="1:2" ht="15.75" customHeight="1" x14ac:dyDescent="0.2">
      <c r="A49" s="8"/>
      <c r="B49" s="8"/>
    </row>
    <row r="50" spans="1:2" ht="15.75" customHeight="1" x14ac:dyDescent="0.2">
      <c r="A50" s="8"/>
      <c r="B50" s="8"/>
    </row>
    <row r="51" spans="1:2" ht="15.75" customHeight="1" x14ac:dyDescent="0.2">
      <c r="A51" s="8"/>
      <c r="B51" s="8"/>
    </row>
    <row r="52" spans="1:2" ht="15.75" customHeight="1" x14ac:dyDescent="0.2">
      <c r="A52" s="8"/>
      <c r="B52" s="8"/>
    </row>
    <row r="53" spans="1:2" ht="15.75" customHeight="1" x14ac:dyDescent="0.2">
      <c r="A53" s="8"/>
      <c r="B53" s="8"/>
    </row>
    <row r="54" spans="1:2" ht="15.75" customHeight="1" x14ac:dyDescent="0.2">
      <c r="A54" s="8"/>
      <c r="B54" s="8"/>
    </row>
    <row r="55" spans="1:2" ht="15.75" customHeight="1" x14ac:dyDescent="0.2">
      <c r="A55" s="8"/>
      <c r="B55" s="8"/>
    </row>
    <row r="56" spans="1:2" ht="15.75" customHeight="1" x14ac:dyDescent="0.2">
      <c r="A56" s="8"/>
      <c r="B56" s="8"/>
    </row>
    <row r="57" spans="1:2" ht="15.75" customHeight="1" x14ac:dyDescent="0.2">
      <c r="A57" s="8"/>
      <c r="B57" s="8"/>
    </row>
    <row r="58" spans="1:2" ht="15.75" customHeight="1" x14ac:dyDescent="0.2">
      <c r="A58" s="8"/>
      <c r="B58" s="8"/>
    </row>
    <row r="59" spans="1:2" ht="15.75" customHeight="1" x14ac:dyDescent="0.2">
      <c r="A59" s="8"/>
      <c r="B59" s="8"/>
    </row>
    <row r="60" spans="1:2" ht="15.75" customHeight="1" x14ac:dyDescent="0.2">
      <c r="A60" s="8"/>
      <c r="B60" s="8"/>
    </row>
    <row r="61" spans="1:2" ht="15.75" customHeight="1" x14ac:dyDescent="0.2">
      <c r="A61" s="8"/>
      <c r="B61" s="8"/>
    </row>
    <row r="62" spans="1:2" ht="15.75" customHeight="1" x14ac:dyDescent="0.2">
      <c r="A62" s="8"/>
      <c r="B62" s="8"/>
    </row>
    <row r="63" spans="1:2" ht="15.75" customHeight="1" x14ac:dyDescent="0.2">
      <c r="A63" s="8"/>
      <c r="B63" s="8"/>
    </row>
    <row r="64" spans="1:2" ht="15.75" customHeight="1" x14ac:dyDescent="0.2">
      <c r="A64" s="8"/>
      <c r="B64" s="8"/>
    </row>
    <row r="65" spans="1:2" ht="15.75" customHeight="1" x14ac:dyDescent="0.2">
      <c r="A65" s="8"/>
      <c r="B65" s="8"/>
    </row>
    <row r="66" spans="1:2" ht="15.75" customHeight="1" x14ac:dyDescent="0.2">
      <c r="A66" s="8"/>
      <c r="B66" s="8"/>
    </row>
    <row r="67" spans="1:2" ht="15.75" customHeight="1" x14ac:dyDescent="0.2">
      <c r="A67" s="8"/>
      <c r="B67" s="8"/>
    </row>
    <row r="68" spans="1:2" ht="15.75" customHeight="1" x14ac:dyDescent="0.2">
      <c r="A68" s="8"/>
      <c r="B68" s="8"/>
    </row>
    <row r="69" spans="1:2" ht="15.75" customHeight="1" x14ac:dyDescent="0.2">
      <c r="A69" s="8"/>
      <c r="B69" s="8"/>
    </row>
    <row r="70" spans="1:2" ht="15.75" customHeight="1" x14ac:dyDescent="0.2">
      <c r="A70" s="8"/>
      <c r="B70" s="8"/>
    </row>
    <row r="71" spans="1:2" ht="15.75" customHeight="1" x14ac:dyDescent="0.2">
      <c r="A71" s="8"/>
      <c r="B71" s="8"/>
    </row>
    <row r="72" spans="1:2" ht="15.75" customHeight="1" x14ac:dyDescent="0.2">
      <c r="A72" s="8"/>
      <c r="B72" s="8"/>
    </row>
    <row r="73" spans="1:2" ht="15.75" customHeight="1" x14ac:dyDescent="0.2">
      <c r="A73" s="8"/>
      <c r="B73" s="8"/>
    </row>
    <row r="74" spans="1:2" ht="15.75" customHeight="1" x14ac:dyDescent="0.2">
      <c r="A74" s="8"/>
      <c r="B74" s="8"/>
    </row>
    <row r="75" spans="1:2" ht="15.75" customHeight="1" x14ac:dyDescent="0.2">
      <c r="A75" s="8"/>
      <c r="B75" s="8"/>
    </row>
    <row r="76" spans="1:2" ht="15.75" customHeight="1" x14ac:dyDescent="0.2">
      <c r="A76" s="8"/>
      <c r="B76" s="8"/>
    </row>
    <row r="77" spans="1:2" ht="15.75" customHeight="1" x14ac:dyDescent="0.2">
      <c r="A77" s="8"/>
      <c r="B77" s="8"/>
    </row>
    <row r="78" spans="1:2" ht="15.75" customHeight="1" x14ac:dyDescent="0.2">
      <c r="A78" s="8"/>
      <c r="B78" s="8"/>
    </row>
    <row r="79" spans="1:2" ht="15.75" customHeight="1" x14ac:dyDescent="0.2">
      <c r="A79" s="8"/>
      <c r="B79" s="8"/>
    </row>
    <row r="80" spans="1:2" ht="15.75" customHeight="1" x14ac:dyDescent="0.2">
      <c r="A80" s="8"/>
      <c r="B80" s="8"/>
    </row>
    <row r="81" spans="1:2" ht="15.75" customHeight="1" x14ac:dyDescent="0.2">
      <c r="A81" s="8"/>
      <c r="B81" s="8"/>
    </row>
    <row r="82" spans="1:2" ht="15.75" customHeight="1" x14ac:dyDescent="0.2">
      <c r="A82" s="8"/>
      <c r="B82" s="8"/>
    </row>
    <row r="83" spans="1:2" ht="15.75" customHeight="1" x14ac:dyDescent="0.2">
      <c r="A83" s="8"/>
      <c r="B83" s="8"/>
    </row>
    <row r="84" spans="1:2" ht="15.75" customHeight="1" x14ac:dyDescent="0.2">
      <c r="A84" s="8"/>
      <c r="B84" s="8"/>
    </row>
    <row r="85" spans="1:2" ht="15.75" customHeight="1" x14ac:dyDescent="0.2">
      <c r="A85" s="8"/>
      <c r="B85" s="8"/>
    </row>
    <row r="86" spans="1:2" ht="15.75" customHeight="1" x14ac:dyDescent="0.2">
      <c r="A86" s="8"/>
      <c r="B86" s="8"/>
    </row>
    <row r="87" spans="1:2" ht="15.75" customHeight="1" x14ac:dyDescent="0.2">
      <c r="A87" s="8"/>
      <c r="B87" s="8"/>
    </row>
    <row r="88" spans="1:2" ht="15.75" customHeight="1" x14ac:dyDescent="0.2">
      <c r="A88" s="8"/>
      <c r="B88" s="8"/>
    </row>
    <row r="89" spans="1:2" ht="15.75" customHeight="1" x14ac:dyDescent="0.2">
      <c r="A89" s="8"/>
      <c r="B89" s="8"/>
    </row>
    <row r="90" spans="1:2" ht="15.75" customHeight="1" x14ac:dyDescent="0.2">
      <c r="A90" s="8"/>
      <c r="B90" s="8"/>
    </row>
    <row r="91" spans="1:2" ht="15.75" customHeight="1" x14ac:dyDescent="0.2">
      <c r="A91" s="8"/>
      <c r="B91" s="8"/>
    </row>
    <row r="92" spans="1:2" ht="15.75" customHeight="1" x14ac:dyDescent="0.2">
      <c r="A92" s="8"/>
      <c r="B92" s="8"/>
    </row>
    <row r="93" spans="1:2" ht="15.75" customHeight="1" x14ac:dyDescent="0.2">
      <c r="A93" s="8"/>
      <c r="B93" s="8"/>
    </row>
    <row r="94" spans="1:2" ht="15.75" customHeight="1" x14ac:dyDescent="0.2">
      <c r="A94" s="8"/>
      <c r="B94" s="8"/>
    </row>
    <row r="95" spans="1:2" ht="15.75" customHeight="1" x14ac:dyDescent="0.2">
      <c r="A95" s="8"/>
      <c r="B95" s="8"/>
    </row>
    <row r="96" spans="1:2" ht="15.75" customHeight="1" x14ac:dyDescent="0.2">
      <c r="A96" s="8"/>
      <c r="B96" s="8"/>
    </row>
    <row r="97" spans="1:2" ht="15.75" customHeight="1" x14ac:dyDescent="0.2">
      <c r="A97" s="8"/>
      <c r="B97" s="8"/>
    </row>
    <row r="98" spans="1:2" ht="15.75" customHeight="1" x14ac:dyDescent="0.2">
      <c r="A98" s="8"/>
      <c r="B98" s="8"/>
    </row>
    <row r="99" spans="1:2" ht="15.75" customHeight="1" x14ac:dyDescent="0.2">
      <c r="A99" s="8"/>
      <c r="B99" s="8"/>
    </row>
    <row r="100" spans="1:2" ht="15.75" customHeight="1" x14ac:dyDescent="0.2">
      <c r="A100" s="8"/>
      <c r="B100" s="8"/>
    </row>
    <row r="101" spans="1:2" ht="15.75" customHeight="1" x14ac:dyDescent="0.2">
      <c r="A101" s="8"/>
      <c r="B101" s="8"/>
    </row>
    <row r="102" spans="1:2" ht="15.75" customHeight="1" x14ac:dyDescent="0.2">
      <c r="A102" s="8"/>
      <c r="B102" s="8"/>
    </row>
    <row r="103" spans="1:2" ht="15.75" customHeight="1" x14ac:dyDescent="0.2">
      <c r="A103" s="8"/>
      <c r="B103" s="8"/>
    </row>
    <row r="104" spans="1:2" ht="15.75" customHeight="1" x14ac:dyDescent="0.2">
      <c r="A104" s="8"/>
      <c r="B104" s="8"/>
    </row>
    <row r="105" spans="1:2" ht="15.75" customHeight="1" x14ac:dyDescent="0.2">
      <c r="A105" s="8"/>
      <c r="B105" s="8"/>
    </row>
    <row r="106" spans="1:2" ht="15.75" customHeight="1" x14ac:dyDescent="0.2">
      <c r="A106" s="8"/>
      <c r="B106" s="8"/>
    </row>
    <row r="107" spans="1:2" ht="15.75" customHeight="1" x14ac:dyDescent="0.2">
      <c r="A107" s="8"/>
      <c r="B107" s="8"/>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sheetData>
  <hyperlinks>
    <hyperlink ref="A45" r:id="rId1" display="https://www.thoxan.com/kontakt/" xr:uid="{A2A55334-4F7A-FA45-B8D9-9A541EEA5446}"/>
    <hyperlink ref="A2" r:id="rId2" xr:uid="{E310E117-852D-4B40-804A-D5F8F9F2335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2025-03-25T20:08:21Z</dcterms:created>
  <dcterms:modified xsi:type="dcterms:W3CDTF">2025-03-25T20:10:04Z</dcterms:modified>
</cp:coreProperties>
</file>