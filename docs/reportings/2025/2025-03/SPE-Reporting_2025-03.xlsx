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3/"/>
    </mc:Choice>
  </mc:AlternateContent>
  <xr:revisionPtr revIDLastSave="0" documentId="8_{E9B7CF78-83FC-5441-9BBD-24B3F193D67E}" xr6:coauthVersionLast="47" xr6:coauthVersionMax="47" xr10:uidLastSave="{00000000-0000-0000-0000-000000000000}"/>
  <bookViews>
    <workbookView xWindow="8740" yWindow="500" windowWidth="38720" windowHeight="26820" xr2:uid="{FD772300-088C-DD49-9A7E-E5288EE7ADE1}"/>
  </bookViews>
  <sheets>
    <sheet name="SP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1" l="1"/>
  <c r="B40" i="1"/>
  <c r="B33" i="1"/>
  <c r="B28" i="1"/>
  <c r="B24" i="1"/>
  <c r="B17" i="1"/>
  <c r="B12" i="1"/>
</calcChain>
</file>

<file path=xl/sharedStrings.xml><?xml version="1.0" encoding="utf-8"?>
<sst xmlns="http://schemas.openxmlformats.org/spreadsheetml/2006/main" count="40" uniqueCount="34">
  <si>
    <t>spe group  GmbH / IT-Schutzengel</t>
  </si>
  <si>
    <t>1. Quartal 2025</t>
  </si>
  <si>
    <t>https://www.it-schutzengel.de</t>
  </si>
  <si>
    <t>Monatliche Optimierung</t>
  </si>
  <si>
    <t>Aufwand ca. in Std.</t>
  </si>
  <si>
    <t>1. Linkaufbau, Linkabbau, Online-PR</t>
  </si>
  <si>
    <r>
      <rPr>
        <b/>
        <sz val="10"/>
        <color theme="1"/>
        <rFont val="Arial"/>
        <family val="2"/>
      </rPr>
      <t>Linkprofilanalyse (Teil 1):</t>
    </r>
    <r>
      <rPr>
        <sz val="10"/>
        <color theme="1"/>
        <rFont val="Arial"/>
        <family val="2"/>
      </rPr>
      <t xml:space="preserve"> Export der Linkdaten aus diversen Online-Tools (SISTRIX Toolbox, XOVI, ahrefs.com, Search Console, etc.), Vereinheitlichen der Daten und Import in Excel, erste Durchsicht und Vorsortierung, erste Dubletten entfernen, Dokumentation, Absprachen (03.03., TKI)</t>
    </r>
  </si>
  <si>
    <r>
      <rPr>
        <b/>
        <sz val="10"/>
        <color theme="1"/>
        <rFont val="Arial"/>
        <family val="2"/>
      </rPr>
      <t>Linkprofilanalyse (Teil 2):</t>
    </r>
    <r>
      <rPr>
        <sz val="10"/>
        <color theme="1"/>
        <rFont val="Arial"/>
        <family val="2"/>
      </rPr>
      <t xml:space="preserve"> Detaillierte Durchsicht des Linkprofils (v.a. Links mit „ungünstigen Bedingungen“), weitere Dubletten entfernen, manuelle Prüfung und Bewertung einzelner Links mit zum Teil notwendiger Recherche von Kennzahlen, Empfehlung zum Linkabbau (löschen, ändern, lassen, gelöscht), Dokumentation, Absprachen (05.-07.03., TKI)</t>
    </r>
  </si>
  <si>
    <r>
      <rPr>
        <b/>
        <sz val="10"/>
        <color theme="1"/>
        <rFont val="Arial"/>
        <family val="2"/>
      </rPr>
      <t>Pressemeldung:</t>
    </r>
    <r>
      <rPr>
        <sz val="10"/>
        <color theme="1"/>
        <rFont val="Arial"/>
        <family val="2"/>
      </rPr>
      <t xml:space="preserve"> Abstimmung und Recherche für eine Pressemeldung zum Thema "Thema", Texterstellung inkl. Abbinder, interne Verlinkung, ggf. Zitate, etc., Lektorat und Dokumentation, finale Absprachen (03.-07.03., GBO, TKI)</t>
    </r>
  </si>
  <si>
    <r>
      <rPr>
        <b/>
        <sz val="10"/>
        <color theme="1"/>
        <rFont val="Arial"/>
        <family val="2"/>
      </rPr>
      <t xml:space="preserve">Pressebilder: </t>
    </r>
    <r>
      <rPr>
        <sz val="10"/>
        <color theme="1"/>
        <rFont val="Arial"/>
        <family val="2"/>
      </rPr>
      <t>Abstimmung wegen Pressebildern, begleitend zur aktuellen Pressemeldung, Bildbearbeitung und Vorbereitung der Medien zur einheitlichen Veröffentlichung (07.03., TKI)</t>
    </r>
  </si>
  <si>
    <r>
      <rPr>
        <b/>
        <sz val="10"/>
        <color theme="1"/>
        <rFont val="Arial"/>
        <family val="2"/>
      </rPr>
      <t>Presseportale:</t>
    </r>
    <r>
      <rPr>
        <sz val="10"/>
        <color theme="1"/>
        <rFont val="Arial"/>
        <family val="2"/>
      </rPr>
      <t xml:space="preserve"> Pressemeldung auf gepflegten und geprüften (kostenfreien) Presseportalen online einstellen, Profile einrichten bzw. aktualisieren, Prüfung der Veröffentlichungen, Abstimmung und Dokumentation, Portale siehe Asana / E-Mail (11.-20.03., TKI)</t>
    </r>
  </si>
  <si>
    <t>Link-Monitoring: Neue Verlinkungen aus Link-Tools der letzten 30 Tage überprüft, einzeln bewertet (monatlich 0,25 Std., TKI)</t>
  </si>
  <si>
    <t>2. Redaktionelle Arbeiten &amp; Website-Pflege</t>
  </si>
  <si>
    <t>Umbau Seitenstruktur, Leistungen ins Menü aufnehmen, Anpassungen CSS-Programmierung, Theme-Programmierung, Abstimmung und Dokumentation (26.02.-04.03., BKO, TKI)</t>
  </si>
  <si>
    <t>Finale Korrekturen, Einpflegen der X-COOLING-Referenz auf der Website, kl. Anpassungen, Abstimmung und Dokumentation (02.-04.03., TKI)</t>
  </si>
  <si>
    <t>3. Technische Arbeiten, Onpage-Optimierung, ggf. Programmierung</t>
  </si>
  <si>
    <t>Prüfung des WordPress-Systems wegen Fehler des Google Tag Managers (Conversion-Tracking), Abstimmung, Fehlerbehebung und Reparatur des Systems, Nachinstallation von Plugins, Neukonfiguration der Skripte, kl. Anpassungen, Abstimmung und Dokumentation (15.-17.01., JST, BKO, TKI)</t>
  </si>
  <si>
    <t>Index-Management (Kurz-Analyse): Vorbereitung und Recherche, Crawl der Website mit Screaming-Frog und Export der kompletten Seitenstruktur, Prüfung und Sortierung der Excelliste anhand der Website-Navigation, Überprüfung, welche Seiten/URLs im Index sind und welche Seiten deindexiert werden sollten, Handlungsempfehlungen zur Bereinigung des Indexes erarbeitet, Dokumentation und Abstimmung (07.03., TKI)</t>
  </si>
  <si>
    <t>Durchsicht neuer 404-Fehler im Redirection-Plugin,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(07.-10.03., TKI)</t>
  </si>
  <si>
    <t>Cache-Problematik, Umstellung des Caching-Plugins nach Abstimmung Mathias Specht, kl. Anpassungen im System, Prüfen der Ergebnisse in der Search Console, Dokumentation (07.-24.03., BKO, TKI)</t>
  </si>
  <si>
    <t>4. Social Media Management</t>
  </si>
  <si>
    <t>5. Google Ads &amp; Social Ads</t>
  </si>
  <si>
    <t>Google Ads-Monitoring (1. Quartal): Monatliches Monitoring der Kampagnen, kl. Anpassungen, fortlaufendes Ausschließen und Ergänzen von Keywords, Auswertung am Quartalsende (01.01.-31.03., JST, TKI)</t>
  </si>
  <si>
    <t>Social Ads-Monitoring (1. Quartal): Monatliches Monitoring der Werbe-kampagnen bei Facebook und Instagram, Anpassen der Werbeanzeigen, Verfeinern der Zielgruppe, kl. Arbeiten am Werbekonto, Abstimmung und Dokumentation (01.01.-31.03., JST, TKI)</t>
  </si>
  <si>
    <t>6. Beratung &amp; Sonstiges</t>
  </si>
  <si>
    <t>Vorbereitung, Auswertung der bisherigen Maßnahmen, Videocall zur Abstimmung der nächsten Schritte, Planung des der weiteren Vorgehensweise, Klären von offenen Fragen, anschließend Vorbereitung der geplanten Maßnahmen, interne Abstimmung (14.01., TKI)</t>
  </si>
  <si>
    <t>Vorbereitung, Videocall zur Abstimmung von Referenztexten und aktuellen Arbeiten, Klären von div. Fragen, anschließend Ticket-Management und Vorbereitung für weitere Arbeiten (17.02., TKI)</t>
  </si>
  <si>
    <t>Interne Abstimmung, Bierdeckel-Werbung konzipieren, Slogans überlegen, grafische Gestaltung auf Basis einer festen Druckvorlage, Entwicklung verschiedener Varianten, Reinzeichnung und Druckdatenerstellung, Abstimmung und Dokumentation (05.-14.03., RBO, TKI)</t>
  </si>
  <si>
    <t>Organisation, Planung, Überwachung und Steuerung der Aufgaben und Ressourcen (pro Tagessatz ca. 0,5 Std., TKI)</t>
  </si>
  <si>
    <t>Aufwand ca. insgesamt in Std.</t>
  </si>
  <si>
    <t>Aufwand in Tagessätzen</t>
  </si>
  <si>
    <t>4 Tagessätze</t>
  </si>
  <si>
    <t>Noch Rückfragen? Kontakt zur Thoxan Communications GmbH unter https://www.thoxan.com/kontakt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</si>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</sst>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theme="0" tint="-0.499984740745262"/>
      <name val="Arial"/>
      <family val="2"/>
    </font>
    <font>
      <sz val="10"/>
      <color rgb="FF808080"/>
      <name val="Arial"/>
      <family val="2"/>
    </font>
  </fonts>
  <fills count="3">
    <fill>
      <patternFill patternType="none"/>
    </fill>
    <fill>
      <patternFill patternType="gray125"/>
    </fill>
    <fill>
      <patternFill patternType="solid">
        <fgColor rgb="FFD8D8D8"/>
        <bgColor rgb="FFD8D8D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3" xfId="0" applyFont="1" applyFill="1" applyBorder="1" applyAlignment="1">
      <alignment horizontal="center" vertical="center"/>
    </xf>
    <xf numFmtId="0" fontId="5" fillId="0" borderId="4" xfId="0" applyFont="1" applyBorder="1"/>
    <xf numFmtId="0" fontId="5" fillId="0" borderId="2" xfId="0" applyFont="1" applyBorder="1" applyAlignment="1">
      <alignment horizontal="center" vertical="center"/>
    </xf>
    <xf numFmtId="0" fontId="6" fillId="0" borderId="4" xfId="0" applyFont="1" applyBorder="1"/>
    <xf numFmtId="0" fontId="5" fillId="0" borderId="4" xfId="0" applyFont="1" applyBorder="1" applyAlignment="1">
      <alignment vertical="top" wrapText="1"/>
    </xf>
    <xf numFmtId="0" fontId="5"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5" fillId="0" borderId="4" xfId="0" applyFont="1" applyBorder="1" applyAlignment="1">
      <alignment vertical="center"/>
    </xf>
    <xf numFmtId="0" fontId="5" fillId="0" borderId="4" xfId="0" applyFont="1" applyBorder="1" applyAlignment="1">
      <alignment horizontal="center" vertical="center"/>
    </xf>
    <xf numFmtId="0" fontId="5" fillId="2" borderId="1" xfId="0" applyFont="1" applyFill="1" applyBorder="1" applyAlignment="1">
      <alignment vertical="center"/>
    </xf>
    <xf numFmtId="0" fontId="5" fillId="0" borderId="1" xfId="0" applyFont="1" applyBorder="1" applyAlignment="1">
      <alignment vertical="center"/>
    </xf>
    <xf numFmtId="0" fontId="6" fillId="0" borderId="5" xfId="0" applyFont="1" applyBorder="1"/>
    <xf numFmtId="0" fontId="5" fillId="0" borderId="3" xfId="0" applyFont="1" applyBorder="1" applyAlignment="1">
      <alignment horizontal="center" vertical="center"/>
    </xf>
    <xf numFmtId="0" fontId="8" fillId="0" borderId="4" xfId="0" applyFont="1" applyBorder="1" applyAlignment="1">
      <alignment horizontal="center" vertical="center"/>
    </xf>
    <xf numFmtId="0" fontId="6" fillId="0" borderId="4" xfId="0" applyFont="1" applyBorder="1" applyAlignment="1">
      <alignment wrapText="1"/>
    </xf>
    <xf numFmtId="0" fontId="5" fillId="2" borderId="6" xfId="0" applyFont="1" applyFill="1" applyBorder="1" applyAlignment="1">
      <alignment vertical="center"/>
    </xf>
    <xf numFmtId="0" fontId="6" fillId="2" borderId="6" xfId="0" applyFont="1" applyFill="1" applyBorder="1" applyAlignment="1">
      <alignment horizontal="center" vertical="center"/>
    </xf>
    <xf numFmtId="0" fontId="9" fillId="0" borderId="0" xfId="0" applyFont="1"/>
    <xf numFmtId="0" fontId="5" fillId="0" borderId="4" xfId="0" quotePrefix="1" applyFont="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s://www.it-schutzengel.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0576-9500-EE43-9D90-75D4F2EDE876}">
  <dimension ref="A1:B997"/>
  <sheetViews>
    <sheetView tabSelected="1" zoomScale="160" zoomScaleNormal="160" workbookViewId="0">
      <pane ySplit="4" topLeftCell="A5" activePane="bottomLeft" state="frozen"/>
      <selection pane="bottomLeft" activeCell="B42" sqref="B42"/>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70" x14ac:dyDescent="0.2">
      <c r="A6" s="13" t="s">
        <v>6</v>
      </c>
      <c r="B6" s="14">
        <v>1.5</v>
      </c>
    </row>
    <row r="7" spans="1:2" s="11" customFormat="1" ht="84" x14ac:dyDescent="0.2">
      <c r="A7" s="13" t="s">
        <v>7</v>
      </c>
      <c r="B7" s="14">
        <v>2.25</v>
      </c>
    </row>
    <row r="8" spans="1:2" s="11" customFormat="1" ht="56" x14ac:dyDescent="0.2">
      <c r="A8" s="13" t="s">
        <v>8</v>
      </c>
      <c r="B8" s="14">
        <v>3</v>
      </c>
    </row>
    <row r="9" spans="1:2" s="11" customFormat="1" ht="42" x14ac:dyDescent="0.2">
      <c r="A9" s="13" t="s">
        <v>9</v>
      </c>
      <c r="B9" s="14">
        <v>0.5</v>
      </c>
    </row>
    <row r="10" spans="1:2" s="11" customFormat="1" ht="56" x14ac:dyDescent="0.2">
      <c r="A10" s="13" t="s">
        <v>10</v>
      </c>
      <c r="B10" s="14">
        <v>3.25</v>
      </c>
    </row>
    <row r="11" spans="1:2" s="11" customFormat="1" ht="28" x14ac:dyDescent="0.2">
      <c r="A11" s="13" t="s">
        <v>11</v>
      </c>
      <c r="B11" s="14">
        <v>0.25</v>
      </c>
    </row>
    <row r="12" spans="1:2" s="11" customFormat="1" ht="15.75" customHeight="1" x14ac:dyDescent="0.2">
      <c r="A12" s="15" t="s">
        <v>4</v>
      </c>
      <c r="B12" s="16">
        <f>SUM(B6:B11)</f>
        <v>10.75</v>
      </c>
    </row>
    <row r="13" spans="1:2" s="11" customFormat="1" ht="15.75" customHeight="1" x14ac:dyDescent="0.2">
      <c r="A13" s="17"/>
      <c r="B13" s="18"/>
    </row>
    <row r="14" spans="1:2" s="11" customFormat="1" ht="15.75" customHeight="1" x14ac:dyDescent="0.2">
      <c r="A14" s="19" t="s">
        <v>12</v>
      </c>
      <c r="B14" s="18"/>
    </row>
    <row r="15" spans="1:2" s="11" customFormat="1" ht="42" x14ac:dyDescent="0.2">
      <c r="A15" s="20" t="s">
        <v>13</v>
      </c>
      <c r="B15" s="18">
        <v>1.75</v>
      </c>
    </row>
    <row r="16" spans="1:2" s="11" customFormat="1" ht="42" x14ac:dyDescent="0.2">
      <c r="A16" s="20" t="s">
        <v>14</v>
      </c>
      <c r="B16" s="18">
        <v>1</v>
      </c>
    </row>
    <row r="17" spans="1:2" s="11" customFormat="1" ht="15.75" customHeight="1" x14ac:dyDescent="0.2">
      <c r="A17" s="15" t="s">
        <v>4</v>
      </c>
      <c r="B17" s="21">
        <f>SUM(B14:B16)</f>
        <v>2.75</v>
      </c>
    </row>
    <row r="18" spans="1:2" s="11" customFormat="1" ht="15.75" customHeight="1" x14ac:dyDescent="0.2">
      <c r="A18" s="23"/>
      <c r="B18" s="24"/>
    </row>
    <row r="19" spans="1:2" s="10" customFormat="1" ht="15.75" customHeight="1" x14ac:dyDescent="0.15">
      <c r="A19" s="8" t="s">
        <v>15</v>
      </c>
      <c r="B19" s="14"/>
    </row>
    <row r="20" spans="1:2" s="11" customFormat="1" ht="70" x14ac:dyDescent="0.2">
      <c r="A20" s="13" t="s">
        <v>16</v>
      </c>
      <c r="B20" s="14">
        <v>3</v>
      </c>
    </row>
    <row r="21" spans="1:2" s="11" customFormat="1" ht="98" x14ac:dyDescent="0.2">
      <c r="A21" s="13" t="s">
        <v>17</v>
      </c>
      <c r="B21" s="14">
        <v>1</v>
      </c>
    </row>
    <row r="22" spans="1:2" s="11" customFormat="1" ht="98" x14ac:dyDescent="0.2">
      <c r="A22" s="13" t="s">
        <v>18</v>
      </c>
      <c r="B22" s="14">
        <v>1</v>
      </c>
    </row>
    <row r="23" spans="1:2" s="11" customFormat="1" ht="42" x14ac:dyDescent="0.2">
      <c r="A23" s="13" t="s">
        <v>19</v>
      </c>
      <c r="B23" s="14">
        <v>1</v>
      </c>
    </row>
    <row r="24" spans="1:2" s="11" customFormat="1" ht="15.75" customHeight="1" x14ac:dyDescent="0.2">
      <c r="A24" s="25" t="s">
        <v>4</v>
      </c>
      <c r="B24" s="22">
        <f>SUM(B20:B23)</f>
        <v>6</v>
      </c>
    </row>
    <row r="25" spans="1:2" s="11" customFormat="1" ht="15.75" customHeight="1" x14ac:dyDescent="0.2">
      <c r="A25" s="26"/>
      <c r="B25" s="14"/>
    </row>
    <row r="26" spans="1:2" s="11" customFormat="1" ht="15.75" customHeight="1" x14ac:dyDescent="0.2">
      <c r="A26" s="27" t="s">
        <v>20</v>
      </c>
      <c r="B26" s="28"/>
    </row>
    <row r="27" spans="1:2" s="11" customFormat="1" ht="14" x14ac:dyDescent="0.2">
      <c r="A27" s="34" t="s">
        <v>33</v>
      </c>
      <c r="B27" s="29"/>
    </row>
    <row r="28" spans="1:2" s="11" customFormat="1" ht="15.75" customHeight="1" x14ac:dyDescent="0.2">
      <c r="A28" s="15" t="s">
        <v>4</v>
      </c>
      <c r="B28" s="21">
        <f>SUM(B27:B27)</f>
        <v>0</v>
      </c>
    </row>
    <row r="29" spans="1:2" s="11" customFormat="1" ht="15.75" customHeight="1" x14ac:dyDescent="0.2">
      <c r="A29" s="30"/>
      <c r="B29" s="18"/>
    </row>
    <row r="30" spans="1:2" s="11" customFormat="1" ht="15.75" customHeight="1" x14ac:dyDescent="0.2">
      <c r="A30" s="19" t="s">
        <v>21</v>
      </c>
      <c r="B30" s="18"/>
    </row>
    <row r="31" spans="1:2" s="11" customFormat="1" ht="42" customHeight="1" x14ac:dyDescent="0.2">
      <c r="A31" s="20" t="s">
        <v>22</v>
      </c>
      <c r="B31" s="24">
        <v>3</v>
      </c>
    </row>
    <row r="32" spans="1:2" s="11" customFormat="1" ht="55" customHeight="1" x14ac:dyDescent="0.2">
      <c r="A32" s="20" t="s">
        <v>23</v>
      </c>
      <c r="B32" s="24">
        <v>3</v>
      </c>
    </row>
    <row r="33" spans="1:2" s="11" customFormat="1" ht="15.75" customHeight="1" x14ac:dyDescent="0.2">
      <c r="A33" s="15" t="s">
        <v>4</v>
      </c>
      <c r="B33" s="21">
        <f>SUM(B31:B32)</f>
        <v>6</v>
      </c>
    </row>
    <row r="34" spans="1:2" s="11" customFormat="1" ht="15.75" customHeight="1" x14ac:dyDescent="0.2">
      <c r="A34" s="30"/>
      <c r="B34" s="18"/>
    </row>
    <row r="35" spans="1:2" s="11" customFormat="1" ht="15.75" customHeight="1" x14ac:dyDescent="0.2">
      <c r="A35" s="19" t="s">
        <v>24</v>
      </c>
      <c r="B35" s="18"/>
    </row>
    <row r="36" spans="1:2" s="11" customFormat="1" ht="70" x14ac:dyDescent="0.2">
      <c r="A36" s="20" t="s">
        <v>25</v>
      </c>
      <c r="B36" s="18">
        <v>0.25</v>
      </c>
    </row>
    <row r="37" spans="1:2" s="11" customFormat="1" ht="42" x14ac:dyDescent="0.2">
      <c r="A37" s="20" t="s">
        <v>26</v>
      </c>
      <c r="B37" s="18">
        <v>0.75</v>
      </c>
    </row>
    <row r="38" spans="1:2" s="11" customFormat="1" ht="70" x14ac:dyDescent="0.2">
      <c r="A38" s="20" t="s">
        <v>27</v>
      </c>
      <c r="B38" s="18">
        <v>4.5</v>
      </c>
    </row>
    <row r="39" spans="1:2" s="11" customFormat="1" ht="28" x14ac:dyDescent="0.2">
      <c r="A39" s="20" t="s">
        <v>28</v>
      </c>
      <c r="B39" s="14">
        <v>2</v>
      </c>
    </row>
    <row r="40" spans="1:2" s="11" customFormat="1" ht="15.75" customHeight="1" x14ac:dyDescent="0.2">
      <c r="A40" s="15" t="s">
        <v>4</v>
      </c>
      <c r="B40" s="21">
        <f>SUM(B36:B39)</f>
        <v>7.5</v>
      </c>
    </row>
    <row r="41" spans="1:2" s="11" customFormat="1" ht="15.75" customHeight="1" x14ac:dyDescent="0.2">
      <c r="A41" s="23"/>
      <c r="B41" s="18"/>
    </row>
    <row r="42" spans="1:2" s="11" customFormat="1" ht="16.5" customHeight="1" thickBot="1" x14ac:dyDescent="0.25">
      <c r="A42" s="31" t="s">
        <v>29</v>
      </c>
      <c r="B42" s="32">
        <f>SUM(B12+B17+B24+B28+B33+B40)</f>
        <v>33</v>
      </c>
    </row>
    <row r="43" spans="1:2" s="11" customFormat="1" ht="16.5" customHeight="1" thickBot="1" x14ac:dyDescent="0.25">
      <c r="A43" s="31" t="s">
        <v>30</v>
      </c>
      <c r="B43" s="32" t="s">
        <v>31</v>
      </c>
    </row>
    <row r="44" spans="1:2" ht="15.75" customHeight="1" x14ac:dyDescent="0.2">
      <c r="A44" s="10"/>
      <c r="B44" s="10"/>
    </row>
    <row r="45" spans="1:2" ht="15.75" customHeight="1" x14ac:dyDescent="0.2">
      <c r="A45" s="33" t="s">
        <v>32</v>
      </c>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sheetData>
  <hyperlinks>
    <hyperlink ref="A2" r:id="rId1" xr:uid="{D6575875-192F-FD4A-BB86-6A500FBC08B3}"/>
    <hyperlink ref="A45" r:id="rId2" display="https://www.thoxan.com/kontakt/" xr:uid="{1D1C861A-FC9B-944B-89A9-ACE00ED61E62}"/>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2025-03-24T06:00:38Z</dcterms:created>
  <dcterms:modified xsi:type="dcterms:W3CDTF">2025-03-24T06:02:00Z</dcterms:modified>
</cp:coreProperties>
</file>