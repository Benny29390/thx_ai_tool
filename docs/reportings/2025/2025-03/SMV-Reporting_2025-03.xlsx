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3/"/>
    </mc:Choice>
  </mc:AlternateContent>
  <xr:revisionPtr revIDLastSave="0" documentId="8_{EBF77E26-53A9-264E-9B00-83C56457BD50}" xr6:coauthVersionLast="47" xr6:coauthVersionMax="47" xr10:uidLastSave="{00000000-0000-0000-0000-000000000000}"/>
  <bookViews>
    <workbookView xWindow="7580" yWindow="500" windowWidth="32760" windowHeight="26000" xr2:uid="{99312633-F57F-FE45-94B0-C51FA9E00FC2}"/>
  </bookViews>
  <sheets>
    <sheet name="SMV"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 l="1"/>
  <c r="B44" i="1"/>
  <c r="B29" i="1"/>
  <c r="B24" i="1"/>
  <c r="B19" i="1"/>
  <c r="B7" i="1"/>
  <c r="B52" i="1" l="1"/>
</calcChain>
</file>

<file path=xl/sharedStrings.xml><?xml version="1.0" encoding="utf-8"?>
<sst xmlns="http://schemas.openxmlformats.org/spreadsheetml/2006/main" count="50" uniqueCount="43">
  <si>
    <t>SMV Sitz- &amp; Objektmöbel GmbH</t>
  </si>
  <si>
    <t>1. Quartal 2025</t>
  </si>
  <si>
    <t>www.smv-gmbh.de</t>
  </si>
  <si>
    <t>Monatliche Optimierung</t>
  </si>
  <si>
    <t>Aufwand ca. in Std.</t>
  </si>
  <si>
    <t>1. Linkaufbau, Linkabbau, Online-PR</t>
  </si>
  <si>
    <t>Link-Monitoring: Neue Verlinkungen aus Link-Tools der letzten 30 Tage überprüft, einzeln bewertet (monatlich)</t>
  </si>
  <si>
    <t>2. Redaktionelle Arbeiten &amp; Website-Pflege</t>
  </si>
  <si>
    <t>Kurze Recherche auf der Website und bei Google nach Inge Brünger-Mylius, Änderung der Geschäftsführung, Abstimmung Julia, Video zur Anpassung von Nutzerdashboard-Unterseiten im geschützten Bereich
 (07.-13.01., TKI)</t>
  </si>
  <si>
    <t>Content-Planung (Blogartikel): Recherche und Durchsicht von Keyword-Analyse und bisherigen Website-Inhalten, Recherche nach sinnvollen Themen in bestehenden Blog- und Newsartikel sowie Abgleich mit Analyse-Tool, Erstellung Konzept-Vorschlag und Empfehlung zur weiteren Vorgehensweise, Dokumentation und Abstimmung (15.-24.01., GBO, TKI)</t>
  </si>
  <si>
    <t>Anpassung SMV Teambild (Ansprechpartner) (20.01., BKO)</t>
  </si>
  <si>
    <t>Recherche und Konzeption für eine verbesserte Darstellung der Headerbilder, Einstiegsbereich optimieren, Abstimmung und Dokumentation (28.01.-05.02., BKO, TKI)</t>
  </si>
  <si>
    <t>Weitere Abstimmung und testweise Umsetzung der verschiedenen Header-Varianten, Optimierung Karriereseite, weitere Umsetzung und Anleitung per Video, Abstimmung und Dokumentation, finale Prüfung nach Umsetzung durch Julia, (10.-12.03., 19.03., BKO, TKI)</t>
  </si>
  <si>
    <t>Kompakte Textoptimierung Blogartikel Kinzika L&amp;M: Abstimmung, Briefing und Textoptimierung für bestehende Inhalte, Überarbeitung des Bestandstexts und Texterweiterung, Keyword-Optimierung nach WDF*IDF, Ergänzungen und kl. Anpassungen, Lektorat und finale Bearbeitung, Versand an Kunden und Dokumentation (18.03., GBO)</t>
  </si>
  <si>
    <t>Textarbeiten Unterseite LAB: Abstimmung, Briefing und inhaltliche Konzeption, Recherche und Zusammentragen der Informationen, Texterstellung, Keyword-Optimierung nach WDF*IDF, Ergänzungen und kl. Anpassungen, Lektorat und finale Bearbeitung, Versand an Kunden und Dokumentation (06.-19.03., GBO, TKI)</t>
  </si>
  <si>
    <t>Abstimmung, Briefing und optimierter Aufbau der Referenzen Cityhotel Bosse, Valiant Brugg und Uni Kairo Berlin, Auflockerung durch abwechslungsreiche Textabschnitte, mehr-lesen-Funktion, Bildergalerie, Testimonial, eingesetzte Produkte, Aufzählungen, großformatige Referenzfotos, etc., Dokumentation zur Zuordnung von Referenzkategorien per Video, kl. Anpassungen (06.-24.03., MGO, TKI)</t>
  </si>
  <si>
    <t>UX Optimierung der Kontaktseite, Ansprechpartner als Custom Post Type mit Filteropionen, Gebiete, Zuständigkeiten, Ausgabe von passeneden Ansprechpartnern auf Unterseiten je nach Kategorie etc. // Intelligentere Ausgabe der Ansprechpartner mit Kontaktdaten, später ggf. PLZ-Abfrage für korrekte Zuordnung, Konzeption Kontaktstörer (Figma), Konzeption CTA-Elemente auf Unterseiten, Kontaktfooter optimiert, kl. Anpassungen im System, ausführliche Dokumentation per Video, Abstimmung (10.-19.03., BKO, TKI)</t>
  </si>
  <si>
    <t>3. Technische Arbeiten &amp; Programmierung</t>
  </si>
  <si>
    <t>Gowld-Katalog auf SMV-Website einbinden (20.02., BKO)</t>
  </si>
  <si>
    <t>Weitere Abstimmung zur Einbindung der Gowld-Kataloge auf der SMV-Website, Umstellung Formular, kl. Anpassungen, Dokumentation (06.-19.03., TKI)</t>
  </si>
  <si>
    <t>4. Google Ads SMV allgemein</t>
  </si>
  <si>
    <t>Kurze Vorbereitung und Austausch per Zoom mit Kirsten Kauss wegen der bisherigen Google Ads Werbung, Überblick Conversion-Tracking, Klären von kurzen Fragen, 14:30-14:50, Abstimmung und Dokumentation per Video für Julia (21.01., TKI)</t>
  </si>
  <si>
    <t>Google Ads (1. Quartal): Fortlaufendes Monitoring der eingerichteten Kampagnen und Anzeigengruppen sowie des Remarketings, kl. Anpassungen für optimale Kontozustandsbewertung, Durchsicht und Auswertung zum Monatsende (01.01.-31.03., JST, TKI)</t>
  </si>
  <si>
    <t>5. Weitere Arbeiten für Gowld-Produktlinie</t>
  </si>
  <si>
    <t>Textanpassungen von drei Referenzen, Einpflegen auf der Ledersofa-Landingpage, Abstimmung und Dokumentation (14.01., TKI)</t>
  </si>
  <si>
    <t>Anpassung des Gowld-Katalog-Formulars, E-Mail als Autoresponder, Newsletter-Feld zur manuellen Bestellung, Abstimmung und Dokumentation (14.01., TKI)</t>
  </si>
  <si>
    <t>Styling der E-Mail-Vorlage, Signatur als zentrierter Footer ausgeben, Vorschau-Funktion im Formular-Bereich, Funktionsprüfung, Abstimmung und Dokumentation (14.01., BKO)</t>
  </si>
  <si>
    <t>Finale Anpassungen und Indexierung der Ledersofa-Landingpage, interne Verlinkung, kurze Abstimmung (29.01., TKI)</t>
  </si>
  <si>
    <t>Weitere Textkorrekturen und Überarbeitung der neuen Materialseite: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(15.01.-05.02., GBO)</t>
  </si>
  <si>
    <t>Erneute Anpassung des Katalog-Formulars (E-Mail), Testläufe, Abstimmung und Dokumentation (05.02., BKO)</t>
  </si>
  <si>
    <t>Bildbearbeitung, Einbau des Katalogs Stoff- und Lederkollektion per Direkt-Download auf der Katalog-Seite, Redirect einrichten, kl. Anpassungen, Abstimmung und Dokumentation (19.02., TKI)</t>
  </si>
  <si>
    <t>Einpflegen Materialseite: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(14.02.-02.03., MGO, GBO, TKI)</t>
  </si>
  <si>
    <t>Finale Anpassungen und Indexierung der Ledersessel-Landingpage, interne Verlinkung, kurze Abstimmung (19.03., TKI)</t>
  </si>
  <si>
    <t>Finale Anpassungen an der Materialseite, Einstieg dunkler, Textänderungen, interne Verlinkung, Abstimmung und Dokumentation (23.03., TKI)</t>
  </si>
  <si>
    <t>Finale Anpassungen Shabby, interne Verlinkung, Prüfung und Neu-Indexierung bei Google, Dokumentation (23.03., TKI)</t>
  </si>
  <si>
    <t>6. Beratung &amp; Sonstiges</t>
  </si>
  <si>
    <t>Recherche und Durchsicht der Expertise sowie der Auswertungen aus den Vorjahren, Analyse der aktuellen Kennzahlen, der Website-Entwicklung und der bisherigen Ergebnisse mit diversen Online-Tools, Ausblick, Planung und Erstellung der nächsten Schritte, Dokumentation und Aufbereitung der Ergebnisse in einer Präsentation zur Jahresauswertung, Vorbereitung des Workshops (28.02.-19.03., RBO, TKI)</t>
  </si>
  <si>
    <t>Finale Vorbereitung und Durchführung eines Workshops vor Ort 
(10-12:15 Uhr), Präsentation der Jahresauswertung mit Ergebnissen, Kennzahlen und geplanten Maßnahmen, Abstimmung und Klären von Fragen, konkrete Maßnahmen- und Zeitplanung für die nächsten Schritte, anschließend kurze Dokumentation, Planung und interne Abstimmung weiterer Maßnahmen (20.03., TKI)</t>
  </si>
  <si>
    <t>Organisation, Planung, Überwachung und Steuerung der Aufgaben und Ressourcen (monatlich, TKI)</t>
  </si>
  <si>
    <t>Aufwand ca. insgesamt in Std.</t>
  </si>
  <si>
    <t>Aufwand in Tagessätzen</t>
  </si>
  <si>
    <t>6 TS</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</si>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</sst>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b/>
      <sz val="16"/>
      <color theme="1"/>
      <name val="Arial"/>
      <family val="2"/>
    </font>
    <font>
      <sz val="12"/>
      <color theme="1"/>
      <name val="Arial"/>
      <family val="2"/>
    </font>
    <font>
      <u/>
      <sz val="10"/>
      <color rgb="FF0000FF"/>
      <name val="Arial"/>
      <family val="2"/>
    </font>
    <font>
      <sz val="10"/>
      <color theme="1"/>
      <name val="Arial"/>
      <family val="2"/>
    </font>
    <font>
      <sz val="10"/>
      <color rgb="FF000000"/>
      <name val="Arial"/>
      <family val="2"/>
    </font>
    <font>
      <b/>
      <sz val="10"/>
      <color theme="1"/>
      <name val="Arial"/>
      <family val="2"/>
    </font>
    <font>
      <sz val="10"/>
      <color theme="1"/>
      <name val="Helvetica"/>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2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3" fillId="0" borderId="0" xfId="0" applyNumberFormat="1" applyFont="1" applyAlignment="1">
      <alignment horizontal="left"/>
    </xf>
    <xf numFmtId="49" fontId="4" fillId="0" borderId="0" xfId="0" applyNumberFormat="1" applyFont="1" applyAlignment="1">
      <alignment horizontal="right"/>
    </xf>
    <xf numFmtId="49" fontId="4" fillId="0" borderId="0" xfId="0" applyNumberFormat="1" applyFont="1" applyAlignment="1">
      <alignment horizontal="left"/>
    </xf>
    <xf numFmtId="0" fontId="6" fillId="0" borderId="0" xfId="0" applyFont="1"/>
    <xf numFmtId="0" fontId="6" fillId="0" borderId="1" xfId="0" applyFont="1" applyBorder="1"/>
    <xf numFmtId="0" fontId="6" fillId="2" borderId="2" xfId="0" applyFont="1" applyFill="1" applyBorder="1" applyAlignment="1">
      <alignment horizontal="center" vertical="center"/>
    </xf>
    <xf numFmtId="0" fontId="4" fillId="0" borderId="0" xfId="0" applyFont="1"/>
    <xf numFmtId="0" fontId="6" fillId="0" borderId="4" xfId="0" applyFont="1" applyBorder="1"/>
    <xf numFmtId="0" fontId="6" fillId="0" borderId="5" xfId="0" applyFont="1" applyBorder="1" applyAlignment="1">
      <alignment horizontal="center" vertical="center"/>
    </xf>
    <xf numFmtId="0" fontId="4" fillId="0" borderId="6" xfId="0" applyFont="1" applyBorder="1" applyAlignment="1">
      <alignment vertical="top" wrapText="1"/>
    </xf>
    <xf numFmtId="0" fontId="4" fillId="0" borderId="6" xfId="0" applyFont="1" applyBorder="1" applyAlignment="1">
      <alignment horizontal="center" vertical="center"/>
    </xf>
    <xf numFmtId="0" fontId="4" fillId="2" borderId="6" xfId="0" applyFont="1" applyFill="1" applyBorder="1" applyAlignment="1">
      <alignment vertical="center"/>
    </xf>
    <xf numFmtId="0" fontId="4" fillId="2" borderId="6" xfId="0" applyFont="1" applyFill="1" applyBorder="1" applyAlignment="1">
      <alignment horizontal="center" vertical="center"/>
    </xf>
    <xf numFmtId="0" fontId="4" fillId="0" borderId="6" xfId="0" applyFont="1" applyBorder="1"/>
    <xf numFmtId="0" fontId="6" fillId="0" borderId="6" xfId="0" applyFont="1" applyBorder="1"/>
    <xf numFmtId="0" fontId="7" fillId="0" borderId="6" xfId="0" applyFont="1" applyBorder="1" applyAlignment="1">
      <alignment vertical="top" wrapText="1"/>
    </xf>
    <xf numFmtId="0" fontId="4" fillId="0" borderId="6" xfId="0" applyFont="1" applyBorder="1" applyAlignment="1">
      <alignment vertical="center"/>
    </xf>
    <xf numFmtId="0" fontId="5" fillId="0" borderId="6" xfId="0" applyFont="1" applyBorder="1" applyAlignment="1">
      <alignment vertical="top" wrapText="1"/>
    </xf>
    <xf numFmtId="0" fontId="5" fillId="0" borderId="3" xfId="0" applyFont="1" applyBorder="1" applyAlignment="1">
      <alignment horizontal="center" vertical="center"/>
    </xf>
    <xf numFmtId="0" fontId="6" fillId="0" borderId="6" xfId="0" applyFont="1" applyBorder="1" applyAlignment="1">
      <alignment wrapText="1"/>
    </xf>
    <xf numFmtId="0" fontId="4" fillId="2" borderId="7" xfId="0" applyFont="1" applyFill="1" applyBorder="1" applyAlignment="1">
      <alignment vertical="center"/>
    </xf>
    <xf numFmtId="0" fontId="6" fillId="2" borderId="8" xfId="0" applyFont="1" applyFill="1" applyBorder="1" applyAlignment="1">
      <alignment horizontal="center" vertical="center"/>
    </xf>
    <xf numFmtId="0" fontId="4" fillId="2" borderId="9" xfId="0" applyFont="1" applyFill="1" applyBorder="1" applyAlignment="1">
      <alignment vertical="center"/>
    </xf>
    <xf numFmtId="0" fontId="6" fillId="2" borderId="10" xfId="0" applyFont="1" applyFill="1" applyBorder="1" applyAlignment="1">
      <alignment horizontal="center" vertical="center"/>
    </xf>
    <xf numFmtId="0" fontId="8"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smv-gmbh.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5FD19-0330-E14C-BBDF-D993A36D9464}">
  <dimension ref="A1:B1008"/>
  <sheetViews>
    <sheetView tabSelected="1" zoomScale="140" zoomScaleNormal="140" workbookViewId="0">
      <pane ySplit="4" topLeftCell="A5" activePane="bottomLeft" state="frozen"/>
      <selection pane="bottomLeft" activeCell="F52" sqref="F52"/>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ht="16" x14ac:dyDescent="0.2">
      <c r="A4" s="8"/>
      <c r="B4" s="9" t="s">
        <v>4</v>
      </c>
    </row>
    <row r="5" spans="1:2" ht="15.75" customHeight="1" x14ac:dyDescent="0.2">
      <c r="A5" s="11" t="s">
        <v>5</v>
      </c>
      <c r="B5" s="12"/>
    </row>
    <row r="6" spans="1:2" ht="28" x14ac:dyDescent="0.2">
      <c r="A6" s="13" t="s">
        <v>6</v>
      </c>
      <c r="B6" s="14">
        <v>0.5</v>
      </c>
    </row>
    <row r="7" spans="1:2" ht="15.75" customHeight="1" x14ac:dyDescent="0.2">
      <c r="A7" s="15" t="s">
        <v>4</v>
      </c>
      <c r="B7" s="16">
        <f>SUM(B6:B6)</f>
        <v>0.5</v>
      </c>
    </row>
    <row r="8" spans="1:2" ht="15.75" customHeight="1" x14ac:dyDescent="0.2">
      <c r="A8" s="17"/>
      <c r="B8" s="14"/>
    </row>
    <row r="9" spans="1:2" ht="15.75" customHeight="1" x14ac:dyDescent="0.2">
      <c r="A9" s="18" t="s">
        <v>7</v>
      </c>
      <c r="B9" s="14"/>
    </row>
    <row r="10" spans="1:2" ht="56" x14ac:dyDescent="0.2">
      <c r="A10" s="13" t="s">
        <v>8</v>
      </c>
      <c r="B10" s="14">
        <v>0.25</v>
      </c>
    </row>
    <row r="11" spans="1:2" ht="68" customHeight="1" x14ac:dyDescent="0.2">
      <c r="A11" s="13" t="s">
        <v>9</v>
      </c>
      <c r="B11" s="14">
        <v>2.5</v>
      </c>
    </row>
    <row r="12" spans="1:2" ht="16" x14ac:dyDescent="0.2">
      <c r="A12" s="13" t="s">
        <v>10</v>
      </c>
      <c r="B12" s="14">
        <v>0.25</v>
      </c>
    </row>
    <row r="13" spans="1:2" ht="42" x14ac:dyDescent="0.2">
      <c r="A13" s="13" t="s">
        <v>11</v>
      </c>
      <c r="B13" s="14">
        <v>2</v>
      </c>
    </row>
    <row r="14" spans="1:2" ht="56" x14ac:dyDescent="0.2">
      <c r="A14" s="13" t="s">
        <v>12</v>
      </c>
      <c r="B14" s="14">
        <v>2.75</v>
      </c>
    </row>
    <row r="15" spans="1:2" ht="70" x14ac:dyDescent="0.2">
      <c r="A15" s="19" t="s">
        <v>13</v>
      </c>
      <c r="B15" s="14">
        <v>2</v>
      </c>
    </row>
    <row r="16" spans="1:2" ht="70" x14ac:dyDescent="0.2">
      <c r="A16" s="13" t="s">
        <v>14</v>
      </c>
      <c r="B16" s="14">
        <v>3.75</v>
      </c>
    </row>
    <row r="17" spans="1:2" ht="84" x14ac:dyDescent="0.2">
      <c r="A17" s="13" t="s">
        <v>15</v>
      </c>
      <c r="B17" s="14">
        <v>4.5</v>
      </c>
    </row>
    <row r="18" spans="1:2" ht="112" x14ac:dyDescent="0.2">
      <c r="A18" s="13" t="s">
        <v>16</v>
      </c>
      <c r="B18" s="14">
        <v>6</v>
      </c>
    </row>
    <row r="19" spans="1:2" ht="15.75" customHeight="1" x14ac:dyDescent="0.2">
      <c r="A19" s="15" t="s">
        <v>4</v>
      </c>
      <c r="B19" s="16">
        <f>SUM(B10:B18)</f>
        <v>24</v>
      </c>
    </row>
    <row r="20" spans="1:2" ht="15.75" customHeight="1" x14ac:dyDescent="0.2">
      <c r="A20" s="20"/>
      <c r="B20" s="14"/>
    </row>
    <row r="21" spans="1:2" ht="15.75" customHeight="1" x14ac:dyDescent="0.2">
      <c r="A21" s="18" t="s">
        <v>17</v>
      </c>
      <c r="B21" s="14"/>
    </row>
    <row r="22" spans="1:2" ht="16" x14ac:dyDescent="0.2">
      <c r="A22" s="13" t="s">
        <v>18</v>
      </c>
      <c r="B22" s="14">
        <v>1</v>
      </c>
    </row>
    <row r="23" spans="1:2" ht="42" x14ac:dyDescent="0.2">
      <c r="A23" s="21" t="s">
        <v>19</v>
      </c>
      <c r="B23" s="22">
        <v>0.25</v>
      </c>
    </row>
    <row r="24" spans="1:2" ht="15.75" customHeight="1" x14ac:dyDescent="0.2">
      <c r="A24" s="15" t="s">
        <v>4</v>
      </c>
      <c r="B24" s="16">
        <f>SUM(B21:B23)</f>
        <v>1.25</v>
      </c>
    </row>
    <row r="25" spans="1:2" ht="15.75" customHeight="1" x14ac:dyDescent="0.2">
      <c r="A25" s="20"/>
      <c r="B25" s="14"/>
    </row>
    <row r="26" spans="1:2" ht="15.75" customHeight="1" x14ac:dyDescent="0.2">
      <c r="A26" s="18" t="s">
        <v>20</v>
      </c>
      <c r="B26" s="14"/>
    </row>
    <row r="27" spans="1:2" ht="56" x14ac:dyDescent="0.2">
      <c r="A27" s="13" t="s">
        <v>21</v>
      </c>
      <c r="B27" s="14">
        <v>0.5</v>
      </c>
    </row>
    <row r="28" spans="1:2" ht="56" x14ac:dyDescent="0.2">
      <c r="A28" s="13" t="s">
        <v>22</v>
      </c>
      <c r="B28" s="14">
        <v>1.5</v>
      </c>
    </row>
    <row r="29" spans="1:2" ht="15.75" customHeight="1" x14ac:dyDescent="0.2">
      <c r="A29" s="15" t="s">
        <v>4</v>
      </c>
      <c r="B29" s="16">
        <f>SUM(B26:B28)</f>
        <v>2</v>
      </c>
    </row>
    <row r="30" spans="1:2" ht="15.75" customHeight="1" x14ac:dyDescent="0.2">
      <c r="A30" s="23"/>
      <c r="B30" s="14"/>
    </row>
    <row r="31" spans="1:2" ht="15.75" customHeight="1" x14ac:dyDescent="0.2">
      <c r="A31" s="23" t="s">
        <v>23</v>
      </c>
      <c r="B31" s="14"/>
    </row>
    <row r="32" spans="1:2" ht="28" x14ac:dyDescent="0.2">
      <c r="A32" s="19" t="s">
        <v>24</v>
      </c>
      <c r="B32" s="14">
        <v>0.25</v>
      </c>
    </row>
    <row r="33" spans="1:2" ht="42" x14ac:dyDescent="0.2">
      <c r="A33" s="19" t="s">
        <v>25</v>
      </c>
      <c r="B33" s="14">
        <v>0.75</v>
      </c>
    </row>
    <row r="34" spans="1:2" ht="42" x14ac:dyDescent="0.2">
      <c r="A34" s="19" t="s">
        <v>26</v>
      </c>
      <c r="B34" s="14">
        <v>0.5</v>
      </c>
    </row>
    <row r="35" spans="1:2" ht="28" x14ac:dyDescent="0.2">
      <c r="A35" s="19" t="s">
        <v>27</v>
      </c>
      <c r="B35" s="14">
        <v>0.25</v>
      </c>
    </row>
    <row r="36" spans="1:2" ht="84" x14ac:dyDescent="0.2">
      <c r="A36" s="19" t="s">
        <v>28</v>
      </c>
      <c r="B36" s="14">
        <v>3.25</v>
      </c>
    </row>
    <row r="37" spans="1:2" ht="28" x14ac:dyDescent="0.2">
      <c r="A37" s="19" t="s">
        <v>29</v>
      </c>
      <c r="B37" s="14">
        <v>0.5</v>
      </c>
    </row>
    <row r="38" spans="1:2" ht="42" x14ac:dyDescent="0.2">
      <c r="A38" s="19" t="s">
        <v>30</v>
      </c>
      <c r="B38" s="14">
        <v>0.5</v>
      </c>
    </row>
    <row r="39" spans="1:2" ht="84" x14ac:dyDescent="0.2">
      <c r="A39" s="13" t="s">
        <v>31</v>
      </c>
      <c r="B39" s="14">
        <v>4</v>
      </c>
    </row>
    <row r="40" spans="1:2" ht="28" x14ac:dyDescent="0.2">
      <c r="A40" s="19" t="s">
        <v>32</v>
      </c>
      <c r="B40" s="14">
        <v>0.25</v>
      </c>
    </row>
    <row r="41" spans="1:2" ht="42" x14ac:dyDescent="0.2">
      <c r="A41" s="19" t="s">
        <v>33</v>
      </c>
      <c r="B41" s="14">
        <v>0.25</v>
      </c>
    </row>
    <row r="42" spans="1:2" ht="28" x14ac:dyDescent="0.2">
      <c r="A42" s="19" t="s">
        <v>34</v>
      </c>
      <c r="B42" s="14">
        <v>0.25</v>
      </c>
    </row>
    <row r="43" spans="1:2" ht="56" x14ac:dyDescent="0.2">
      <c r="A43" s="13" t="s">
        <v>22</v>
      </c>
      <c r="B43" s="14">
        <v>1.5</v>
      </c>
    </row>
    <row r="44" spans="1:2" ht="15.75" customHeight="1" x14ac:dyDescent="0.2">
      <c r="A44" s="15" t="s">
        <v>4</v>
      </c>
      <c r="B44" s="16">
        <f>SUM(B32:B43)</f>
        <v>12.25</v>
      </c>
    </row>
    <row r="45" spans="1:2" ht="15.75" customHeight="1" x14ac:dyDescent="0.2">
      <c r="A45" s="23"/>
      <c r="B45" s="14"/>
    </row>
    <row r="46" spans="1:2" ht="15.75" customHeight="1" x14ac:dyDescent="0.2">
      <c r="A46" s="18" t="s">
        <v>35</v>
      </c>
      <c r="B46" s="14"/>
    </row>
    <row r="47" spans="1:2" ht="98" x14ac:dyDescent="0.2">
      <c r="A47" s="13" t="s">
        <v>36</v>
      </c>
      <c r="B47" s="14">
        <v>5.5</v>
      </c>
    </row>
    <row r="48" spans="1:2" ht="84" x14ac:dyDescent="0.2">
      <c r="A48" s="13" t="s">
        <v>37</v>
      </c>
      <c r="B48" s="14">
        <v>2.5</v>
      </c>
    </row>
    <row r="49" spans="1:2" ht="28" x14ac:dyDescent="0.2">
      <c r="A49" s="13" t="s">
        <v>38</v>
      </c>
      <c r="B49" s="14">
        <v>3</v>
      </c>
    </row>
    <row r="50" spans="1:2" ht="15.75" customHeight="1" x14ac:dyDescent="0.2">
      <c r="A50" s="15" t="s">
        <v>4</v>
      </c>
      <c r="B50" s="16">
        <f>SUM(B47:B49)</f>
        <v>11</v>
      </c>
    </row>
    <row r="51" spans="1:2" ht="15.75" customHeight="1" x14ac:dyDescent="0.2">
      <c r="A51" s="20"/>
      <c r="B51" s="14"/>
    </row>
    <row r="52" spans="1:2" ht="16.5" customHeight="1" thickBot="1" x14ac:dyDescent="0.25">
      <c r="A52" s="24" t="s">
        <v>39</v>
      </c>
      <c r="B52" s="25">
        <f>SUM(B50+B29+B24+B19+B7+B44)</f>
        <v>51</v>
      </c>
    </row>
    <row r="53" spans="1:2" ht="16.5" customHeight="1" thickBot="1" x14ac:dyDescent="0.25">
      <c r="A53" s="26" t="s">
        <v>40</v>
      </c>
      <c r="B53" s="27" t="s">
        <v>41</v>
      </c>
    </row>
    <row r="54" spans="1:2" ht="15.75" customHeight="1" x14ac:dyDescent="0.2">
      <c r="A54" s="10"/>
      <c r="B54" s="10"/>
    </row>
    <row r="55" spans="1:2" ht="15.75" customHeight="1" x14ac:dyDescent="0.2">
      <c r="A55" s="28" t="s">
        <v>42</v>
      </c>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10"/>
      <c r="B118" s="10"/>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sheetData>
  <hyperlinks>
    <hyperlink ref="A2" r:id="rId1" xr:uid="{B682ACE4-E54B-DF46-A7D3-CFA7289BD3BE}"/>
    <hyperlink ref="A55" r:id="rId2" xr:uid="{E5E59F05-60AE-714A-A5BF-8270A6BE7A5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SMV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2025-03-23T14:09:34Z</dcterms:created>
  <dcterms:modified xsi:type="dcterms:W3CDTF">2025-03-23T14:11:32Z</dcterms:modified>
</cp:coreProperties>
</file>