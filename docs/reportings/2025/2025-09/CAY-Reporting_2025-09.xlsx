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AA73EB09-7A2D-584D-893E-1725CC9C4C41}" xr6:coauthVersionLast="47" xr6:coauthVersionMax="47" xr10:uidLastSave="{00000000-0000-0000-0000-000000000000}"/>
  <bookViews>
    <workbookView xWindow="8620" yWindow="500" windowWidth="39440" windowHeight="27000" xr2:uid="{49CF9F56-7D5C-6C40-B05E-688CEF7564BE}"/>
  </bookViews>
  <sheets>
    <sheet name="CA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36" i="1"/>
  <c r="B29" i="1"/>
  <c r="B23" i="1"/>
  <c r="B19" i="1"/>
  <c r="B12" i="1"/>
  <c r="B48" i="1" l="1"/>
</calcChain>
</file>

<file path=xl/sharedStrings.xml><?xml version="1.0" encoding="utf-8"?>
<sst xmlns="http://schemas.openxmlformats.org/spreadsheetml/2006/main" count="46" uniqueCount="40">
  <si>
    <t>Cayas Software GmbH</t>
  </si>
  <si>
    <t>3. Quartal 2025</t>
  </si>
  <si>
    <t>www.cayas.de</t>
  </si>
  <si>
    <t>Monatliche Optimierung</t>
  </si>
  <si>
    <t>Aufwand ca. in Std.</t>
  </si>
  <si>
    <t>1. Linkaufbau, Linkabbau, Online-PR</t>
  </si>
  <si>
    <t>Textarbeiten (Gastartikel): Briefing und Recherche, Texterstellung für Gastbeitrag auf onlinemarktplatz.de, Lektorat, Abstimmung und Vorbereitung zur Veröffentlichung (20.-21.08., EXT, TKI)</t>
  </si>
  <si>
    <t>Textarbeiten (Gastartikel): Briefing und Recherche, Texterstellung für Gastbeitrag auf it-daily.net, Lektorat, Abstimmung und Vorbereitung zur Veröffentlichung (25.08., EXT, TKI)</t>
  </si>
  <si>
    <t>Linkaufbau-Organisation und Abstimmung mit den Seitenbetreibern zur Veröffentlichung der vorbereiteten Gastartikel, Prüfung der Link-Integration, Abrechnung der Linkaufbau-Auslagen, Abstimmung und Dokumentation  (18.08.-29.09., TKI)</t>
  </si>
  <si>
    <t>https://www.onlinemarktplatz.de/259310/diese-vier-b2b-apps-schaffen-echten-mehrwert/</t>
  </si>
  <si>
    <t>https://www.it-daily.net/it-management/business-software/xamarin-ende-zwingt-unternehmen-handeln</t>
  </si>
  <si>
    <t>Link-Monitoring: Neue Verlinkungen aus Link-Tools der letzten 30 Tage überprüft, einzeln bewertet (monatlich, TKI)</t>
  </si>
  <si>
    <t>2. Redaktionelle Arbeiten</t>
  </si>
  <si>
    <t>Textarbeiten Unterseite "Cross Plattform App": Abstimmung, Briefing und inhaltliche Konzeption, Recherche und Zusammentragen der Informationen, Texterstellung, Keyword-Optimierung nach WDF*IDF, Ergänzungen und kl. Anpassungen, Lektorat und finale Bearbeitung, Versand an Kunden und Dokumentation (01.-03.07., GBO, TKI)</t>
  </si>
  <si>
    <t>Textarbeiten Unterseite "Android App": Abstimmung, Briefing und inhaltliche Konzeption, Recherche und Zusammentragen der Informationen, Texterstellung, Keyword-Optimierung nach WDF*IDF, Ergänzungen und kl. Anpassungen, Lektorat und finale Bearbeitung, Versand an Kunden und Dokumentation (04.08., GBO, TKI)</t>
  </si>
  <si>
    <t>Textarbeiten Unterseite "iPhone App": Abstimmung, Briefing und inhaltliche Konzeption, Recherche und Zusammentragen der Informationen, Texterstellung, Keyword-Optimierung nach WDF*IDF, Ergänzungen und kl. Anpassungen, Lektorat und finale Bearbeitung, Versand an Kunden und Dokumentation (25.08., GBO, TKI)</t>
  </si>
  <si>
    <t>Spitzenstellungs-Check von 7 Seitentexten, Abstimmung und Dokumentation (08.-14.09., GBO, TKI)</t>
  </si>
  <si>
    <t>3. Website-Pflege, Onpage-Optimierung, etc.</t>
  </si>
  <si>
    <t>Index-Management (vollständige OnPage-Analyse): Vorbereitung und Recherche, Überprüfung der Website in der Google Search-Console, Durchsicht und Aufruf der indexierten Unterseiten bei Google (site:URL), Durchführung einer vollständigen Onpage-Analyse mit Sistrix und XOVI, Crawl der Website mit Screaming-Frog und Export der kompletten Seitenstruktur, Prüfung und Sortierung der Excelliste anhand der Website-Navigation, Überprüfung, welche Seiten/URLs im Index sind und welche Seiten deindexiert werden sollten, Durchsicht Seitentitel, Meta-Descriptions, Überschriften, interne Verlinkung, Ladezeit, etc., weitere Fehler und Abweichungen markiert, erste Handlungsempfehlungen für Optimierungsmaßnahmen und zur Bereinigung des Indexes erarbeitet, Dokumentation und Abstimmung (18.-29.09., TKI)</t>
  </si>
  <si>
    <t>Einrichtung marker.io für Nutzung auf test.cayas.de und Anbindung an internes Asana-Board zur einfachen Dokumentation von nötigen Anpassungen, inhaltliche Prüfung von zu klärenden Tickets und Vorschläge zur Umsetzung (Iconpack, Favicon, Padding, Logos, etc.), Abstimmung und Dokumentation (17.07., BKO)</t>
  </si>
  <si>
    <t>Online-Gang-Checkliste (Asana-Board) komplett durchgearbeitet, zahlreiche Aspekte geprüft und dokumentiert, offene Aufgaben ermittelt, beispielsweise Überschriften-Struktur, Formulare, 301-Weiterleitungen, W3C-Konformität, kl. Anpassungen, Abstimmung und Dokumentation (15.09., BKO, TKI)</t>
  </si>
  <si>
    <t>Impressum und Datenschutz einpflegen, technische Funktionen umsetzen wie gefordert, Abstimmung und Dokumentation (24.09., BKO, TKI)</t>
  </si>
  <si>
    <t>5. Google Ads, Conversion-Tracking, Monitoring, etc.</t>
  </si>
  <si>
    <t>Recherche und interne Abstimmung, Einrichtung Lookerstudio-Dashboard auf Basis der PDF-Vorlage (adaptiert), Aufbau der Unterseiten, Anbindung an verschiedene Google-Dienste, kl. Anpassungen, Abstimmung und Dokumentation (17.07.-14.08., JST, BJU, TKI)</t>
  </si>
  <si>
    <t>Weitere Abstimmung Looker Studio Report, Anpassungen und Transfer, Dokumetation (27.08.-12.09., BJU)</t>
  </si>
  <si>
    <t>Abstimmung und Vorbereitung Keyword Analyse Google Ads Kampagne, Absprachen und Dokumentation (16.-23.09., BJU, TKI)</t>
  </si>
  <si>
    <t>Abstimmung und Vorbereitung für Tracking und Cookie-Banner (23.09., BJU, TKI)</t>
  </si>
  <si>
    <t>6. Beratung &amp; Sonstiges</t>
  </si>
  <si>
    <t>Kurze Vorbereitung und Zoomcall zur Abstimmung weiterer Maßnahmen, Planung der nächsten Schritte, Klären von div. Fragen, 14-15 Uhr, Abstimmung und Dokumentation im Anschluss (15.07., TKI, CDE) // Christians Aufwand zur "Vermittlung" o. Weiterberechnung</t>
  </si>
  <si>
    <t>Sichtung der Asana-Tickets, Kommentarverläufe und Videos, Ermitteln von mögl. Änderungswünschen und Aufgabenstellungen und Anlegen von Tickets nach Priorisierung, interne Abstimmung zur Vorgehensweise der Website-Prüfung, Crawling der Live- und der Testseite, URL-Auflistung und Anlegen von Unterseiten-Tickets, Prüfung der neuen Website nach nötigen Anpassungen vor dem Online-Gang, Screenshots via marker.io, Priorisierung der ermittelten Aufgaben, gemeinsame Durchsicht und Klärung von offenen Themen, Abstimmung und Dokumentation (15.-17.06., BKO, BJU, TKI)</t>
  </si>
  <si>
    <t>Unterstützung bei der Klärung weiterer Tickets, Aufbau Startseite mit Screenshots und Anmerkungen sowie einem Video verdeutlicht, Abstimmung und telefonischer Austausch (18.07.-18.08., TKI)</t>
  </si>
  <si>
    <t>Prüfung der Seitenstruktur vor Online-Gang, Abweichungen dokumentiert, erneute Prüfung nach Anpassungen, Abstimmung (25.-26.08., TKI)</t>
  </si>
  <si>
    <t>Kurze Vorbereitung und Zoomcall zur Abstimmung weiterer Maßnahmen, Planung der nächsten Schritte, Klären von div. Fragen, 15:15-16 Uhr, Abstimmung und Dokumentation der geplanten Maßnahmen in Asana (10.09., TKI)</t>
  </si>
  <si>
    <t>Kurze Vorbereitung und Zoomcall zur Abstimmung weiterer Maßnahmen, Planung der nächsten Schritte, Klären von div. Fragen, 16:30-17:20 Uhr, Abstimmung und Dokumentation der geplanten Maßnahmen in Asana (18.09., TKI)</t>
  </si>
  <si>
    <t>Organisation, Planung, Überwachung und Steuerung der Aufgaben und Ressourcen (pro Tagessatz ca. 0,5 Std., TKI)</t>
  </si>
  <si>
    <t>Aufwand ca. insgesamt in Std.</t>
  </si>
  <si>
    <t>Aufwand in Tagessätzen</t>
  </si>
  <si>
    <t>7 Tagessätze</t>
  </si>
  <si>
    <t>Noch Rückfragen? Kontakt zur Thoxan Communications GmbH unter https://www.thoxan.com/kontakt/</t>
  </si>
  <si>
    <t>4. Technischer Support, UX-Optimierung,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</si>
</sst>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1" applyFont="1"/>
    <xf numFmtId="49" fontId="5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3" xfId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linemarktplatz.de/259310/diese-vier-b2b-apps-schaffen-echten-mehrwert/" TargetMode="External"/><Relationship Id="rId2" Type="http://schemas.openxmlformats.org/officeDocument/2006/relationships/hyperlink" Target="http://www.cayas.de/" TargetMode="External"/><Relationship Id="rId1" Type="http://schemas.openxmlformats.org/officeDocument/2006/relationships/hyperlink" Target="https://www.thoxan.com/kontakt/" TargetMode="External"/><Relationship Id="rId4" Type="http://schemas.openxmlformats.org/officeDocument/2006/relationships/hyperlink" Target="https://www.it-daily.net/it-management/business-software/xamarin-ende-zwingt-unternehmen-hande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6E8E-8752-DA41-83BC-9655A7C6DA43}">
  <dimension ref="A1:B1004"/>
  <sheetViews>
    <sheetView tabSelected="1" zoomScale="160" zoomScaleNormal="160" workbookViewId="0">
      <pane ySplit="4" topLeftCell="A5" activePane="bottomLeft" state="frozen"/>
      <selection pane="bottomLeft" activeCell="A53" sqref="A53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ht="16" x14ac:dyDescent="0.2">
      <c r="A4" s="8"/>
      <c r="B4" s="9" t="s">
        <v>4</v>
      </c>
    </row>
    <row r="5" spans="1:2" ht="15.75" customHeight="1" x14ac:dyDescent="0.2">
      <c r="A5" s="8" t="s">
        <v>5</v>
      </c>
      <c r="B5" s="10"/>
    </row>
    <row r="6" spans="1:2" s="7" customFormat="1" ht="42" x14ac:dyDescent="0.15">
      <c r="A6" s="12" t="s">
        <v>6</v>
      </c>
      <c r="B6" s="13">
        <v>3.5</v>
      </c>
    </row>
    <row r="7" spans="1:2" s="7" customFormat="1" ht="42" x14ac:dyDescent="0.15">
      <c r="A7" s="12" t="s">
        <v>7</v>
      </c>
      <c r="B7" s="13">
        <v>3</v>
      </c>
    </row>
    <row r="8" spans="1:2" s="7" customFormat="1" ht="56" x14ac:dyDescent="0.15">
      <c r="A8" s="12" t="s">
        <v>8</v>
      </c>
      <c r="B8" s="13">
        <v>1.5</v>
      </c>
    </row>
    <row r="9" spans="1:2" s="7" customFormat="1" ht="28" x14ac:dyDescent="0.15">
      <c r="A9" s="16" t="s">
        <v>9</v>
      </c>
      <c r="B9" s="15"/>
    </row>
    <row r="10" spans="1:2" s="7" customFormat="1" ht="28" x14ac:dyDescent="0.15">
      <c r="A10" s="16" t="s">
        <v>10</v>
      </c>
      <c r="B10" s="15"/>
    </row>
    <row r="11" spans="1:2" ht="30.75" customHeight="1" x14ac:dyDescent="0.2">
      <c r="A11" s="17" t="s">
        <v>11</v>
      </c>
      <c r="B11" s="13">
        <v>0.5</v>
      </c>
    </row>
    <row r="12" spans="1:2" ht="15.75" customHeight="1" x14ac:dyDescent="0.2">
      <c r="A12" s="18" t="s">
        <v>4</v>
      </c>
      <c r="B12" s="19">
        <f>SUM(B5:B11)</f>
        <v>8.5</v>
      </c>
    </row>
    <row r="13" spans="1:2" ht="15.75" customHeight="1" x14ac:dyDescent="0.2">
      <c r="A13" s="11"/>
      <c r="B13" s="14"/>
    </row>
    <row r="14" spans="1:2" ht="16" x14ac:dyDescent="0.2">
      <c r="A14" s="8" t="s">
        <v>12</v>
      </c>
      <c r="B14" s="14"/>
    </row>
    <row r="15" spans="1:2" ht="70" x14ac:dyDescent="0.2">
      <c r="A15" s="12" t="s">
        <v>13</v>
      </c>
      <c r="B15" s="14">
        <v>4</v>
      </c>
    </row>
    <row r="16" spans="1:2" ht="70" x14ac:dyDescent="0.2">
      <c r="A16" s="12" t="s">
        <v>14</v>
      </c>
      <c r="B16" s="14">
        <v>3.75</v>
      </c>
    </row>
    <row r="17" spans="1:2" ht="70" x14ac:dyDescent="0.2">
      <c r="A17" s="12" t="s">
        <v>15</v>
      </c>
      <c r="B17" s="14">
        <v>4</v>
      </c>
    </row>
    <row r="18" spans="1:2" ht="28" x14ac:dyDescent="0.2">
      <c r="A18" s="12" t="s">
        <v>16</v>
      </c>
      <c r="B18" s="14">
        <v>2</v>
      </c>
    </row>
    <row r="19" spans="1:2" ht="15.75" customHeight="1" x14ac:dyDescent="0.2">
      <c r="A19" s="18" t="s">
        <v>4</v>
      </c>
      <c r="B19" s="19">
        <f>SUM(B15:B18)</f>
        <v>13.75</v>
      </c>
    </row>
    <row r="20" spans="1:2" ht="15.75" customHeight="1" x14ac:dyDescent="0.2">
      <c r="A20" s="21"/>
      <c r="B20" s="14"/>
    </row>
    <row r="21" spans="1:2" ht="16" x14ac:dyDescent="0.2">
      <c r="A21" s="8" t="s">
        <v>17</v>
      </c>
      <c r="B21" s="20"/>
    </row>
    <row r="22" spans="1:2" ht="182" x14ac:dyDescent="0.2">
      <c r="A22" s="12" t="s">
        <v>18</v>
      </c>
      <c r="B22" s="14">
        <v>6</v>
      </c>
    </row>
    <row r="23" spans="1:2" ht="15.75" customHeight="1" x14ac:dyDescent="0.2">
      <c r="A23" s="18" t="s">
        <v>4</v>
      </c>
      <c r="B23" s="19">
        <f>SUM(B22:B22)</f>
        <v>6</v>
      </c>
    </row>
    <row r="24" spans="1:2" ht="15.75" customHeight="1" x14ac:dyDescent="0.2">
      <c r="A24" s="21"/>
      <c r="B24" s="14"/>
    </row>
    <row r="25" spans="1:2" ht="16" x14ac:dyDescent="0.2">
      <c r="A25" s="8" t="s">
        <v>39</v>
      </c>
      <c r="B25" s="20"/>
    </row>
    <row r="26" spans="1:2" ht="70" x14ac:dyDescent="0.2">
      <c r="A26" s="12" t="s">
        <v>19</v>
      </c>
      <c r="B26" s="14">
        <v>1</v>
      </c>
    </row>
    <row r="27" spans="1:2" ht="70" x14ac:dyDescent="0.2">
      <c r="A27" s="12" t="s">
        <v>20</v>
      </c>
      <c r="B27" s="14">
        <v>3.25</v>
      </c>
    </row>
    <row r="28" spans="1:2" ht="42" x14ac:dyDescent="0.2">
      <c r="A28" s="12" t="s">
        <v>21</v>
      </c>
      <c r="B28" s="14">
        <v>1</v>
      </c>
    </row>
    <row r="29" spans="1:2" ht="15.75" customHeight="1" x14ac:dyDescent="0.2">
      <c r="A29" s="18" t="s">
        <v>4</v>
      </c>
      <c r="B29" s="19">
        <f>SUM(B26:B28)</f>
        <v>5.25</v>
      </c>
    </row>
    <row r="30" spans="1:2" ht="15.75" customHeight="1" x14ac:dyDescent="0.2">
      <c r="A30" s="21"/>
      <c r="B30" s="14"/>
    </row>
    <row r="31" spans="1:2" ht="16" x14ac:dyDescent="0.2">
      <c r="A31" s="8" t="s">
        <v>22</v>
      </c>
      <c r="B31" s="20"/>
    </row>
    <row r="32" spans="1:2" ht="70" x14ac:dyDescent="0.2">
      <c r="A32" s="12" t="s">
        <v>23</v>
      </c>
      <c r="B32" s="14">
        <v>4.25</v>
      </c>
    </row>
    <row r="33" spans="1:2" ht="28" x14ac:dyDescent="0.2">
      <c r="A33" s="12" t="s">
        <v>24</v>
      </c>
      <c r="B33" s="14">
        <v>1.25</v>
      </c>
    </row>
    <row r="34" spans="1:2" ht="28" x14ac:dyDescent="0.2">
      <c r="A34" s="12" t="s">
        <v>25</v>
      </c>
      <c r="B34" s="14">
        <v>1</v>
      </c>
    </row>
    <row r="35" spans="1:2" ht="28" x14ac:dyDescent="0.2">
      <c r="A35" s="12" t="s">
        <v>26</v>
      </c>
      <c r="B35" s="14">
        <v>0.5</v>
      </c>
    </row>
    <row r="36" spans="1:2" ht="15.75" customHeight="1" x14ac:dyDescent="0.2">
      <c r="A36" s="18" t="s">
        <v>4</v>
      </c>
      <c r="B36" s="19">
        <f>SUM(B32:B35)</f>
        <v>7</v>
      </c>
    </row>
    <row r="37" spans="1:2" ht="15.75" customHeight="1" x14ac:dyDescent="0.2">
      <c r="A37" s="21"/>
      <c r="B37" s="14"/>
    </row>
    <row r="38" spans="1:2" ht="16" x14ac:dyDescent="0.2">
      <c r="A38" s="22" t="s">
        <v>27</v>
      </c>
      <c r="B38" s="20"/>
    </row>
    <row r="39" spans="1:2" ht="56" x14ac:dyDescent="0.2">
      <c r="A39" s="12" t="s">
        <v>28</v>
      </c>
      <c r="B39" s="14">
        <v>1</v>
      </c>
    </row>
    <row r="40" spans="1:2" ht="126" x14ac:dyDescent="0.2">
      <c r="A40" s="12" t="s">
        <v>29</v>
      </c>
      <c r="B40" s="14">
        <v>7</v>
      </c>
    </row>
    <row r="41" spans="1:2" ht="42" x14ac:dyDescent="0.2">
      <c r="A41" s="12" t="s">
        <v>30</v>
      </c>
      <c r="B41" s="14">
        <v>2.5</v>
      </c>
    </row>
    <row r="42" spans="1:2" ht="42" x14ac:dyDescent="0.2">
      <c r="A42" s="12" t="s">
        <v>31</v>
      </c>
      <c r="B42" s="14">
        <v>0.75</v>
      </c>
    </row>
    <row r="43" spans="1:2" ht="56" x14ac:dyDescent="0.2">
      <c r="A43" s="12" t="s">
        <v>32</v>
      </c>
      <c r="B43" s="14">
        <v>1</v>
      </c>
    </row>
    <row r="44" spans="1:2" ht="56" x14ac:dyDescent="0.2">
      <c r="A44" s="12" t="s">
        <v>33</v>
      </c>
      <c r="B44" s="14">
        <v>1.25</v>
      </c>
    </row>
    <row r="45" spans="1:2" ht="28" x14ac:dyDescent="0.2">
      <c r="A45" s="12" t="s">
        <v>34</v>
      </c>
      <c r="B45" s="14">
        <v>3.5</v>
      </c>
    </row>
    <row r="46" spans="1:2" ht="15.75" customHeight="1" x14ac:dyDescent="0.2">
      <c r="A46" s="18" t="s">
        <v>4</v>
      </c>
      <c r="B46" s="19">
        <f>SUM(B39:B45)</f>
        <v>17</v>
      </c>
    </row>
    <row r="47" spans="1:2" ht="16.5" customHeight="1" x14ac:dyDescent="0.2">
      <c r="A47" s="21"/>
      <c r="B47" s="14"/>
    </row>
    <row r="48" spans="1:2" ht="16.5" customHeight="1" thickBot="1" x14ac:dyDescent="0.25">
      <c r="A48" s="23" t="s">
        <v>35</v>
      </c>
      <c r="B48" s="24">
        <f>SUM(B12+B19+B23+B29+B36+B46)</f>
        <v>57.5</v>
      </c>
    </row>
    <row r="49" spans="1:2" ht="15.75" customHeight="1" thickBot="1" x14ac:dyDescent="0.25">
      <c r="A49" s="25" t="s">
        <v>36</v>
      </c>
      <c r="B49" s="26" t="s">
        <v>37</v>
      </c>
    </row>
    <row r="50" spans="1:2" ht="15.75" customHeight="1" x14ac:dyDescent="0.2">
      <c r="A50" s="7"/>
      <c r="B50" s="7"/>
    </row>
    <row r="51" spans="1:2" ht="15.75" customHeight="1" x14ac:dyDescent="0.2">
      <c r="A51" s="27" t="s">
        <v>38</v>
      </c>
      <c r="B51" s="7"/>
    </row>
    <row r="52" spans="1:2" ht="15.75" customHeight="1" x14ac:dyDescent="0.2">
      <c r="A52" s="7"/>
      <c r="B52" s="7"/>
    </row>
    <row r="53" spans="1:2" ht="15.75" customHeight="1" x14ac:dyDescent="0.2">
      <c r="A53" s="7"/>
      <c r="B53" s="7"/>
    </row>
    <row r="54" spans="1:2" ht="15.75" customHeight="1" x14ac:dyDescent="0.2">
      <c r="A54" s="7"/>
      <c r="B54" s="7"/>
    </row>
    <row r="55" spans="1:2" ht="15.75" customHeight="1" x14ac:dyDescent="0.2">
      <c r="A55" s="7"/>
      <c r="B55" s="7"/>
    </row>
    <row r="56" spans="1:2" ht="15.75" customHeight="1" x14ac:dyDescent="0.2">
      <c r="A56" s="7"/>
      <c r="B56" s="7"/>
    </row>
    <row r="57" spans="1:2" ht="15.75" customHeight="1" x14ac:dyDescent="0.2">
      <c r="A57" s="7"/>
      <c r="B57" s="7"/>
    </row>
    <row r="58" spans="1:2" ht="15.75" customHeight="1" x14ac:dyDescent="0.2">
      <c r="A58" s="7"/>
      <c r="B58" s="7"/>
    </row>
    <row r="59" spans="1:2" ht="15.75" customHeight="1" x14ac:dyDescent="0.2">
      <c r="A59" s="7"/>
      <c r="B59" s="7"/>
    </row>
    <row r="60" spans="1:2" ht="15.75" customHeight="1" x14ac:dyDescent="0.2">
      <c r="A60" s="7"/>
      <c r="B60" s="7"/>
    </row>
    <row r="61" spans="1:2" ht="15.75" customHeight="1" x14ac:dyDescent="0.2">
      <c r="A61" s="7"/>
      <c r="B61" s="7"/>
    </row>
    <row r="62" spans="1:2" ht="15.75" customHeight="1" x14ac:dyDescent="0.2">
      <c r="A62" s="7"/>
      <c r="B62" s="7"/>
    </row>
    <row r="63" spans="1:2" ht="15.75" customHeight="1" x14ac:dyDescent="0.2">
      <c r="A63" s="7"/>
      <c r="B63" s="7"/>
    </row>
    <row r="64" spans="1:2" ht="15.75" customHeight="1" x14ac:dyDescent="0.2">
      <c r="A64" s="7"/>
      <c r="B64" s="7"/>
    </row>
    <row r="65" spans="1:2" ht="15.75" customHeight="1" x14ac:dyDescent="0.2">
      <c r="A65" s="7"/>
      <c r="B65" s="7"/>
    </row>
    <row r="66" spans="1:2" ht="15.75" customHeight="1" x14ac:dyDescent="0.2">
      <c r="A66" s="7"/>
      <c r="B66" s="7"/>
    </row>
    <row r="67" spans="1:2" ht="15.75" customHeight="1" x14ac:dyDescent="0.2">
      <c r="A67" s="7"/>
      <c r="B67" s="7"/>
    </row>
    <row r="68" spans="1:2" ht="15.75" customHeight="1" x14ac:dyDescent="0.2">
      <c r="A68" s="7"/>
      <c r="B68" s="7"/>
    </row>
    <row r="69" spans="1:2" ht="15.75" customHeight="1" x14ac:dyDescent="0.2">
      <c r="A69" s="7"/>
      <c r="B69" s="7"/>
    </row>
    <row r="70" spans="1:2" ht="15.75" customHeight="1" x14ac:dyDescent="0.2">
      <c r="A70" s="7"/>
      <c r="B70" s="7"/>
    </row>
    <row r="71" spans="1:2" ht="15.75" customHeight="1" x14ac:dyDescent="0.2">
      <c r="A71" s="7"/>
      <c r="B71" s="7"/>
    </row>
    <row r="72" spans="1:2" ht="15.75" customHeight="1" x14ac:dyDescent="0.2">
      <c r="A72" s="7"/>
      <c r="B72" s="7"/>
    </row>
    <row r="73" spans="1:2" ht="15.75" customHeight="1" x14ac:dyDescent="0.2">
      <c r="A73" s="7"/>
      <c r="B73" s="7"/>
    </row>
    <row r="74" spans="1:2" ht="15.75" customHeight="1" x14ac:dyDescent="0.2">
      <c r="A74" s="7"/>
      <c r="B74" s="7"/>
    </row>
    <row r="75" spans="1:2" ht="15.75" customHeight="1" x14ac:dyDescent="0.2">
      <c r="A75" s="7"/>
      <c r="B75" s="7"/>
    </row>
    <row r="76" spans="1:2" ht="15.75" customHeight="1" x14ac:dyDescent="0.2">
      <c r="A76" s="7"/>
      <c r="B76" s="7"/>
    </row>
    <row r="77" spans="1:2" ht="15.75" customHeight="1" x14ac:dyDescent="0.2">
      <c r="A77" s="7"/>
      <c r="B77" s="7"/>
    </row>
    <row r="78" spans="1:2" ht="15.75" customHeight="1" x14ac:dyDescent="0.2">
      <c r="A78" s="7"/>
      <c r="B78" s="7"/>
    </row>
    <row r="79" spans="1:2" ht="15.75" customHeight="1" x14ac:dyDescent="0.2">
      <c r="A79" s="7"/>
      <c r="B79" s="7"/>
    </row>
    <row r="80" spans="1:2" ht="15.75" customHeight="1" x14ac:dyDescent="0.2">
      <c r="A80" s="7"/>
      <c r="B80" s="7"/>
    </row>
    <row r="81" spans="1:2" ht="15.75" customHeight="1" x14ac:dyDescent="0.2">
      <c r="A81" s="7"/>
      <c r="B81" s="7"/>
    </row>
    <row r="82" spans="1:2" ht="15.75" customHeight="1" x14ac:dyDescent="0.2">
      <c r="A82" s="7"/>
      <c r="B82" s="7"/>
    </row>
    <row r="83" spans="1:2" ht="15.75" customHeight="1" x14ac:dyDescent="0.2">
      <c r="A83" s="7"/>
      <c r="B83" s="7"/>
    </row>
    <row r="84" spans="1:2" ht="15.75" customHeight="1" x14ac:dyDescent="0.2">
      <c r="A84" s="7"/>
      <c r="B84" s="7"/>
    </row>
    <row r="85" spans="1:2" ht="15.75" customHeight="1" x14ac:dyDescent="0.2">
      <c r="A85" s="7"/>
      <c r="B85" s="7"/>
    </row>
    <row r="86" spans="1:2" ht="15.75" customHeight="1" x14ac:dyDescent="0.2">
      <c r="A86" s="7"/>
      <c r="B86" s="7"/>
    </row>
    <row r="87" spans="1:2" ht="15.75" customHeight="1" x14ac:dyDescent="0.2">
      <c r="A87" s="7"/>
      <c r="B87" s="7"/>
    </row>
    <row r="88" spans="1:2" ht="15.75" customHeight="1" x14ac:dyDescent="0.2">
      <c r="A88" s="7"/>
      <c r="B88" s="7"/>
    </row>
    <row r="89" spans="1:2" ht="15.75" customHeight="1" x14ac:dyDescent="0.2">
      <c r="A89" s="7"/>
      <c r="B89" s="7"/>
    </row>
    <row r="90" spans="1:2" ht="15.75" customHeight="1" x14ac:dyDescent="0.2">
      <c r="A90" s="7"/>
      <c r="B90" s="7"/>
    </row>
    <row r="91" spans="1:2" ht="15.75" customHeight="1" x14ac:dyDescent="0.2">
      <c r="A91" s="7"/>
      <c r="B91" s="7"/>
    </row>
    <row r="92" spans="1:2" ht="15.75" customHeight="1" x14ac:dyDescent="0.2">
      <c r="A92" s="7"/>
      <c r="B92" s="7"/>
    </row>
    <row r="93" spans="1:2" ht="15.75" customHeight="1" x14ac:dyDescent="0.2">
      <c r="A93" s="7"/>
      <c r="B93" s="7"/>
    </row>
    <row r="94" spans="1:2" ht="15.75" customHeight="1" x14ac:dyDescent="0.2">
      <c r="A94" s="7"/>
      <c r="B94" s="7"/>
    </row>
    <row r="95" spans="1:2" ht="15.75" customHeight="1" x14ac:dyDescent="0.2">
      <c r="A95" s="7"/>
      <c r="B95" s="7"/>
    </row>
    <row r="96" spans="1:2" ht="15.75" customHeight="1" x14ac:dyDescent="0.2">
      <c r="A96" s="7"/>
      <c r="B96" s="7"/>
    </row>
    <row r="97" spans="1:2" ht="15.75" customHeight="1" x14ac:dyDescent="0.2">
      <c r="A97" s="7"/>
      <c r="B97" s="7"/>
    </row>
    <row r="98" spans="1:2" ht="15.75" customHeight="1" x14ac:dyDescent="0.2">
      <c r="A98" s="7"/>
      <c r="B98" s="7"/>
    </row>
    <row r="99" spans="1:2" ht="15.75" customHeight="1" x14ac:dyDescent="0.2">
      <c r="A99" s="7"/>
      <c r="B99" s="7"/>
    </row>
    <row r="100" spans="1:2" ht="15.75" customHeight="1" x14ac:dyDescent="0.2">
      <c r="A100" s="7"/>
      <c r="B100" s="7"/>
    </row>
    <row r="101" spans="1:2" ht="15.75" customHeight="1" x14ac:dyDescent="0.2">
      <c r="A101" s="7"/>
      <c r="B101" s="7"/>
    </row>
    <row r="102" spans="1:2" ht="15.75" customHeight="1" x14ac:dyDescent="0.2">
      <c r="A102" s="7"/>
      <c r="B102" s="7"/>
    </row>
    <row r="103" spans="1:2" ht="15.75" customHeight="1" x14ac:dyDescent="0.2">
      <c r="A103" s="7"/>
      <c r="B103" s="7"/>
    </row>
    <row r="104" spans="1:2" ht="15.75" customHeight="1" x14ac:dyDescent="0.2">
      <c r="A104" s="7"/>
      <c r="B104" s="7"/>
    </row>
    <row r="105" spans="1:2" ht="15.75" customHeight="1" x14ac:dyDescent="0.2">
      <c r="A105" s="7"/>
      <c r="B105" s="7"/>
    </row>
    <row r="106" spans="1:2" ht="15.75" customHeight="1" x14ac:dyDescent="0.2">
      <c r="A106" s="7"/>
      <c r="B106" s="7"/>
    </row>
    <row r="107" spans="1:2" ht="15.75" customHeight="1" x14ac:dyDescent="0.2">
      <c r="A107" s="7"/>
      <c r="B107" s="7"/>
    </row>
    <row r="108" spans="1:2" ht="15.75" customHeight="1" x14ac:dyDescent="0.2">
      <c r="A108" s="7"/>
      <c r="B108" s="7"/>
    </row>
    <row r="109" spans="1:2" ht="15.75" customHeight="1" x14ac:dyDescent="0.2">
      <c r="A109" s="7"/>
      <c r="B109" s="7"/>
    </row>
    <row r="110" spans="1:2" ht="15.75" customHeight="1" x14ac:dyDescent="0.2">
      <c r="A110" s="7"/>
      <c r="B110" s="7"/>
    </row>
    <row r="111" spans="1:2" ht="15.75" customHeight="1" x14ac:dyDescent="0.2">
      <c r="A111" s="7"/>
      <c r="B111" s="7"/>
    </row>
    <row r="112" spans="1:2" ht="15.75" customHeight="1" x14ac:dyDescent="0.2">
      <c r="A112" s="7"/>
      <c r="B112" s="7"/>
    </row>
    <row r="113" spans="1:2" ht="15.75" customHeight="1" x14ac:dyDescent="0.2">
      <c r="A113" s="7"/>
      <c r="B113" s="7"/>
    </row>
    <row r="114" spans="1:2" ht="15.75" customHeight="1" x14ac:dyDescent="0.2">
      <c r="A114" s="7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" customHeight="1" x14ac:dyDescent="0.2">
      <c r="A1004" s="3"/>
    </row>
  </sheetData>
  <hyperlinks>
    <hyperlink ref="A51" r:id="rId1" xr:uid="{915FDA6B-C4E0-204F-947B-3A714C795796}"/>
    <hyperlink ref="A2" r:id="rId2" xr:uid="{F9F9A888-6BC9-FE49-8A74-37A56C9230B6}"/>
    <hyperlink ref="A9" r:id="rId3" xr:uid="{A662CC84-9D21-FC4F-9DC1-A36C5892B4C0}"/>
    <hyperlink ref="A10" r:id="rId4" xr:uid="{8CE9E4D6-27E3-DC4C-A36C-B30ED152C1F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2025-09-29T13:23:09Z</dcterms:created>
  <dcterms:modified xsi:type="dcterms:W3CDTF">2025-09-29T13:24:45Z</dcterms:modified>
</cp:coreProperties>
</file>