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9/"/>
    </mc:Choice>
  </mc:AlternateContent>
  <xr:revisionPtr revIDLastSave="0" documentId="8_{3ED5264A-1FF6-374B-AE8C-766F322E2800}" xr6:coauthVersionLast="47" xr6:coauthVersionMax="47" xr10:uidLastSave="{00000000-0000-0000-0000-000000000000}"/>
  <bookViews>
    <workbookView xWindow="7980" yWindow="920" windowWidth="35400" windowHeight="25320" xr2:uid="{59AF1C90-1BDB-014F-9282-5B0379799E73}"/>
  </bookViews>
  <sheets>
    <sheet name="VID"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 l="1"/>
  <c r="B41" i="1"/>
  <c r="B35" i="1"/>
  <c r="B25" i="1"/>
  <c r="B7" i="1"/>
  <c r="B51" i="1" l="1"/>
</calcChain>
</file>

<file path=xl/sharedStrings.xml><?xml version="1.0" encoding="utf-8"?>
<sst xmlns="http://schemas.openxmlformats.org/spreadsheetml/2006/main" count="50" uniqueCount="45">
  <si>
    <t>Steinmann Video Stream Hosting</t>
  </si>
  <si>
    <t>3. Quartal 2025</t>
  </si>
  <si>
    <t>https://www.video-stream-hosting.com</t>
  </si>
  <si>
    <t>Monatliche Optimierung</t>
  </si>
  <si>
    <t>Aufwand ca. in Std.</t>
  </si>
  <si>
    <t>1. Linkaufbau, Linkabbau, Online-PR</t>
  </si>
  <si>
    <t>---</t>
  </si>
  <si>
    <t>2. Redaktionelle Arbeiten &amp; Website-Pflege</t>
  </si>
  <si>
    <t>Textoptimierung Features / Server: Abstimmung, Briefing und Textoptimierung für bestehende Inhalte, Überarbeitung des Bestandstexts und Texterweiterung, Keyword-Optimierung nach WDF*IDF, Ergänzungen und kl. Anpassungen, Lektorat und finale Bearbeitung, Versand an Kunden und Dokumentation (15.-21.07., GBO, TKI)</t>
  </si>
  <si>
    <t>Textkorrekturen Features / Server: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(05.-07., 22.08., GBO)</t>
  </si>
  <si>
    <t>UX-Optimierung Features / Server, Prüfung des bisherigen Aufbaus und der neuen Textentwürfe von Gaby, Abstimmung und Dokumentation mit kl. Vorschlägen zur Anpassung (07.08., BKO, TKI)</t>
  </si>
  <si>
    <t>Einpflegen der optimierten Unterseite Features / Server: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(15.-21.08., TKI)</t>
  </si>
  <si>
    <r>
      <t xml:space="preserve">Spitzenstellungs-Risiko / Textstellen ermitteln, Texte anpassen, Abstimmung und Dokumentation (19.-22.08., GBO, BKO, TKI) // </t>
    </r>
    <r>
      <rPr>
        <sz val="10"/>
        <color rgb="FFFF0000"/>
        <rFont val="Arial"/>
        <family val="2"/>
      </rPr>
      <t>ca. 3 Std. o. Berechnung</t>
    </r>
  </si>
  <si>
    <t>Textoptimierung Streaming-Pakete / Plattform: Abstimmung, Briefing und Textoptimierung für bestehende Inhalte, Überarbeitung des Bestandstexts und Texterweiterung, Keyword-Optimierung nach WDF*IDF, Ergänzungen und kl. Anpassungen, Lektorat und finale Bearbeitung, Versand an Kunden und Dokumentation (14.08., GBO, TKI)</t>
  </si>
  <si>
    <t>Textkorrekturen Streaming-Pakete / Plattform: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(05.-07., 22.08., GBO)</t>
  </si>
  <si>
    <t>UX-Optimierung Streaming-Pakete / Plattform, Prüfung des bisherigen Aufbaus und der neuen Textentwürfe von Gaby, Abstimmung und Dokumentation mit kl. Vorschlägen zur Anpassung (25.08., BKO, TKI)</t>
  </si>
  <si>
    <t>Einpflegen der optimierten Unterseite Streaming-Pakete / Plattform: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(29.08., TKI)</t>
  </si>
  <si>
    <t>Textoptimierung Erweiterungen / Service: Abstimmung, Briefing und Textoptimierung für bestehende Inhalte, Überarbeitung des Bestandstexts und Texterweiterung, Keyword-Optimierung nach WDF*IDF, Ergänzungen und kl. Anpassungen, Lektorat und finale Bearbeitung, Versand an Kunden und Dokumentation (06.-15.09., GBO, TKI)</t>
  </si>
  <si>
    <t>UX-Optimierung Erweiterungen / Service, Prüfung des bisherigen Aufbaus und der neuen Textentwürfe von Gaby, Abstimmung und Dokumentation mit kl. Vorschlägen zur Anpassung (15.09., BKO, TKI)</t>
  </si>
  <si>
    <t>Textkorrekturen Erweiterungen / Service: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(24.09., GBO)</t>
  </si>
  <si>
    <t>Kurze Vorbereitung und virtuelle Abstimmung zur Vorgehensweise bei Kundenprojekten, Ablauf der Zusammenarbeit, Briefing KI-gestützt aufbereiten und intern abstimmen (26.08., TKI)</t>
  </si>
  <si>
    <t>Ablauf der Zusammenarbeit mit Event-Agenturen / Unternehmen, Vorarbeiten zur Visualisierung der Schritte (04.-12.09., GBO)</t>
  </si>
  <si>
    <t>Einpflegen der Ablaufschritte auf der Unterseite Event-Agenturen, Briefing für Visualisierung / Schaubild, Abstimmung und Dokumentation (14.09., TKI)</t>
  </si>
  <si>
    <t>3. Technische Arbeiten, Onpage-Optimierung, ggf. Programmierung</t>
  </si>
  <si>
    <t>Optimierung Konfigurator, Abstimmung (14.08., BKO)</t>
  </si>
  <si>
    <t>WordPress-Update: Backup der Dateien und der Datenbank, umfassendes Update des WordPress-Systems sowie aller verwendeten Plugins, Funktionsprüfung, kl. Anpassungen im System, erneutes Backup nach Aktualisierung, Dokumentation und Abstimmung (19.08., BKO, TKI)</t>
  </si>
  <si>
    <t>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(24.08, TKI)</t>
  </si>
  <si>
    <t>Logos der Referenzkunden in Größe und Stil vereinheitlichen und Optimieren des Grid-Formats, so dass die bisherigen Kunden hochwertig erscheinen, Grafische Bearbeitung, kl. Anpassungen per CSS / Template, Abstimmung und Dokumentation (19.09., BKO, TKI)</t>
  </si>
  <si>
    <t>Kleinere Design-Fixes auf der Startseite und auf Modul-Unterseiten (Weißraum erhöhen, visuelle Breaks ergänzen, verbesserte Leseführung, einheitliche Typographie und Button-Größen) für noch professionellere Anmutung bei Neukunden, Abstimmung und Dokumentation (23.-24.09., BKO)</t>
  </si>
  <si>
    <t>Domain Opengraph / Social Media Vorschau, Abstimmung und Dokumentation (23.09., BKO)</t>
  </si>
  <si>
    <t>4. Google Ads</t>
  </si>
  <si>
    <t>Google Ads (Monitoring Juli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(01.-31.07., JST, TKI)</t>
  </si>
  <si>
    <t>Google Ads (Monitoring August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(01.-31.08., JST, TKI)</t>
  </si>
  <si>
    <t>Google Ads (Monitoring September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(01.-30.09., JST, TKI)</t>
  </si>
  <si>
    <t>5. Beratung &amp; Sonstiges</t>
  </si>
  <si>
    <t>Kurze Vorbereitung und virtuelle Abstimmung zur aktuellen Zusammenarbeit, Maßnahmenplanung und Erläuterung der verschiedenen Aufgabenfelder, Klären von div. Fragen 12-16 Uhr (anteilig), anschließend Dokumentation und interne Abstimmung für die nächsten Maßnahmen (11.08., TKI)</t>
  </si>
  <si>
    <r>
      <rPr>
        <sz val="10"/>
        <color theme="1"/>
        <rFont val="Arial"/>
        <family val="2"/>
      </rPr>
      <t>Team-Brainstorming zur Optimierung der Website im Rahmen eines Weeklys, individuelle Recherche und Sammeln von Ideen, Ableiten von sinnvollen Aufgaben, Abstimmung und Dokumentation (26.08., DKI, RBO, BKO, TKI) //</t>
    </r>
    <r>
      <rPr>
        <sz val="10"/>
        <color rgb="FFFF0000"/>
        <rFont val="Arial"/>
        <family val="2"/>
      </rPr>
      <t xml:space="preserve"> ca. 3 Std. (kumuliert) ohne Berechnung</t>
    </r>
  </si>
  <si>
    <t>Bewertungen / ProvenExpert auf Website nutzen: Erste Recherche, Abstimmung und Infos zur Paketbuchung (14.-16.09., DKI, TKI)</t>
  </si>
  <si>
    <t>Bewertungen / ProvenExpert auf Website nutzen: Weitere Einrichtung und Integration auf der Website, Vorbereitung für Ausgabe in den Serps, Abstimmung und Dokumentation (17.09.-02.10., DKI, BKO, TKI)</t>
  </si>
  <si>
    <t>Organisation, Planung, Überwachung und Steuerung der Aufgaben und Ressourcen (pro Tagessatz ca. 0,5 Std., TKI)</t>
  </si>
  <si>
    <t>Aufwand ca. insgesamt in Std.</t>
  </si>
  <si>
    <t>Aufwand in Tagessätzen</t>
  </si>
  <si>
    <t>5 Tagessätze</t>
  </si>
  <si>
    <t>Noch Rückfragen? Kontakt zur Thoxan Communications GmbH unter https://www.thoxan.com/kontakt</t>
  </si>
  <si>
    <r>
      <t xml:space="preserve">Kurze Vorbereitung, Virtueller Austausch wegen Hosting-Paketen, Ideen zur Vermarktung, Vimeo-Vergleich, Ideenentwicklung, etc. (30.09., BKO) </t>
    </r>
    <r>
      <rPr>
        <sz val="10"/>
        <color rgb="FFFF0000"/>
        <rFont val="Arial"/>
        <family val="2"/>
      </rPr>
      <t>ca. 0,5 Std. o. Berechnung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</si>
</sst>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sz val="10"/>
      <color rgb="FF000000"/>
      <name val="Arial"/>
      <family val="2"/>
    </font>
    <font>
      <b/>
      <sz val="10"/>
      <color theme="1"/>
      <name val="Arial"/>
      <family val="2"/>
    </font>
    <font>
      <sz val="10"/>
      <color theme="1"/>
      <name val="Calibri"/>
      <family val="2"/>
    </font>
    <font>
      <sz val="10"/>
      <color rgb="FFFF0000"/>
      <name val="Arial"/>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7" fillId="0" borderId="0" xfId="0" applyFont="1"/>
    <xf numFmtId="0" fontId="7" fillId="0" borderId="1" xfId="0" applyFont="1" applyBorder="1"/>
    <xf numFmtId="0" fontId="7" fillId="2" borderId="1" xfId="0" applyFont="1" applyFill="1" applyBorder="1" applyAlignment="1">
      <alignment horizontal="center" vertical="center"/>
    </xf>
    <xf numFmtId="0" fontId="5" fillId="0" borderId="0" xfId="0" applyFont="1"/>
    <xf numFmtId="0" fontId="8" fillId="0" borderId="0" xfId="0" applyFont="1"/>
    <xf numFmtId="0" fontId="7"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7" fillId="0" borderId="3" xfId="0" applyFont="1" applyBorder="1"/>
    <xf numFmtId="0" fontId="5" fillId="0" borderId="3" xfId="0" applyFont="1" applyBorder="1" applyAlignment="1">
      <alignment vertical="top" wrapText="1"/>
    </xf>
    <xf numFmtId="0" fontId="5" fillId="0" borderId="4" xfId="0" applyFont="1" applyBorder="1" applyAlignment="1">
      <alignment vertical="top" wrapText="1"/>
    </xf>
    <xf numFmtId="0" fontId="5" fillId="0" borderId="5" xfId="0" applyFont="1" applyBorder="1" applyAlignment="1">
      <alignment horizontal="center" vertical="center"/>
    </xf>
    <xf numFmtId="0" fontId="5" fillId="0" borderId="1" xfId="0" applyFont="1" applyBorder="1" applyAlignment="1">
      <alignment vertical="top" wrapText="1"/>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vertical="top" wrapText="1"/>
    </xf>
    <xf numFmtId="0" fontId="5" fillId="0" borderId="3" xfId="0" applyFont="1" applyBorder="1" applyAlignment="1">
      <alignment horizontal="center" vertical="center"/>
    </xf>
    <xf numFmtId="0" fontId="7" fillId="0" borderId="3" xfId="0" applyFont="1" applyBorder="1" applyAlignment="1">
      <alignment wrapText="1"/>
    </xf>
    <xf numFmtId="0" fontId="9" fillId="0" borderId="1" xfId="0" applyFont="1" applyBorder="1" applyAlignment="1">
      <alignment vertical="top" wrapText="1"/>
    </xf>
    <xf numFmtId="0" fontId="5" fillId="0" borderId="3" xfId="0" applyFont="1" applyBorder="1" applyAlignment="1">
      <alignment vertical="center"/>
    </xf>
    <xf numFmtId="0" fontId="5" fillId="2" borderId="6" xfId="0" applyFont="1" applyFill="1" applyBorder="1" applyAlignment="1">
      <alignment vertical="center"/>
    </xf>
    <xf numFmtId="0" fontId="7" fillId="2" borderId="6" xfId="0" applyFont="1" applyFill="1" applyBorder="1" applyAlignment="1">
      <alignment horizontal="center" vertical="center"/>
    </xf>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video-stream-hosting.com/"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7FCE-7FFA-F24F-908F-80928E42CEBF}">
  <dimension ref="A1:B1006"/>
  <sheetViews>
    <sheetView tabSelected="1" zoomScale="170" zoomScaleNormal="170" workbookViewId="0">
      <pane ySplit="4" topLeftCell="A39" activePane="bottomLeft" state="frozen"/>
      <selection pane="bottomLeft" activeCell="D46" sqref="D46"/>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18"/>
    </row>
    <row r="10" spans="1:2" s="11" customFormat="1" ht="69" customHeight="1" x14ac:dyDescent="0.2">
      <c r="A10" s="21" t="s">
        <v>8</v>
      </c>
      <c r="B10" s="22">
        <v>3.25</v>
      </c>
    </row>
    <row r="11" spans="1:2" s="11" customFormat="1" ht="69" customHeight="1" x14ac:dyDescent="0.2">
      <c r="A11" s="21" t="s">
        <v>9</v>
      </c>
      <c r="B11" s="22">
        <v>1.75</v>
      </c>
    </row>
    <row r="12" spans="1:2" s="11" customFormat="1" ht="42" x14ac:dyDescent="0.2">
      <c r="A12" s="23" t="s">
        <v>10</v>
      </c>
      <c r="B12" s="18">
        <v>0.25</v>
      </c>
    </row>
    <row r="13" spans="1:2" s="11" customFormat="1" ht="84" x14ac:dyDescent="0.2">
      <c r="A13" s="23" t="s">
        <v>11</v>
      </c>
      <c r="B13" s="14">
        <v>2.5</v>
      </c>
    </row>
    <row r="14" spans="1:2" s="11" customFormat="1" ht="42" x14ac:dyDescent="0.2">
      <c r="A14" s="21" t="s">
        <v>12</v>
      </c>
      <c r="B14" s="14">
        <v>0</v>
      </c>
    </row>
    <row r="15" spans="1:2" s="11" customFormat="1" ht="67" customHeight="1" x14ac:dyDescent="0.2">
      <c r="A15" s="23" t="s">
        <v>13</v>
      </c>
      <c r="B15" s="14">
        <v>3</v>
      </c>
    </row>
    <row r="16" spans="1:2" s="11" customFormat="1" ht="67" customHeight="1" x14ac:dyDescent="0.2">
      <c r="A16" s="23" t="s">
        <v>14</v>
      </c>
      <c r="B16" s="14">
        <v>0.75</v>
      </c>
    </row>
    <row r="17" spans="1:2" s="11" customFormat="1" ht="42" x14ac:dyDescent="0.2">
      <c r="A17" s="23" t="s">
        <v>15</v>
      </c>
      <c r="B17" s="14">
        <v>0.25</v>
      </c>
    </row>
    <row r="18" spans="1:2" s="11" customFormat="1" ht="84" x14ac:dyDescent="0.2">
      <c r="A18" s="23" t="s">
        <v>16</v>
      </c>
      <c r="B18" s="14">
        <v>2</v>
      </c>
    </row>
    <row r="19" spans="1:2" s="11" customFormat="1" ht="69" customHeight="1" x14ac:dyDescent="0.2">
      <c r="A19" s="21" t="s">
        <v>17</v>
      </c>
      <c r="B19" s="14">
        <v>3.5</v>
      </c>
    </row>
    <row r="20" spans="1:2" s="11" customFormat="1" ht="42" x14ac:dyDescent="0.2">
      <c r="A20" s="23" t="s">
        <v>18</v>
      </c>
      <c r="B20" s="18">
        <v>0.25</v>
      </c>
    </row>
    <row r="21" spans="1:2" s="11" customFormat="1" ht="67" customHeight="1" x14ac:dyDescent="0.2">
      <c r="A21" s="23" t="s">
        <v>19</v>
      </c>
      <c r="B21" s="14">
        <v>0.5</v>
      </c>
    </row>
    <row r="22" spans="1:2" s="11" customFormat="1" ht="42" x14ac:dyDescent="0.2">
      <c r="A22" s="20" t="s">
        <v>20</v>
      </c>
      <c r="B22" s="14">
        <v>0.75</v>
      </c>
    </row>
    <row r="23" spans="1:2" s="11" customFormat="1" ht="28" x14ac:dyDescent="0.2">
      <c r="A23" s="23" t="s">
        <v>21</v>
      </c>
      <c r="B23" s="14">
        <v>3</v>
      </c>
    </row>
    <row r="24" spans="1:2" s="11" customFormat="1" ht="42" x14ac:dyDescent="0.2">
      <c r="A24" s="13" t="s">
        <v>22</v>
      </c>
      <c r="B24" s="14">
        <v>0.5</v>
      </c>
    </row>
    <row r="25" spans="1:2" s="11" customFormat="1" ht="15.75" customHeight="1" x14ac:dyDescent="0.2">
      <c r="A25" s="24" t="s">
        <v>4</v>
      </c>
      <c r="B25" s="25">
        <f>SUM(B10:B24)</f>
        <v>22.25</v>
      </c>
    </row>
    <row r="26" spans="1:2" s="11" customFormat="1" ht="15.75" customHeight="1" x14ac:dyDescent="0.2">
      <c r="A26" s="26"/>
      <c r="B26" s="14"/>
    </row>
    <row r="27" spans="1:2" s="10" customFormat="1" ht="15.75" customHeight="1" x14ac:dyDescent="0.15">
      <c r="A27" s="8" t="s">
        <v>23</v>
      </c>
      <c r="B27" s="14"/>
    </row>
    <row r="28" spans="1:2" s="11" customFormat="1" ht="14" x14ac:dyDescent="0.2">
      <c r="A28" s="13" t="s">
        <v>24</v>
      </c>
      <c r="B28" s="14">
        <v>0.25</v>
      </c>
    </row>
    <row r="29" spans="1:2" s="11" customFormat="1" ht="70" x14ac:dyDescent="0.2">
      <c r="A29" s="13" t="s">
        <v>25</v>
      </c>
      <c r="B29" s="14">
        <v>1.5</v>
      </c>
    </row>
    <row r="30" spans="1:2" s="11" customFormat="1" ht="98" x14ac:dyDescent="0.2">
      <c r="A30" s="13" t="s">
        <v>26</v>
      </c>
      <c r="B30" s="14">
        <v>1.25</v>
      </c>
    </row>
    <row r="31" spans="1:2" s="11" customFormat="1" ht="56" x14ac:dyDescent="0.2">
      <c r="A31" s="13" t="s">
        <v>27</v>
      </c>
      <c r="B31" s="14">
        <v>2.25</v>
      </c>
    </row>
    <row r="32" spans="1:2" s="11" customFormat="1" ht="70" x14ac:dyDescent="0.2">
      <c r="A32" s="13" t="s">
        <v>28</v>
      </c>
      <c r="B32" s="14">
        <v>2</v>
      </c>
    </row>
    <row r="33" spans="1:2" s="11" customFormat="1" ht="28" x14ac:dyDescent="0.2">
      <c r="A33" s="13" t="s">
        <v>29</v>
      </c>
      <c r="B33" s="14">
        <v>0.5</v>
      </c>
    </row>
    <row r="34" spans="1:2" s="11" customFormat="1" ht="42" x14ac:dyDescent="0.2">
      <c r="A34" s="13" t="s">
        <v>44</v>
      </c>
      <c r="B34" s="14">
        <v>0</v>
      </c>
    </row>
    <row r="35" spans="1:2" s="11" customFormat="1" ht="15.75" customHeight="1" x14ac:dyDescent="0.2">
      <c r="A35" s="24" t="s">
        <v>4</v>
      </c>
      <c r="B35" s="25">
        <f>SUM(B27:B34)</f>
        <v>7.75</v>
      </c>
    </row>
    <row r="36" spans="1:2" s="11" customFormat="1" ht="15.75" customHeight="1" x14ac:dyDescent="0.2">
      <c r="A36" s="26"/>
      <c r="B36" s="14"/>
    </row>
    <row r="37" spans="1:2" s="11" customFormat="1" ht="15.75" customHeight="1" x14ac:dyDescent="0.2">
      <c r="A37" s="8" t="s">
        <v>30</v>
      </c>
      <c r="B37" s="14"/>
    </row>
    <row r="38" spans="1:2" s="11" customFormat="1" ht="112" x14ac:dyDescent="0.2">
      <c r="A38" s="27" t="s">
        <v>31</v>
      </c>
      <c r="B38" s="14">
        <v>1.25</v>
      </c>
    </row>
    <row r="39" spans="1:2" s="11" customFormat="1" ht="112" x14ac:dyDescent="0.2">
      <c r="A39" s="27" t="s">
        <v>32</v>
      </c>
      <c r="B39" s="14">
        <v>1</v>
      </c>
    </row>
    <row r="40" spans="1:2" s="11" customFormat="1" ht="112" x14ac:dyDescent="0.2">
      <c r="A40" s="27" t="s">
        <v>33</v>
      </c>
      <c r="B40" s="14">
        <v>1</v>
      </c>
    </row>
    <row r="41" spans="1:2" s="11" customFormat="1" ht="15.75" customHeight="1" x14ac:dyDescent="0.2">
      <c r="A41" s="15" t="s">
        <v>4</v>
      </c>
      <c r="B41" s="16">
        <f>SUM(B38:B40)</f>
        <v>3.25</v>
      </c>
    </row>
    <row r="42" spans="1:2" s="11" customFormat="1" ht="15.75" customHeight="1" x14ac:dyDescent="0.2">
      <c r="A42" s="29"/>
      <c r="B42" s="18"/>
    </row>
    <row r="43" spans="1:2" s="11" customFormat="1" ht="14" customHeight="1" x14ac:dyDescent="0.2">
      <c r="A43" s="19" t="s">
        <v>34</v>
      </c>
      <c r="B43" s="18"/>
    </row>
    <row r="44" spans="1:2" s="11" customFormat="1" ht="70" x14ac:dyDescent="0.2">
      <c r="A44" s="20" t="s">
        <v>35</v>
      </c>
      <c r="B44" s="28">
        <v>1</v>
      </c>
    </row>
    <row r="45" spans="1:2" s="11" customFormat="1" ht="56" x14ac:dyDescent="0.2">
      <c r="A45" s="30" t="s">
        <v>36</v>
      </c>
      <c r="B45" s="14">
        <v>0</v>
      </c>
    </row>
    <row r="46" spans="1:2" s="11" customFormat="1" ht="28" x14ac:dyDescent="0.2">
      <c r="A46" s="23" t="s">
        <v>37</v>
      </c>
      <c r="B46" s="14">
        <v>0.5</v>
      </c>
    </row>
    <row r="47" spans="1:2" s="10" customFormat="1" ht="42" x14ac:dyDescent="0.15">
      <c r="A47" s="20" t="s">
        <v>38</v>
      </c>
      <c r="B47" s="14">
        <v>4</v>
      </c>
    </row>
    <row r="48" spans="1:2" s="11" customFormat="1" ht="28" x14ac:dyDescent="0.2">
      <c r="A48" s="20" t="s">
        <v>39</v>
      </c>
      <c r="B48" s="18">
        <v>2.5</v>
      </c>
    </row>
    <row r="49" spans="1:2" s="11" customFormat="1" ht="15.75" customHeight="1" x14ac:dyDescent="0.2">
      <c r="A49" s="15" t="s">
        <v>4</v>
      </c>
      <c r="B49" s="16">
        <f>SUM(B44:B48)</f>
        <v>8</v>
      </c>
    </row>
    <row r="50" spans="1:2" s="11" customFormat="1" ht="15.75" customHeight="1" x14ac:dyDescent="0.2">
      <c r="A50" s="31"/>
      <c r="B50" s="18"/>
    </row>
    <row r="51" spans="1:2" s="11" customFormat="1" ht="16.5" customHeight="1" thickBot="1" x14ac:dyDescent="0.25">
      <c r="A51" s="32" t="s">
        <v>40</v>
      </c>
      <c r="B51" s="33">
        <f>SUM(B7+B25+B35+B41+B49)</f>
        <v>41.25</v>
      </c>
    </row>
    <row r="52" spans="1:2" s="11" customFormat="1" ht="16.5" customHeight="1" thickBot="1" x14ac:dyDescent="0.25">
      <c r="A52" s="32" t="s">
        <v>41</v>
      </c>
      <c r="B52" s="33" t="s">
        <v>42</v>
      </c>
    </row>
    <row r="53" spans="1:2" ht="15.75" customHeight="1" x14ac:dyDescent="0.2">
      <c r="A53" s="10"/>
      <c r="B53" s="10"/>
    </row>
    <row r="54" spans="1:2" ht="15.75" customHeight="1" x14ac:dyDescent="0.2">
      <c r="A54" s="34" t="s">
        <v>43</v>
      </c>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sheetData>
  <hyperlinks>
    <hyperlink ref="A54" r:id="rId1" display="https://www.thoxan.com/kontakt/" xr:uid="{06532DEA-A1B7-054F-9228-4E862141C38F}"/>
    <hyperlink ref="A2" r:id="rId2" xr:uid="{6611724B-3882-A748-977B-4CAAC8FFB2D8}"/>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VID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2025-10-03T11:07:14Z</dcterms:created>
  <dcterms:modified xsi:type="dcterms:W3CDTF">2025-10-03T11:09:23Z</dcterms:modified>
</cp:coreProperties>
</file>