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9/"/>
    </mc:Choice>
  </mc:AlternateContent>
  <xr:revisionPtr revIDLastSave="0" documentId="8_{72705F3F-2819-8749-898E-FE95EFBB624C}" xr6:coauthVersionLast="47" xr6:coauthVersionMax="47" xr10:uidLastSave="{00000000-0000-0000-0000-000000000000}"/>
  <bookViews>
    <workbookView xWindow="8720" yWindow="500" windowWidth="36640" windowHeight="25780" xr2:uid="{0B26DE01-360C-6A46-ADB3-2200AF06D24C}"/>
  </bookViews>
  <sheets>
    <sheet name="PH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/>
  <c r="B43" i="1"/>
  <c r="B38" i="1"/>
  <c r="B32" i="1"/>
  <c r="B13" i="1"/>
  <c r="B49" i="1" l="1"/>
</calcChain>
</file>

<file path=xl/sharedStrings.xml><?xml version="1.0" encoding="utf-8"?>
<sst xmlns="http://schemas.openxmlformats.org/spreadsheetml/2006/main" count="47" uniqueCount="42">
  <si>
    <t>Pflegedienst Hessen Süd Janssen GmbH</t>
  </si>
  <si>
    <t>3. Quartal 2025</t>
  </si>
  <si>
    <t>www.pflegedienst-hessen-sued.de</t>
  </si>
  <si>
    <t>Monatliche Optimierung</t>
  </si>
  <si>
    <t>Aufwand ca. in Std.</t>
  </si>
  <si>
    <t>1. Linkaufbau, Linkabbau, Online-PR</t>
  </si>
  <si>
    <t>Linkquellen-Recherche (Gastartikel): Thematisch passende Linkquellen zur Veröffentlichung von Gastbeiträgen recherchiert, nach Duplikatskontrolle anhand kurzer Sichtprüfung und SEO-Kennzahlen dokumentiert, Aussortieren unpassender Websites, erste Kontaktdaten ermittelt (01.-09.07., TKI)</t>
  </si>
  <si>
    <t>Linkakquise (Gastartikel): Kontaktaufnahme mit Seitenbetreibern aus der Linkquellen-Recherche sowie innerhalb des eigenen Netzwerks per E-Mail / Social Media / Telefon, Dokumentation der Preise und Konditionen, Auswahl und Zusammenstellen sinnvoller Linkoptionen zur Freigabe, Abstimmung (08.-16.07., TKI)</t>
  </si>
  <si>
    <t>Textarbeiten Gastartikel: Briefing und Recherche, Texterstellung für Gastbeitrag auf ratgebergesund.de, Lektorat, Abstimmung und Vorbereitung zur Veröffentlichung (27.08., EXT, TKI)</t>
  </si>
  <si>
    <t>Linkaufbau-Organisation und Abstimmung mit den Seitenbetreibern zur Veröffentlichung der vorbereiteten Gastartikel, Prüfung der Link-Integration, Abrechnung der Linkaufbau-Auslagen, Abstimmung und Dokumentation (12.08.-XX.09., TKI)</t>
  </si>
  <si>
    <t>https://www.therapeutenfinder.com/news/101801-wenn-pflege-zur-familiensache-wird.html</t>
  </si>
  <si>
    <t>(Aus Juni 2025)</t>
  </si>
  <si>
    <t>https://www.ratgebergesund.de/pflege-von-angehoerigen-verbindet-und-belastet/</t>
  </si>
  <si>
    <t>Link-Monitoring: Neue Verlinkungen aus Link-Tools der letzten 30 Tage kurz gesichtet, überprüft und bewertet (monatliches Monitoring, TKI)</t>
  </si>
  <si>
    <t>2. Redaktionelle Arbeiten &amp; Website-Pflege</t>
  </si>
  <si>
    <t>Einpflegen der optimierten Unterseite "Examinierte Pflegefachkraft" nach Freigabe: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(18.08.-02.10., MGO, RBO)</t>
  </si>
  <si>
    <t>Einpflegen der optimierten Unterseite "Examinierte Alttenpfleger" nach Freigabe: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(25.-28.08., MGO, RBO)</t>
  </si>
  <si>
    <t>Einpflegen der optimierten Unterseite "Pflegefachmann / Pflegefachfrau" nach Freigabe: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(14.-20.08., MGO, RBO)</t>
  </si>
  <si>
    <t>Textarbeiten Unterseite Altenpflegehelfer und Pflegehelfer: Abstimmung, Briefing und inhaltliche Konzeption, Recherche und Zusammentragen der Informationen, Texterstellung, Keyword-Optimierung nach WDF*IDF, Ergänzungen und kl. Anpassungen, Lektorat und finale Bearbeitung, Versand an Kunden und Dokumentation (02.07., GBO)</t>
  </si>
  <si>
    <t>Textoptimierung Unterseite "Altenpflegehelfer": Abstimmung, Recherche und Textoptimierung für bestehende Unterseite, Überarbeitung des Bestandstexts und Texterweiterung, Keyword-Optimierung nach WDF*IDF, Ergänzungen und kl. Anpassungen, Lektorat und finale Bearbeitung, Versand an Kunden und Dokumentation (21.07., GBO)</t>
  </si>
  <si>
    <t>Textoptimierung Unterseite "Pflegehelfer": Abstimmung, Recherche und Textoptimierung für bestehende Unterseite, Überarbeitung des Bestandstexts und Texterweiterung, Keyword-Optimierung nach WDF*IDF, Ergänzungen und kl. Anpassungen, Lektorat und finale Bearbeitung, Versand an Kunden und Dokumentation (22.07., GBO)</t>
  </si>
  <si>
    <t>Einpflegen der optimierten Unterseiten "Altenpflegehelfer" und "Pflegehelfer" nach Freigabe: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(25.08., MGO, RBO)</t>
  </si>
  <si>
    <t>Textoptimierung Unterseite "Hausnotruf"  (Blogartikel wird gelöscht): Abstimmung, Recherche und Textoptimierung für bestehende Unterseite, Überarbeitung des Bestandstexts und Texterweiterung, Keyword-Optimierung, Ergänzungen und kl. Anpassungen, Lektorat und finale Bearbeitung, Versand an Kunden und Dokumentation (20.08., GBO)</t>
  </si>
  <si>
    <t>Einpflegen der geänderten Unterseite "Hausnotruf" nach Freigabe + löschen des Blogbeitrags: Interne Abstimmung und Einpflegen des neuen Textes inkl. Optimierung der Darstellung im Block-Editor, finale Prüfung, senden an Kunde, Dokumentation (26.-30.09., MGO, GBO)</t>
  </si>
  <si>
    <t>Spitzenstellungsrisiken der Formulierungen geprüft per WordPress (Interne Suche) und Inhalte angepasst (22.08.-01.-09., GBO)</t>
  </si>
  <si>
    <t>Textoptimierung Blogartikel "Urlaub Pflegebedürftige": Abstimmung, Recherche und Textoptimierung für bestehende Unterseite, Überarbeitung des Bestandstexts und Texterweiterung, Keyword-Optimierung, Ergänzungen und kl. Anpassungen, Lektorat und finale Bearbeitung, Versand an Kunden und Dokumentation (05.09., GBO)</t>
  </si>
  <si>
    <t>Einpflegen des geänderten Blogbeitrags "Urlaub Pflegebedürftige" nach Freigabe: Interne Abstimmung und Einpflegen des neuen Textes inkl. Optimierung der Darstellung im Block-Editor, finale Prüfung, senden an Kunde, Dokumentation (30.09., MGO, RBO)</t>
  </si>
  <si>
    <t>Textoptimierung Blogartikel "Mehrgenerationenwohnen": Abstimmung, Recherche und Textoptimierung für bestehende Unterseite, Überarbeitung des Bestandstexts und Texterweiterung, Keyword-Optimierung, Ergänzungen und kl. Anpassungen, Lektorat und finale Bearbeitung, Versand an Kunden und Dokumentation (06.09., GBO)</t>
  </si>
  <si>
    <t>Einpflegen des geänderten Blogbeitrags "Mehrgenerationenwohnen" nach Freigabe: Interne Abstimmung und Einpflegen des neuen Textes inkl. Optimierung der Darstellung im Block-Editor, finale Prüfung, senden an Kunde, Dokumentation (30.09., MGO, RBO)</t>
  </si>
  <si>
    <t>Recherche, Austausch von Fotos einer gekündigten Mitarbeiterin, Zusammenstellen der Fotos in der Mediathek, Suche nach passenden Alternativen im Shooting-Ordner, Bildbearbeitung für passende Ausschnitte in den bestehenden Größen-Verhältnissen, Austausch der Fotos in der Mediathek, kurze Prüfung auf allen Unterseiten und im Bildquellen-Verzeichnis, Prüfung Google Bildersuche, kl. Anpassungen, Abstimmung und Dokumentation (24.-25.09., TKI)</t>
  </si>
  <si>
    <t>3. Technische Arbeiten, Programmierung</t>
  </si>
  <si>
    <t>Umsetzung des neuen Farbkonzepts entsprechend der Anforderungen der Barrierefreiheit im WordPress-Template, CSS-Anpassungen, Template-Programmierung, Abstimmung und Dokumentation (01.-03.09., BKO, TKI)</t>
  </si>
  <si>
    <t>Website / E-Mail Versand (Anpassungen Formulare-Mailabsender), Telefonat all4net, div. Abstimmung und Dokumentation (16.-26.09., BKO)</t>
  </si>
  <si>
    <t>5. Google Ads, Social Ads, Monitoring</t>
  </si>
  <si>
    <t>Google Ads-Monitoring (3. Quartal): Monatliches Monitoring der Kampagnen, kl. Anpassungen, fortlaufendes Ausschließen und Ergänzen von Keywords, Auswertung am Monats- bzw. Quartalsende (01.07.-30.09., JST, TKI)</t>
  </si>
  <si>
    <t>Social Ads-Monitoring (3. Quartal): Monatliches Monitoring der Werbe-kampagnen bei Facebook und Instagram, Anpassen der Werbeanzeigen, Verfeinern der Zielgruppe, kl. Arbeiten am Werbekonto, Abstimmung und Dokumentation (01.07.-30.09., JST, TKI)</t>
  </si>
  <si>
    <t>6. Abstimmung, Beratung, Projektmanagement &amp; Sonstiges</t>
  </si>
  <si>
    <t>Organisation, Planung, Überwachung und Steuerung der Aufgaben und Ressourcen (monatlich, TKI)</t>
  </si>
  <si>
    <t>Aufwand ca. insgesamt in Std.</t>
  </si>
  <si>
    <t>Aufwand in Tagessätzen</t>
  </si>
  <si>
    <t>6 TS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</si>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</sst>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u/>
      <sz val="12"/>
      <color theme="10"/>
      <name val="Calibri"/>
      <family val="2"/>
    </font>
    <font>
      <sz val="10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4EE257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5" fillId="0" borderId="1" xfId="0" applyFont="1" applyBorder="1"/>
    <xf numFmtId="0" fontId="4" fillId="0" borderId="1" xfId="0" applyFont="1" applyBorder="1"/>
    <xf numFmtId="0" fontId="6" fillId="0" borderId="2" xfId="0" applyFont="1" applyBorder="1"/>
    <xf numFmtId="0" fontId="6" fillId="2" borderId="2" xfId="0" applyFont="1" applyFill="1" applyBorder="1" applyAlignment="1">
      <alignment horizontal="center" vertical="center"/>
    </xf>
    <xf numFmtId="0" fontId="4" fillId="0" borderId="0" xfId="0" applyFont="1"/>
    <xf numFmtId="0" fontId="6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center"/>
    </xf>
    <xf numFmtId="0" fontId="5" fillId="0" borderId="3" xfId="1" applyFont="1" applyFill="1" applyBorder="1" applyAlignment="1">
      <alignment vertical="top" wrapText="1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4" xfId="0" applyFont="1" applyBorder="1"/>
    <xf numFmtId="0" fontId="6" fillId="0" borderId="3" xfId="0" applyFont="1" applyBorder="1"/>
    <xf numFmtId="0" fontId="4" fillId="0" borderId="8" xfId="0" applyFont="1" applyBorder="1" applyAlignment="1">
      <alignment horizontal="center" vertical="center"/>
    </xf>
    <xf numFmtId="0" fontId="4" fillId="0" borderId="3" xfId="0" applyFont="1" applyBorder="1" applyAlignment="1" applyProtection="1">
      <alignment vertical="top" wrapText="1"/>
      <protection locked="0"/>
    </xf>
    <xf numFmtId="0" fontId="4" fillId="0" borderId="9" xfId="0" applyFont="1" applyBorder="1" applyAlignment="1">
      <alignment vertical="top" wrapText="1"/>
    </xf>
    <xf numFmtId="0" fontId="4" fillId="2" borderId="6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6" fillId="0" borderId="7" xfId="0" applyFont="1" applyBorder="1"/>
    <xf numFmtId="0" fontId="4" fillId="0" borderId="3" xfId="0" quotePrefix="1" applyFont="1" applyBorder="1" applyAlignment="1">
      <alignment vertical="top" wrapText="1"/>
    </xf>
    <xf numFmtId="0" fontId="4" fillId="2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6" fillId="0" borderId="4" xfId="0" applyFont="1" applyBorder="1"/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erapeutenfinder.com/news/101801-wenn-pflege-zur-familiensache-wird.html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pflegedienst-hessen-sued.de/" TargetMode="External"/><Relationship Id="rId4" Type="http://schemas.openxmlformats.org/officeDocument/2006/relationships/hyperlink" Target="https://www.ratgebergesund.de/pflege-von-angehoerigen-verbindet-und-belast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D125-71A7-764B-8A64-DD2C30EEA4F3}">
  <dimension ref="A1:B994"/>
  <sheetViews>
    <sheetView tabSelected="1" zoomScale="150" zoomScaleNormal="150" workbookViewId="0">
      <pane ySplit="4" topLeftCell="A5" activePane="bottomLeft" state="frozen"/>
      <selection pane="bottomLeft" activeCell="E41" sqref="E41"/>
    </sheetView>
  </sheetViews>
  <sheetFormatPr baseColWidth="10" defaultColWidth="11.1640625" defaultRowHeight="15" customHeight="1" x14ac:dyDescent="0.2"/>
  <cols>
    <col min="1" max="1" width="57.5" style="3" customWidth="1"/>
    <col min="2" max="2" width="23" style="3" customWidth="1"/>
    <col min="3" max="16384" width="11.1640625" style="3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7"/>
    </row>
    <row r="4" spans="1:2" s="10" customFormat="1" ht="15.75" customHeight="1" x14ac:dyDescent="0.15">
      <c r="A4" s="8"/>
      <c r="B4" s="9" t="s">
        <v>4</v>
      </c>
    </row>
    <row r="5" spans="1:2" s="10" customFormat="1" ht="15.75" customHeight="1" x14ac:dyDescent="0.15">
      <c r="A5" s="8" t="s">
        <v>5</v>
      </c>
      <c r="B5" s="11"/>
    </row>
    <row r="6" spans="1:2" s="10" customFormat="1" ht="70" x14ac:dyDescent="0.15">
      <c r="A6" s="13" t="s">
        <v>6</v>
      </c>
      <c r="B6" s="14">
        <v>2</v>
      </c>
    </row>
    <row r="7" spans="1:2" s="10" customFormat="1" ht="70" x14ac:dyDescent="0.15">
      <c r="A7" s="15" t="s">
        <v>7</v>
      </c>
      <c r="B7" s="14">
        <v>4</v>
      </c>
    </row>
    <row r="8" spans="1:2" s="10" customFormat="1" ht="42" x14ac:dyDescent="0.15">
      <c r="A8" s="13" t="s">
        <v>8</v>
      </c>
      <c r="B8" s="14">
        <v>3</v>
      </c>
    </row>
    <row r="9" spans="1:2" s="10" customFormat="1" ht="56" x14ac:dyDescent="0.15">
      <c r="A9" s="15" t="s">
        <v>9</v>
      </c>
      <c r="B9" s="16">
        <v>1</v>
      </c>
    </row>
    <row r="10" spans="1:2" s="10" customFormat="1" ht="28" x14ac:dyDescent="0.15">
      <c r="A10" s="17" t="s">
        <v>10</v>
      </c>
      <c r="B10" s="12" t="s">
        <v>11</v>
      </c>
    </row>
    <row r="11" spans="1:2" s="10" customFormat="1" ht="28" x14ac:dyDescent="0.15">
      <c r="A11" s="17" t="s">
        <v>12</v>
      </c>
      <c r="B11" s="12"/>
    </row>
    <row r="12" spans="1:2" s="10" customFormat="1" ht="27.75" customHeight="1" x14ac:dyDescent="0.15">
      <c r="A12" s="19" t="s">
        <v>13</v>
      </c>
      <c r="B12" s="12">
        <v>0.75</v>
      </c>
    </row>
    <row r="13" spans="1:2" s="10" customFormat="1" ht="15.75" customHeight="1" x14ac:dyDescent="0.15">
      <c r="A13" s="20" t="s">
        <v>4</v>
      </c>
      <c r="B13" s="21">
        <f>SUM(B6:B12)</f>
        <v>10.75</v>
      </c>
    </row>
    <row r="14" spans="1:2" s="10" customFormat="1" ht="15.75" customHeight="1" x14ac:dyDescent="0.15">
      <c r="A14" s="22"/>
      <c r="B14" s="16"/>
    </row>
    <row r="15" spans="1:2" s="10" customFormat="1" ht="15.75" customHeight="1" x14ac:dyDescent="0.15">
      <c r="A15" s="23" t="s">
        <v>14</v>
      </c>
      <c r="B15" s="12"/>
    </row>
    <row r="16" spans="1:2" s="10" customFormat="1" ht="13" x14ac:dyDescent="0.15">
      <c r="A16" s="25"/>
      <c r="B16" s="12"/>
    </row>
    <row r="17" spans="1:2" s="10" customFormat="1" ht="98" x14ac:dyDescent="0.15">
      <c r="A17" s="25" t="s">
        <v>15</v>
      </c>
      <c r="B17" s="12">
        <v>1.75</v>
      </c>
    </row>
    <row r="18" spans="1:2" s="10" customFormat="1" ht="98" x14ac:dyDescent="0.15">
      <c r="A18" s="25" t="s">
        <v>16</v>
      </c>
      <c r="B18" s="12">
        <v>1.25</v>
      </c>
    </row>
    <row r="19" spans="1:2" s="10" customFormat="1" ht="98" x14ac:dyDescent="0.15">
      <c r="A19" s="25" t="s">
        <v>17</v>
      </c>
      <c r="B19" s="12">
        <v>1.5</v>
      </c>
    </row>
    <row r="20" spans="1:2" s="10" customFormat="1" ht="70" customHeight="1" x14ac:dyDescent="0.15">
      <c r="A20" s="25" t="s">
        <v>18</v>
      </c>
      <c r="B20" s="12">
        <v>0.5</v>
      </c>
    </row>
    <row r="21" spans="1:2" s="10" customFormat="1" ht="84" x14ac:dyDescent="0.15">
      <c r="A21" s="25" t="s">
        <v>19</v>
      </c>
      <c r="B21" s="12">
        <v>2.25</v>
      </c>
    </row>
    <row r="22" spans="1:2" s="10" customFormat="1" ht="70" x14ac:dyDescent="0.15">
      <c r="A22" s="25" t="s">
        <v>20</v>
      </c>
      <c r="B22" s="12">
        <v>2.25</v>
      </c>
    </row>
    <row r="23" spans="1:2" s="10" customFormat="1" ht="98" x14ac:dyDescent="0.15">
      <c r="A23" s="25" t="s">
        <v>21</v>
      </c>
      <c r="B23" s="12">
        <v>2.5</v>
      </c>
    </row>
    <row r="24" spans="1:2" s="10" customFormat="1" ht="65" customHeight="1" x14ac:dyDescent="0.15">
      <c r="A24" s="25" t="s">
        <v>22</v>
      </c>
      <c r="B24" s="12">
        <v>2.25</v>
      </c>
    </row>
    <row r="25" spans="1:2" s="10" customFormat="1" ht="56" x14ac:dyDescent="0.15">
      <c r="A25" s="19" t="s">
        <v>23</v>
      </c>
      <c r="B25" s="12">
        <v>1.5</v>
      </c>
    </row>
    <row r="26" spans="1:2" s="10" customFormat="1" ht="28" x14ac:dyDescent="0.15">
      <c r="A26" s="25" t="s">
        <v>24</v>
      </c>
      <c r="B26" s="12">
        <v>1.5</v>
      </c>
    </row>
    <row r="27" spans="1:2" s="10" customFormat="1" ht="65" customHeight="1" x14ac:dyDescent="0.15">
      <c r="A27" s="25" t="s">
        <v>25</v>
      </c>
      <c r="B27" s="12">
        <v>2</v>
      </c>
    </row>
    <row r="28" spans="1:2" s="10" customFormat="1" ht="56" x14ac:dyDescent="0.15">
      <c r="A28" s="19" t="s">
        <v>26</v>
      </c>
      <c r="B28" s="12">
        <v>1</v>
      </c>
    </row>
    <row r="29" spans="1:2" s="10" customFormat="1" ht="70" x14ac:dyDescent="0.15">
      <c r="A29" s="25" t="s">
        <v>27</v>
      </c>
      <c r="B29" s="12">
        <v>2</v>
      </c>
    </row>
    <row r="30" spans="1:2" s="10" customFormat="1" ht="56" x14ac:dyDescent="0.15">
      <c r="A30" s="19" t="s">
        <v>28</v>
      </c>
      <c r="B30" s="12">
        <v>1</v>
      </c>
    </row>
    <row r="31" spans="1:2" s="10" customFormat="1" ht="98" x14ac:dyDescent="0.15">
      <c r="A31" s="26" t="s">
        <v>29</v>
      </c>
      <c r="B31" s="12">
        <v>3</v>
      </c>
    </row>
    <row r="32" spans="1:2" s="10" customFormat="1" ht="15.75" customHeight="1" x14ac:dyDescent="0.15">
      <c r="A32" s="27" t="s">
        <v>4</v>
      </c>
      <c r="B32" s="28">
        <f>SUM(B16:B31)</f>
        <v>26.25</v>
      </c>
    </row>
    <row r="33" spans="1:2" s="10" customFormat="1" ht="15.75" customHeight="1" x14ac:dyDescent="0.15">
      <c r="A33" s="29"/>
      <c r="B33" s="12"/>
    </row>
    <row r="34" spans="1:2" s="10" customFormat="1" ht="15.75" customHeight="1" x14ac:dyDescent="0.15">
      <c r="A34" s="30" t="s">
        <v>30</v>
      </c>
      <c r="B34" s="24"/>
    </row>
    <row r="35" spans="1:2" s="10" customFormat="1" ht="13" x14ac:dyDescent="0.15">
      <c r="A35" s="31"/>
      <c r="B35" s="12"/>
    </row>
    <row r="36" spans="1:2" s="10" customFormat="1" ht="56" x14ac:dyDescent="0.15">
      <c r="A36" s="31" t="s">
        <v>31</v>
      </c>
      <c r="B36" s="12">
        <v>3.5</v>
      </c>
    </row>
    <row r="37" spans="1:2" s="10" customFormat="1" ht="42" x14ac:dyDescent="0.15">
      <c r="A37" s="31" t="s">
        <v>32</v>
      </c>
      <c r="B37" s="12">
        <v>1.5</v>
      </c>
    </row>
    <row r="38" spans="1:2" s="10" customFormat="1" ht="15.75" customHeight="1" x14ac:dyDescent="0.15">
      <c r="A38" s="32" t="s">
        <v>4</v>
      </c>
      <c r="B38" s="33">
        <f>SUM(B34:B37)</f>
        <v>5</v>
      </c>
    </row>
    <row r="39" spans="1:2" s="10" customFormat="1" ht="15.75" customHeight="1" x14ac:dyDescent="0.15">
      <c r="A39" s="34"/>
      <c r="B39" s="14"/>
    </row>
    <row r="40" spans="1:2" s="10" customFormat="1" ht="15.75" customHeight="1" x14ac:dyDescent="0.15">
      <c r="A40" s="35" t="s">
        <v>33</v>
      </c>
      <c r="B40" s="14"/>
    </row>
    <row r="41" spans="1:2" s="10" customFormat="1" ht="56" x14ac:dyDescent="0.15">
      <c r="A41" s="15" t="s">
        <v>34</v>
      </c>
      <c r="B41" s="16">
        <v>3</v>
      </c>
    </row>
    <row r="42" spans="1:2" s="10" customFormat="1" ht="60" customHeight="1" x14ac:dyDescent="0.15">
      <c r="A42" s="15" t="s">
        <v>35</v>
      </c>
      <c r="B42" s="14">
        <v>0.5</v>
      </c>
    </row>
    <row r="43" spans="1:2" s="10" customFormat="1" ht="15.75" customHeight="1" x14ac:dyDescent="0.15">
      <c r="A43" s="36" t="s">
        <v>4</v>
      </c>
      <c r="B43" s="37">
        <f>SUM(B41:B42)</f>
        <v>3.5</v>
      </c>
    </row>
    <row r="44" spans="1:2" s="10" customFormat="1" ht="15.75" customHeight="1" x14ac:dyDescent="0.15">
      <c r="A44" s="38"/>
      <c r="B44" s="14"/>
    </row>
    <row r="45" spans="1:2" s="10" customFormat="1" ht="15.75" customHeight="1" x14ac:dyDescent="0.15">
      <c r="A45" s="23" t="s">
        <v>36</v>
      </c>
      <c r="B45" s="12"/>
    </row>
    <row r="46" spans="1:2" s="10" customFormat="1" ht="28" x14ac:dyDescent="0.15">
      <c r="A46" s="19" t="s">
        <v>37</v>
      </c>
      <c r="B46" s="12">
        <v>3</v>
      </c>
    </row>
    <row r="47" spans="1:2" s="10" customFormat="1" ht="15.75" customHeight="1" x14ac:dyDescent="0.15">
      <c r="A47" s="39" t="s">
        <v>4</v>
      </c>
      <c r="B47" s="33">
        <f>SUM(B46:B46)</f>
        <v>3</v>
      </c>
    </row>
    <row r="48" spans="1:2" s="10" customFormat="1" ht="15.75" customHeight="1" x14ac:dyDescent="0.15">
      <c r="A48" s="40"/>
      <c r="B48" s="18"/>
    </row>
    <row r="49" spans="1:2" s="10" customFormat="1" ht="16.5" customHeight="1" thickBot="1" x14ac:dyDescent="0.2">
      <c r="A49" s="41" t="s">
        <v>38</v>
      </c>
      <c r="B49" s="42">
        <f>SUM(B47+B43+B38+B32+B13)</f>
        <v>48.5</v>
      </c>
    </row>
    <row r="50" spans="1:2" s="10" customFormat="1" ht="16.5" customHeight="1" thickBot="1" x14ac:dyDescent="0.2">
      <c r="A50" s="41" t="s">
        <v>39</v>
      </c>
      <c r="B50" s="42" t="s">
        <v>40</v>
      </c>
    </row>
    <row r="51" spans="1:2" ht="15.75" customHeight="1" x14ac:dyDescent="0.2">
      <c r="A51" s="10"/>
      <c r="B51" s="10"/>
    </row>
    <row r="52" spans="1:2" ht="15.75" customHeight="1" x14ac:dyDescent="0.2">
      <c r="A52" s="43" t="s">
        <v>41</v>
      </c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10"/>
      <c r="B108" s="10"/>
    </row>
    <row r="109" spans="1:2" ht="15.75" customHeight="1" x14ac:dyDescent="0.2">
      <c r="A109" s="10"/>
      <c r="B109" s="10"/>
    </row>
    <row r="110" spans="1:2" ht="15.75" customHeight="1" x14ac:dyDescent="0.2">
      <c r="A110" s="10"/>
      <c r="B110" s="10"/>
    </row>
    <row r="111" spans="1:2" ht="15.75" customHeight="1" x14ac:dyDescent="0.2">
      <c r="A111" s="10"/>
      <c r="B111" s="10"/>
    </row>
    <row r="112" spans="1:2" ht="15.75" customHeight="1" x14ac:dyDescent="0.2">
      <c r="A112" s="10"/>
      <c r="B112" s="10"/>
    </row>
    <row r="113" spans="1:2" ht="15.75" customHeight="1" x14ac:dyDescent="0.2">
      <c r="A113" s="10"/>
      <c r="B113" s="10"/>
    </row>
    <row r="114" spans="1:2" ht="15.75" customHeight="1" x14ac:dyDescent="0.2">
      <c r="A114" s="10"/>
      <c r="B114" s="10"/>
    </row>
    <row r="115" spans="1:2" ht="15.75" customHeight="1" x14ac:dyDescent="0.2">
      <c r="A115" s="10"/>
      <c r="B115" s="10"/>
    </row>
    <row r="116" spans="1:2" ht="15.75" customHeight="1" x14ac:dyDescent="0.2"/>
    <row r="117" spans="1:2" ht="15.75" customHeight="1" x14ac:dyDescent="0.2"/>
    <row r="118" spans="1:2" ht="15.75" customHeight="1" x14ac:dyDescent="0.2"/>
    <row r="119" spans="1:2" ht="15.75" customHeight="1" x14ac:dyDescent="0.2"/>
    <row r="120" spans="1:2" ht="15.75" customHeight="1" x14ac:dyDescent="0.2"/>
    <row r="121" spans="1:2" ht="15.75" customHeight="1" x14ac:dyDescent="0.2"/>
    <row r="122" spans="1:2" ht="15.75" customHeight="1" x14ac:dyDescent="0.2"/>
    <row r="123" spans="1:2" ht="15.75" customHeight="1" x14ac:dyDescent="0.2"/>
    <row r="124" spans="1:2" ht="15.75" customHeight="1" x14ac:dyDescent="0.2"/>
    <row r="125" spans="1:2" ht="15.75" customHeight="1" x14ac:dyDescent="0.2"/>
    <row r="126" spans="1:2" ht="15.75" customHeight="1" x14ac:dyDescent="0.2"/>
    <row r="127" spans="1:2" ht="15.75" customHeight="1" x14ac:dyDescent="0.2"/>
    <row r="128" spans="1:2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hyperlinks>
    <hyperlink ref="A2" r:id="rId1" xr:uid="{D7B96ACC-3995-DE4F-B397-74F95C94E4EA}"/>
    <hyperlink ref="A52" r:id="rId2" display="https://www.thoxan.com/kontakt/" xr:uid="{0008C975-25E8-C94E-8850-4BC7DFBDBD64}"/>
    <hyperlink ref="A10" r:id="rId3" xr:uid="{6C500640-0EF0-5F42-BCDB-95B7463166C9}"/>
    <hyperlink ref="A11" r:id="rId4" xr:uid="{BB9FBD9E-A8EF-854D-992C-A6FF3E8FC99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2025-10-03T10:19:31Z</dcterms:created>
  <dcterms:modified xsi:type="dcterms:W3CDTF">2025-10-03T10:20:47Z</dcterms:modified>
</cp:coreProperties>
</file>