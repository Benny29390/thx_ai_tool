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F5A5E6D9-A83D-9C47-88B6-E0A1DD5642FA}" xr6:coauthVersionLast="47" xr6:coauthVersionMax="47" xr10:uidLastSave="{00000000-0000-0000-0000-000000000000}"/>
  <bookViews>
    <workbookView xWindow="7260" yWindow="1240" windowWidth="37780" windowHeight="24440" xr2:uid="{4C1CF5C6-D784-2E4A-8A1A-8ED3920388B6}"/>
  </bookViews>
  <sheets>
    <sheet name="S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33" i="1"/>
  <c r="B28" i="1"/>
  <c r="B24" i="1"/>
  <c r="B16" i="1"/>
  <c r="B10" i="1"/>
  <c r="B44" i="1" l="1"/>
</calcChain>
</file>

<file path=xl/sharedStrings.xml><?xml version="1.0" encoding="utf-8"?>
<sst xmlns="http://schemas.openxmlformats.org/spreadsheetml/2006/main" count="42" uniqueCount="36">
  <si>
    <t>spe group  GmbH / IT-Schutzengel</t>
  </si>
  <si>
    <t>3. Quartal 2025</t>
  </si>
  <si>
    <t>https://www.it-schutzengel.de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</si>
  <si>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</si>
  <si>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</si>
  <si>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</si>
  <si>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(25.08.-18.09.,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</si>
  <si>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(08.-25.09., TKI)</t>
  </si>
  <si>
    <t>Fortlaufende Aktualisierung und Neueinrichtung von Einträgen in Branchen- und Firmenverzeichnissen lt. Liste, Korrektur der Adresse, Telefonnummer, E-Mailadresse und Website-URL, Ergänzung vorhandener Einträge, Ergänzungen in der Linkprofil-Liste und erneute Überprüfung der bisherigen Verlinkungen, abschließende Dokumentation (12.-25.09., TKI)</t>
  </si>
  <si>
    <t>Link-Monitoring: Neue Verlinkungen aus Link-Tools der letzten 30 Tage überprüft, einzeln bewertet (monatlich 0,25 Std., TKI)</t>
  </si>
  <si>
    <t>2. Redaktionelle Arbeiten &amp; Website-Pflege</t>
  </si>
  <si>
    <t>Allerletzte Korrekturen am überarbeiteten Rererenztext, Einpflegen der SCHUSTER-Referenz auf der Website, kl. Anpassungen, Abstimmung und Dokumentation per Video (06.07., TKI)</t>
  </si>
  <si>
    <t>Prüfung der kompletten Website, aller Unterseiten und Referenzen auf mögliche Spitzenstellungsbehauptungen, Anpassen von zahlreichen Formulierungen durch abgeschwächte und dennoch attraktive Alternativen, Abstimmung und Dokumentation (15.-17.09., TKI)</t>
  </si>
  <si>
    <t>Ratgeberbereich konzipieren, Einrichtung eines ersten beispielhaften Ratgebers in WordPress, Aufbau der Ratgeber-Übersichtsseite mit Grid, Texterstellung aus Social-Media-Beitrag KI gestützt, Anpassung und Einpflegen des Artikels, kl. Anpassungen Brotkrumenpfad etc., Abstimmung und Dokumentation (22.-24.09., BKO, TKI)</t>
  </si>
  <si>
    <t>3. Technische Arbeiten, Onpage-Optimierung, ggf. Programmierung</t>
  </si>
  <si>
    <t>Technische Prüfung der Website, Ermitteln von Aufwänden für weitere Umsetzung, Abstimmung und Dokumentation (19.08., BKO)</t>
  </si>
  <si>
    <t>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(24.08., TKI)</t>
  </si>
  <si>
    <t>Index-Management prüfen, ggf. anpassen, Onpage-Prüfung mit div. Tools, Planung von entsprechenden Maßnahmen für Q4, Abstimmung und Dokumentation (17.09., TKI)</t>
  </si>
  <si>
    <t>Prüfung und kl. Anpassung für Bildquellen-Ausgabe (23.09., BKO, TKI)</t>
  </si>
  <si>
    <t>Vorbereiten des Systems für Unterseiten-Navigation statt Sprungmarken, kl. Anpassungen am Template, Abstimmung Vorgehensweise (24.09., BKO, TKI)</t>
  </si>
  <si>
    <t>4. Social Media Management</t>
  </si>
  <si>
    <t>---</t>
  </si>
  <si>
    <t>5. Google Ads &amp; Social Ads</t>
  </si>
  <si>
    <t>Google Ads-Monitoring (3. Quartal): Monatliches Monitoring der Kampagnen, kl. Anpassungen, fortlaufendes Ausschließen und Ergänzen von Keywords, Auswertung am Quartalsende (01.07.-30.09., JST, TKI)</t>
  </si>
  <si>
    <t>Social Ads-Monitoring (2. Quartal): Monatliches Monitoring der Werbe-kampagnen bei Facebook und Instagram, Anpassen der Werbeanzeigen, Verfeinern der Zielgruppe, kl. Arbeiten am Werbekonto, Abstimmung und Dokumentation (01.07.-30.09., JST, TKI)</t>
  </si>
  <si>
    <t>6. Beratung &amp; Sonstiges</t>
  </si>
  <si>
    <t>Vorbereitung, Auswertung der bisherigen Maßnahmen, Ergebnisse und Kennzahlen, Videocall zur Abstimmung der Ergebnisse, Planung des der weiteren Vorgehensweise, Klären von offenen Fragen, anschließend Vorbereitung der geplanten Maßnahmen, interne Abstimmung 11.-12.08., TKI)</t>
  </si>
  <si>
    <t>Bewertungen / ProvenExpert auf Website nutzen: Erste Recherche, Abstimmung und Infos zur Paketbuchung (05.-11.09., DKI, TKI)</t>
  </si>
  <si>
    <t>Bewertungen / ProvenExpert auf Website nutzen: Weitere Einrichtung und Integration auf der Website, Vorbereitung für Ausgabe in den Serps (11.09.-24.09., DKI, BKO, TKI)</t>
  </si>
  <si>
    <t>Grafische Anpassung des Logos (+ URL) an die Maße der Fahrzeugwerbung, Export in div. Formate, Abstimmung und Dokumentation (09., 10.09., TKI)</t>
  </si>
  <si>
    <t>Teamaustausch und Ideensammlung zur weiteren Optimierung, u.a. Ergänzung von Technologie-Partnern, Umbau Sprungmarken Startseite auf eigene Unterseiten, Bildquellen-Anpassung, etc., anschließend interne Abstimmung und Dokumentation weiterer Maßnahmen (23.09., BKO, DKI, CDE, TKI)</t>
  </si>
  <si>
    <t>Organisation, Planung, Überwachung und Steuerung der Aufgaben und Ressourcen (pro Tagessatz ca. 0,5 Std., TKI)</t>
  </si>
  <si>
    <t>Aufwand ca. insgesamt in Std.</t>
  </si>
  <si>
    <t>Aufwand in Tagessätzen</t>
  </si>
  <si>
    <t>4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</si>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</sst>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499984740745262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2" xfId="0" applyFont="1" applyBorder="1" applyAlignment="1">
      <alignment horizontal="center" vertical="center"/>
    </xf>
    <xf numFmtId="0" fontId="6" fillId="0" borderId="4" xfId="0" applyFont="1" applyBorder="1"/>
    <xf numFmtId="0" fontId="5" fillId="0" borderId="4" xfId="0" applyFont="1" applyBorder="1" applyAlignment="1">
      <alignment vertical="top" wrapText="1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5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top" wrapText="1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s://www.it-schutzeng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61E9-D12D-B54A-A52A-58DC3929817C}">
  <dimension ref="A1:B999"/>
  <sheetViews>
    <sheetView tabSelected="1" zoomScale="160" zoomScaleNormal="160" workbookViewId="0">
      <pane ySplit="4" topLeftCell="A5" activePane="bottomLeft" state="frozen"/>
      <selection pane="bottomLeft" activeCell="D40" sqref="D40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70" x14ac:dyDescent="0.2">
      <c r="A6" s="15" t="s">
        <v>6</v>
      </c>
      <c r="B6" s="14">
        <v>2.5</v>
      </c>
    </row>
    <row r="7" spans="1:2" s="11" customFormat="1" ht="70" x14ac:dyDescent="0.2">
      <c r="A7" s="15" t="s">
        <v>7</v>
      </c>
      <c r="B7" s="14">
        <v>4.5</v>
      </c>
    </row>
    <row r="8" spans="1:2" s="11" customFormat="1" ht="84" x14ac:dyDescent="0.2">
      <c r="A8" s="13" t="s">
        <v>8</v>
      </c>
      <c r="B8" s="14">
        <v>1</v>
      </c>
    </row>
    <row r="9" spans="1:2" s="11" customFormat="1" ht="28" x14ac:dyDescent="0.2">
      <c r="A9" s="13" t="s">
        <v>9</v>
      </c>
      <c r="B9" s="14">
        <v>0.5</v>
      </c>
    </row>
    <row r="10" spans="1:2" s="11" customFormat="1" ht="15.75" customHeight="1" x14ac:dyDescent="0.2">
      <c r="A10" s="16" t="s">
        <v>4</v>
      </c>
      <c r="B10" s="17">
        <f>SUM(B6:B9)</f>
        <v>8.5</v>
      </c>
    </row>
    <row r="11" spans="1:2" s="11" customFormat="1" ht="15.75" customHeight="1" x14ac:dyDescent="0.2">
      <c r="A11" s="18"/>
      <c r="B11" s="19"/>
    </row>
    <row r="12" spans="1:2" s="11" customFormat="1" ht="15.75" customHeight="1" x14ac:dyDescent="0.2">
      <c r="A12" s="20" t="s">
        <v>10</v>
      </c>
      <c r="B12" s="19"/>
    </row>
    <row r="13" spans="1:2" s="11" customFormat="1" ht="42" x14ac:dyDescent="0.2">
      <c r="A13" s="21" t="s">
        <v>11</v>
      </c>
      <c r="B13" s="19">
        <v>0.5</v>
      </c>
    </row>
    <row r="14" spans="1:2" s="11" customFormat="1" ht="56" x14ac:dyDescent="0.2">
      <c r="A14" s="21" t="s">
        <v>12</v>
      </c>
      <c r="B14" s="19">
        <v>1.5</v>
      </c>
    </row>
    <row r="15" spans="1:2" s="11" customFormat="1" ht="70" x14ac:dyDescent="0.2">
      <c r="A15" s="21" t="s">
        <v>13</v>
      </c>
      <c r="B15" s="19">
        <v>2.75</v>
      </c>
    </row>
    <row r="16" spans="1:2" s="11" customFormat="1" ht="15.75" customHeight="1" x14ac:dyDescent="0.2">
      <c r="A16" s="22" t="s">
        <v>4</v>
      </c>
      <c r="B16" s="23">
        <f>SUM(B12:B15)</f>
        <v>4.75</v>
      </c>
    </row>
    <row r="17" spans="1:2" s="11" customFormat="1" ht="15.75" customHeight="1" x14ac:dyDescent="0.2">
      <c r="A17" s="25"/>
      <c r="B17" s="26"/>
    </row>
    <row r="18" spans="1:2" s="10" customFormat="1" ht="15.75" customHeight="1" x14ac:dyDescent="0.15">
      <c r="A18" s="8" t="s">
        <v>14</v>
      </c>
      <c r="B18" s="14"/>
    </row>
    <row r="19" spans="1:2" s="11" customFormat="1" ht="28" x14ac:dyDescent="0.2">
      <c r="A19" s="13" t="s">
        <v>15</v>
      </c>
      <c r="B19" s="14">
        <v>0.75</v>
      </c>
    </row>
    <row r="20" spans="1:2" s="11" customFormat="1" ht="98" x14ac:dyDescent="0.2">
      <c r="A20" s="13" t="s">
        <v>16</v>
      </c>
      <c r="B20" s="14">
        <v>1.5</v>
      </c>
    </row>
    <row r="21" spans="1:2" s="11" customFormat="1" ht="42" x14ac:dyDescent="0.2">
      <c r="A21" s="13" t="s">
        <v>17</v>
      </c>
      <c r="B21" s="14">
        <v>1.5</v>
      </c>
    </row>
    <row r="22" spans="1:2" s="11" customFormat="1" ht="14" x14ac:dyDescent="0.2">
      <c r="A22" s="13" t="s">
        <v>18</v>
      </c>
      <c r="B22" s="14">
        <v>0.25</v>
      </c>
    </row>
    <row r="23" spans="1:2" s="11" customFormat="1" ht="42" x14ac:dyDescent="0.2">
      <c r="A23" s="13" t="s">
        <v>19</v>
      </c>
      <c r="B23" s="14">
        <v>0.5</v>
      </c>
    </row>
    <row r="24" spans="1:2" s="11" customFormat="1" ht="15.75" customHeight="1" x14ac:dyDescent="0.2">
      <c r="A24" s="27" t="s">
        <v>4</v>
      </c>
      <c r="B24" s="24">
        <f>SUM(B19:B23)</f>
        <v>4.5</v>
      </c>
    </row>
    <row r="25" spans="1:2" s="11" customFormat="1" ht="15.75" customHeight="1" x14ac:dyDescent="0.2">
      <c r="A25" s="28"/>
      <c r="B25" s="14"/>
    </row>
    <row r="26" spans="1:2" s="11" customFormat="1" ht="15.75" customHeight="1" x14ac:dyDescent="0.2">
      <c r="A26" s="29" t="s">
        <v>20</v>
      </c>
      <c r="B26" s="30"/>
    </row>
    <row r="27" spans="1:2" s="11" customFormat="1" ht="14" x14ac:dyDescent="0.2">
      <c r="A27" s="31" t="s">
        <v>21</v>
      </c>
      <c r="B27" s="32"/>
    </row>
    <row r="28" spans="1:2" s="11" customFormat="1" ht="15.75" customHeight="1" x14ac:dyDescent="0.2">
      <c r="A28" s="22" t="s">
        <v>4</v>
      </c>
      <c r="B28" s="23">
        <f>SUM(B27:B27)</f>
        <v>0</v>
      </c>
    </row>
    <row r="29" spans="1:2" s="11" customFormat="1" ht="15.75" customHeight="1" x14ac:dyDescent="0.2">
      <c r="A29" s="33"/>
      <c r="B29" s="19"/>
    </row>
    <row r="30" spans="1:2" s="11" customFormat="1" ht="15.75" customHeight="1" x14ac:dyDescent="0.2">
      <c r="A30" s="20" t="s">
        <v>22</v>
      </c>
      <c r="B30" s="19"/>
    </row>
    <row r="31" spans="1:2" s="11" customFormat="1" ht="42" customHeight="1" x14ac:dyDescent="0.2">
      <c r="A31" s="21" t="s">
        <v>23</v>
      </c>
      <c r="B31" s="26">
        <v>3</v>
      </c>
    </row>
    <row r="32" spans="1:2" s="11" customFormat="1" ht="55" customHeight="1" x14ac:dyDescent="0.2">
      <c r="A32" s="21" t="s">
        <v>24</v>
      </c>
      <c r="B32" s="26">
        <v>3</v>
      </c>
    </row>
    <row r="33" spans="1:2" s="11" customFormat="1" ht="15.75" customHeight="1" x14ac:dyDescent="0.2">
      <c r="A33" s="22" t="s">
        <v>4</v>
      </c>
      <c r="B33" s="23">
        <f>SUM(B31:B32)</f>
        <v>6</v>
      </c>
    </row>
    <row r="34" spans="1:2" s="11" customFormat="1" ht="15.75" customHeight="1" x14ac:dyDescent="0.2">
      <c r="A34" s="33"/>
      <c r="B34" s="19"/>
    </row>
    <row r="35" spans="1:2" s="11" customFormat="1" ht="15.75" customHeight="1" x14ac:dyDescent="0.2">
      <c r="A35" s="20" t="s">
        <v>25</v>
      </c>
      <c r="B35" s="19"/>
    </row>
    <row r="36" spans="1:2" s="11" customFormat="1" ht="70" x14ac:dyDescent="0.2">
      <c r="A36" s="34" t="s">
        <v>26</v>
      </c>
      <c r="B36" s="14">
        <v>0.75</v>
      </c>
    </row>
    <row r="37" spans="1:2" s="10" customFormat="1" ht="28" x14ac:dyDescent="0.15">
      <c r="A37" s="34" t="s">
        <v>27</v>
      </c>
      <c r="B37" s="14">
        <v>0.5</v>
      </c>
    </row>
    <row r="38" spans="1:2" s="10" customFormat="1" ht="42" x14ac:dyDescent="0.15">
      <c r="A38" s="21" t="s">
        <v>28</v>
      </c>
      <c r="B38" s="14">
        <v>4</v>
      </c>
    </row>
    <row r="39" spans="1:2" s="10" customFormat="1" ht="42" x14ac:dyDescent="0.15">
      <c r="A39" s="34" t="s">
        <v>29</v>
      </c>
      <c r="B39" s="14">
        <v>0.5</v>
      </c>
    </row>
    <row r="40" spans="1:2" s="10" customFormat="1" ht="70" x14ac:dyDescent="0.15">
      <c r="A40" s="34" t="s">
        <v>30</v>
      </c>
      <c r="B40" s="14">
        <v>2</v>
      </c>
    </row>
    <row r="41" spans="1:2" s="11" customFormat="1" ht="28" x14ac:dyDescent="0.2">
      <c r="A41" s="34" t="s">
        <v>31</v>
      </c>
      <c r="B41" s="14">
        <v>2</v>
      </c>
    </row>
    <row r="42" spans="1:2" s="11" customFormat="1" ht="15.75" customHeight="1" x14ac:dyDescent="0.2">
      <c r="A42" s="27" t="s">
        <v>4</v>
      </c>
      <c r="B42" s="24">
        <f>SUM(B36:B41)</f>
        <v>9.75</v>
      </c>
    </row>
    <row r="43" spans="1:2" s="11" customFormat="1" ht="15.75" customHeight="1" x14ac:dyDescent="0.2">
      <c r="A43" s="28"/>
      <c r="B43" s="14"/>
    </row>
    <row r="44" spans="1:2" s="11" customFormat="1" ht="16.5" customHeight="1" thickBot="1" x14ac:dyDescent="0.25">
      <c r="A44" s="35" t="s">
        <v>32</v>
      </c>
      <c r="B44" s="36">
        <f>SUM(B10+B16+B24+B28+B33+B42)</f>
        <v>33.5</v>
      </c>
    </row>
    <row r="45" spans="1:2" s="11" customFormat="1" ht="16.5" customHeight="1" thickBot="1" x14ac:dyDescent="0.25">
      <c r="A45" s="38" t="s">
        <v>33</v>
      </c>
      <c r="B45" s="37" t="s">
        <v>34</v>
      </c>
    </row>
    <row r="46" spans="1:2" ht="15.75" customHeight="1" x14ac:dyDescent="0.2">
      <c r="A46" s="10"/>
      <c r="B46" s="10"/>
    </row>
    <row r="47" spans="1:2" ht="15.75" customHeight="1" x14ac:dyDescent="0.2">
      <c r="A47" s="39" t="s">
        <v>35</v>
      </c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</sheetData>
  <hyperlinks>
    <hyperlink ref="A2" r:id="rId1" xr:uid="{E62FFF9E-09C5-8844-B295-593E9CFC0D19}"/>
    <hyperlink ref="A47" r:id="rId2" display="https://www.thoxan.com/kontakt/" xr:uid="{51F3E6F8-1252-F348-9785-B11476F770E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2025-09-25T14:29:33Z</dcterms:created>
  <dcterms:modified xsi:type="dcterms:W3CDTF">2025-09-25T14:31:27Z</dcterms:modified>
</cp:coreProperties>
</file>