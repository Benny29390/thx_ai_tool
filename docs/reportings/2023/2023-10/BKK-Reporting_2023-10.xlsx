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Volumes/G-RAID Studio/Zoho WorkDrive (thoxan)/THOXAN GMBH/REPORTINGS/2023-10/"/>
    </mc:Choice>
  </mc:AlternateContent>
  <xr:revisionPtr revIDLastSave="0" documentId="13_ncr:1_{E9B841AB-224D-724E-A24D-C8B49B237CC6}" xr6:coauthVersionLast="47" xr6:coauthVersionMax="47" xr10:uidLastSave="{00000000-0000-0000-0000-000000000000}"/>
  <bookViews>
    <workbookView xWindow="10260" yWindow="500" windowWidth="35320" windowHeight="24880" xr2:uid="{23BEC785-9CA5-2847-9270-9297571BE73B}"/>
  </bookViews>
  <sheets>
    <sheet name="BK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 l="1"/>
  <c r="B45" i="1"/>
  <c r="B41" i="1"/>
  <c r="B35" i="1"/>
  <c r="B31" i="1"/>
  <c r="B24" i="1"/>
  <c r="B52" i="1" l="1"/>
</calcChain>
</file>

<file path=xl/sharedStrings.xml><?xml version="1.0" encoding="utf-8"?>
<sst xmlns="http://schemas.openxmlformats.org/spreadsheetml/2006/main" count="49" uniqueCount="43">
  <si>
    <t>BKK GILDEMEISTER SEIDENSTICKER</t>
  </si>
  <si>
    <t>Sept / Okt.2023</t>
  </si>
  <si>
    <t>www.bkkgs.de</t>
  </si>
  <si>
    <t>Monatliche Optimierung</t>
  </si>
  <si>
    <t>Aufwand ca. in Std.</t>
  </si>
  <si>
    <t>1. Linkaufbau, Online-PR</t>
  </si>
  <si>
    <t>Linkquellen-Recherche (Gastartikel): Thematisch passende Linkquellen zur Veröffentlichung von Gastbeiträgen recherchiert, nach Duplikatskontrolle anhand kurzer Sichtprüfung und SEO-Kennzahlen dokumentiert, Aussortieren unpassender Websites, erste Kontaktdaten ermittelt (01.09.-09.10., TKI)</t>
  </si>
  <si>
    <t>Linkakquise (Gastartikel): Kontaktaufnahme mit Seitenbetreibern aus der Linkquellen-Recherche sowie innerhalb des eigenen Netzwerks per E-Mail / Social Media / Telefon, Dokumentation der Preise und Konditionen, Auswahl und Zusammenstellen sinnvoller Linkoptionen zur Freigabe, Abstimmung (25.09.-18.10., TKI)</t>
  </si>
  <si>
    <t>Textarbeiten (Gastartikel): Briefing und Recherche, Texterstellung für Gastbeitrag auf kurkliniken.de, Lektorat, Abstimmung und Vorbereitung zur Veröffentlichung (04.09., EXT, TKI)</t>
  </si>
  <si>
    <t>Textarbeiten (Gastartikel): Briefing und Recherche, Texterstellung für Gastbeitrag auf twinsworld.de, Lektorat, Abstimmung und Vorbereitung zur Veröffentlichung (12.09, EXT, TKI)</t>
  </si>
  <si>
    <t>Textarbeiten (Gastartikel): Briefing und Recherche, Texterstellung für Gastbeitrag auf portal-der-zahnmedizin.de, Lektorat, Abstimmung und Vorbereitung zur Veröffentlichung (15.09., EXT, TKI)</t>
  </si>
  <si>
    <t>Textarbeiten (Gastartikel): Briefing und Recherche, Texterstellung für Gastbeitrag auf artzphobie.de, Lektorat, Abstimmung und Vorbereitung zur Veröffentlichung (29.09., EXT, TKI)</t>
  </si>
  <si>
    <t>Textarbeiten (Gastartikel): Briefing und Recherche, Texterstellung für Gastbeitrag auf welove.family.de, Lektorat, Abstimmung und Vorbereitung zur Veröffentlichung (10.10, EXT, TKI)</t>
  </si>
  <si>
    <t>Textarbeiten (Gastartikel): Briefing und Recherche, Texterstellung für Gastbeitrag auf kleinkind-online.de, Lektorat, Abstimmung und Vorbereitung zur Veröffentlichung (12.10., EXT, TKI)</t>
  </si>
  <si>
    <t>Linkaufbau-Organisation und Abstimmung mit den Seitenbetreibern zur Veröffentlichung der vorbereiteten Gastartikel, Prüfung der Link-Integration, Abrechnung der Linkaufbau-Auslagen, Abstimmung und Dokumentation (01.09.-30.10., TKI)</t>
  </si>
  <si>
    <t>https://www.kurkliniken.de/blog/zurueck-in-die-arbeitswelt-so-beantragen-sie-erfolgreich-eine-reha.html</t>
  </si>
  <si>
    <t>https://www.twinsworld.de/mehrfaches-babyglueck-diese-besonderheiten-gelten-bei-mehrlingsgeburten/</t>
  </si>
  <si>
    <t>https://www.portal-der-zahnmedizin.de/aktuelles/20230925/fehlende-zaehne-moeglichkeiten.html</t>
  </si>
  <si>
    <t>https://www.arztphobie.com/kinder/kind-hat-angst-vorm-zahnarzt/</t>
  </si>
  <si>
    <t>https://www.welove.family/massnahmen-zum-gesundheitsschutz-bei-kindern/</t>
  </si>
  <si>
    <t>https://www.kleinkind-online.de/blog/sprachentwicklung.html</t>
  </si>
  <si>
    <t>Presseportale: Pressemeldung auf gepflegten und geprüften (kostenfreien) Presseportalen online einstellen, Profile einrichten bzw. aktualisieren, Prüfung der Veröffentlichungen, Abstimmung und Dokumentation, Portale siehe Asana / E-Mail, plus Abstimmung Login (E-Mail-Schutz), Einrichten einer Gmail-Adresse für zukünftige Einträge (27.-29.09., TKI)</t>
  </si>
  <si>
    <t>Link-Monitoring: Neue Verlinkungen aus Link-Tools der letzten 30 Tage überprüft, einzeln bewertet (monatlich ca. 0,25 Std., TKI)</t>
  </si>
  <si>
    <t>2. Website- und Redaktionelle Arbeiten</t>
  </si>
  <si>
    <t>Textkorrektur Präventionskurse: Abstimmung und Durchsicht der Änderungswünsche, Inhaltliche Bearbeitung des Textes inkl. Umsetzung möglicher Ergänzungen (ggf. Umstrukturierung oder Texterweiterung), Durchsicht der Texte und finale Bearbeitung, Vorbereitung und Übergabe zum Einpflegen auf der Website (05.-08.09., GBO, TKI)</t>
  </si>
  <si>
    <t>Feedback Gesundheits- bzw. Präventionskurse, Priorisierung der Keywords, kurze Recherche, Abstimmung und Dokumentation (03.-05.10., GBO, TKI)</t>
  </si>
  <si>
    <t>Textarbeiten "Krebsfrüherkennung": Abstimmung, Briefing und inhaltliche Konzeption, Recherche und Zusammentragen der Informationen, Texterstellung, Keyword-Optimierung nach WDF*IDF, Ergänzungen und kl. Anpassungen, Lektorat und finale Bearbeitung, Versand an Kunden und Dokumentation (05.-12.10., GBO, TKI)</t>
  </si>
  <si>
    <t>Textkorrektur Krebsfrüherkennung: Abstimmung und Durchsicht der Änderungswünsche, Inhaltliche Bearbeitung des Textes inkl. Umsetzung möglicher Ergänzungen (ggf. Umstrukturierung oder Texterweiterung), Durchsicht der Texte und finale Bearbeitung, Vorbereitung und Übergabe zum Einpflegen auf der Website (26.10., GBO, TKI)</t>
  </si>
  <si>
    <t>3. Technische Arbeiten, Onpage-Optimierung, ggf. Programmierung</t>
  </si>
  <si>
    <t>Weitere Abstimmung und Überprüfung der Maßnahmen und der technischen Anpassungen von move:elevator, siehe Ticket-Dokumentation – Ladezeit-Optimierung, PDF im Google Index, etc. (01.09. -31.10., TKI)</t>
  </si>
  <si>
    <t>4. Google Ads, Monitoring</t>
  </si>
  <si>
    <t>Matomo-Zugang angelegt, erste kurze Analyse (12.09., TKI)</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</si>
  <si>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(01.09.-31.10., DHE, JST, TKI)</t>
  </si>
  <si>
    <t>Tracking Kurz-OME/MG-werden-Seiten: Anpassungen im Google Tag Manager und bei Analytics für das neue Mitgliedsantragsformular: Tests durchgeführt, Änderungen an Tags, Triggern und Variablen, Erstellung neuer Tags und Ereignisse. Abbruchraten-Tracking: Überarbeitung der Tags und Erstellung neuer Tags, Abbildung der Nutzerzahlen je Step dieses Mal ohne Hilfe von move:elevator erreicht. Anpassungen des Looker Studio Berichts aufgrund neuer Nutzergruppen: Zielvorhaben und Abbruchraten (laufend, intern). Abstimmung und Dokumentation. (20.-24.10., JST)</t>
  </si>
  <si>
    <t>5. Auswertung und Maßnahmenplanung, Workshops</t>
  </si>
  <si>
    <t>Workshop: Inhaltliche Vorbereitung und Durchführung eines Workshops zum Thema Marketing-Automation, Planung der Agenda, Recherche und Durchsicht früherer Präsentationen bzw. Auswertungen, Klären von div. Fragen, Abstimmung und weitere Planung, von 11:00 bis 12:00 Uhr, anschließende Dokumentation und interne Abstimmung (19.09., TKI)</t>
  </si>
  <si>
    <t>6. Beratung &amp; Sonstiges</t>
  </si>
  <si>
    <t>Kurze Vorbereitung und telefonische / virtuelle Abstimmung zur aktuellen Zusammenarbeit, Linkaufbau, Google Ads, Workshops, Klärung von div. Fragen 12:15-13:05 Uhr, anschließend Dokumentation und interne Abstimmung für die nächsten Maßnahmen (07.09.,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</si>
  <si>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</si>
  <si>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</si>
  <si>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</si>
  <si>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</si>
  <si>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Abstimmung und Optimierung einer Pressemeldung zum Thema Brustkrebsfrüherkennung, Textbearbeitung inkl. Abbinder, Zwischen-überschriften, Lektorat und Dokumentation, Abstimmung wegen Pressebildern, begleitend zur aktuellen Pressemeldung, Bildbearbeitung und Vorbereitung der Medien zur einheitlichen Veröffentlichung, finale Absprachen (25.-27.09.,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</si>
</sst>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5"/>
      <color theme="1"/>
      <name val="Arial"/>
      <family val="2"/>
    </font>
    <font>
      <sz val="10.5"/>
      <color theme="1"/>
      <name val="Calibri"/>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36">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4" fillId="0" borderId="1" xfId="1" applyFont="1" applyBorder="1" applyAlignment="1">
      <alignment vertical="center" wrapText="1"/>
    </xf>
    <xf numFmtId="0" fontId="5" fillId="0" borderId="1" xfId="1" applyFont="1" applyBorder="1" applyAlignment="1">
      <alignment vertical="top" wrapText="1"/>
    </xf>
    <xf numFmtId="0" fontId="5" fillId="3" borderId="1" xfId="0" applyFont="1" applyFill="1" applyBorder="1" applyAlignment="1">
      <alignment horizontal="center" vertical="center" wrapText="1"/>
    </xf>
    <xf numFmtId="0" fontId="5" fillId="0" borderId="3" xfId="0" applyFont="1" applyBorder="1" applyAlignment="1">
      <alignment vertical="top" wrapText="1"/>
    </xf>
    <xf numFmtId="0" fontId="5" fillId="2" borderId="3" xfId="0" applyFont="1" applyFill="1" applyBorder="1" applyAlignment="1">
      <alignment vertical="center"/>
    </xf>
    <xf numFmtId="0" fontId="5" fillId="0" borderId="3" xfId="0" applyFont="1" applyBorder="1" applyAlignment="1">
      <alignment vertical="center"/>
    </xf>
    <xf numFmtId="0" fontId="3" fillId="0" borderId="3" xfId="0" applyFont="1" applyBorder="1"/>
    <xf numFmtId="0" fontId="5" fillId="0" borderId="4" xfId="0" applyFont="1" applyBorder="1" applyAlignment="1">
      <alignment horizontal="center" vertical="center"/>
    </xf>
    <xf numFmtId="0" fontId="5" fillId="0" borderId="0" xfId="0" applyFont="1" applyAlignment="1">
      <alignment vertical="top" wrapText="1"/>
    </xf>
    <xf numFmtId="0" fontId="5" fillId="0" borderId="2" xfId="0" applyFont="1" applyBorder="1" applyAlignment="1">
      <alignment vertical="center"/>
    </xf>
    <xf numFmtId="0" fontId="5" fillId="3" borderId="1" xfId="0" applyFont="1" applyFill="1" applyBorder="1" applyAlignment="1">
      <alignment vertical="top" wrapText="1"/>
    </xf>
    <xf numFmtId="0" fontId="5" fillId="0" borderId="0" xfId="0" applyFont="1" applyAlignment="1">
      <alignment vertical="center"/>
    </xf>
    <xf numFmtId="0" fontId="5" fillId="3" borderId="1" xfId="0" applyFont="1" applyFill="1" applyBorder="1" applyAlignment="1">
      <alignment vertical="center"/>
    </xf>
    <xf numFmtId="0" fontId="3" fillId="3" borderId="1" xfId="0" applyFont="1" applyFill="1" applyBorder="1" applyAlignment="1">
      <alignment horizontal="center" vertical="center"/>
    </xf>
    <xf numFmtId="0" fontId="5" fillId="2" borderId="2" xfId="0" applyFont="1" applyFill="1" applyBorder="1" applyAlignment="1">
      <alignment vertical="center"/>
    </xf>
    <xf numFmtId="0" fontId="3" fillId="2" borderId="5" xfId="0" applyFont="1" applyFill="1" applyBorder="1" applyAlignment="1">
      <alignment horizontal="center" vertical="center"/>
    </xf>
    <xf numFmtId="0" fontId="5" fillId="2" borderId="6" xfId="0" applyFont="1" applyFill="1" applyBorder="1" applyAlignment="1">
      <alignment vertical="center"/>
    </xf>
    <xf numFmtId="0" fontId="3" fillId="2" borderId="7" xfId="0" applyFont="1" applyFill="1" applyBorder="1" applyAlignment="1">
      <alignment horizontal="center" vertical="center"/>
    </xf>
    <xf numFmtId="0" fontId="7" fillId="0" borderId="0" xfId="1" applyFont="1"/>
    <xf numFmtId="0" fontId="8" fillId="0" borderId="0" xfId="0" applyFont="1"/>
    <xf numFmtId="0" fontId="9" fillId="0" borderId="0" xfId="0" applyFont="1"/>
    <xf numFmtId="0" fontId="5" fillId="0" borderId="1" xfId="0" applyFont="1" applyFill="1" applyBorder="1" applyAlignment="1">
      <alignment horizontal="center"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kleinkind-online.de/blog/sprachentwicklung.html" TargetMode="External"/><Relationship Id="rId3" Type="http://schemas.openxmlformats.org/officeDocument/2006/relationships/hyperlink" Target="https://www.kurkliniken.de/blog/zurueck-in-die-arbeitswelt-so-beantragen-sie-erfolgreich-eine-reha.html" TargetMode="External"/><Relationship Id="rId7" Type="http://schemas.openxmlformats.org/officeDocument/2006/relationships/hyperlink" Target="https://www.welove.family/massnahmen-zum-gesundheitsschutz-bei-kindern/"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www.arztphobie.com/kinder/kind-hat-angst-vorm-zahnarzt/" TargetMode="External"/><Relationship Id="rId5" Type="http://schemas.openxmlformats.org/officeDocument/2006/relationships/hyperlink" Target="https://www.portal-der-zahnmedizin.de/aktuelles/20230925/fehlende-zaehne-moeglichkeiten.html" TargetMode="External"/><Relationship Id="rId4" Type="http://schemas.openxmlformats.org/officeDocument/2006/relationships/hyperlink" Target="https://www.twinsworld.de/mehrfaches-babyglueck-diese-besonderheiten-gelten-bei-mehrlingsgeburt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C4C0F-737D-AC4C-844D-653D74CB73E8}">
  <dimension ref="A1:B1011"/>
  <sheetViews>
    <sheetView tabSelected="1" zoomScale="150" zoomScaleNormal="150" workbookViewId="0">
      <pane ySplit="4" topLeftCell="A5" activePane="bottomLeft" state="frozen"/>
      <selection pane="bottomLeft" activeCell="B24" sqref="B24"/>
    </sheetView>
  </sheetViews>
  <sheetFormatPr baseColWidth="10" defaultColWidth="11.1640625" defaultRowHeight="15" customHeight="1" x14ac:dyDescent="0.2"/>
  <cols>
    <col min="1" max="1" width="57.5" customWidth="1"/>
    <col min="2" max="2" width="23" customWidth="1"/>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s="6" customFormat="1" ht="70" x14ac:dyDescent="0.15">
      <c r="A6" s="12" t="s">
        <v>6</v>
      </c>
      <c r="B6" s="13">
        <v>2.5</v>
      </c>
    </row>
    <row r="7" spans="1:2" s="6" customFormat="1" ht="70" x14ac:dyDescent="0.15">
      <c r="A7" s="12" t="s">
        <v>7</v>
      </c>
      <c r="B7" s="13">
        <v>5.5</v>
      </c>
    </row>
    <row r="8" spans="1:2" ht="42" x14ac:dyDescent="0.2">
      <c r="A8" s="12" t="s">
        <v>8</v>
      </c>
      <c r="B8" s="13">
        <v>3</v>
      </c>
    </row>
    <row r="9" spans="1:2" ht="42" x14ac:dyDescent="0.2">
      <c r="A9" s="12" t="s">
        <v>9</v>
      </c>
      <c r="B9" s="13">
        <v>3</v>
      </c>
    </row>
    <row r="10" spans="1:2" ht="42" x14ac:dyDescent="0.2">
      <c r="A10" s="12" t="s">
        <v>10</v>
      </c>
      <c r="B10" s="13">
        <v>3</v>
      </c>
    </row>
    <row r="11" spans="1:2" ht="42" x14ac:dyDescent="0.2">
      <c r="A11" s="12" t="s">
        <v>11</v>
      </c>
      <c r="B11" s="13">
        <v>3.5</v>
      </c>
    </row>
    <row r="12" spans="1:2" ht="42" x14ac:dyDescent="0.2">
      <c r="A12" s="12" t="s">
        <v>12</v>
      </c>
      <c r="B12" s="13">
        <v>3</v>
      </c>
    </row>
    <row r="13" spans="1:2" ht="42" x14ac:dyDescent="0.2">
      <c r="A13" s="12" t="s">
        <v>13</v>
      </c>
      <c r="B13" s="13">
        <v>3</v>
      </c>
    </row>
    <row r="14" spans="1:2" s="6" customFormat="1" ht="56" x14ac:dyDescent="0.15">
      <c r="A14" s="12" t="s">
        <v>14</v>
      </c>
      <c r="B14" s="13">
        <v>3.25</v>
      </c>
    </row>
    <row r="15" spans="1:2" s="6" customFormat="1" ht="28" x14ac:dyDescent="0.15">
      <c r="A15" s="14" t="s">
        <v>15</v>
      </c>
      <c r="B15" s="13"/>
    </row>
    <row r="16" spans="1:2" s="6" customFormat="1" ht="28" x14ac:dyDescent="0.15">
      <c r="A16" s="14" t="s">
        <v>16</v>
      </c>
      <c r="B16" s="13"/>
    </row>
    <row r="17" spans="1:2" s="6" customFormat="1" ht="28" x14ac:dyDescent="0.15">
      <c r="A17" s="14" t="s">
        <v>17</v>
      </c>
      <c r="B17" s="13"/>
    </row>
    <row r="18" spans="1:2" s="6" customFormat="1" ht="14" x14ac:dyDescent="0.15">
      <c r="A18" s="14" t="s">
        <v>18</v>
      </c>
      <c r="B18" s="13"/>
    </row>
    <row r="19" spans="1:2" s="6" customFormat="1" ht="28" x14ac:dyDescent="0.15">
      <c r="A19" s="14" t="s">
        <v>19</v>
      </c>
      <c r="B19" s="13"/>
    </row>
    <row r="20" spans="1:2" s="6" customFormat="1" ht="14" x14ac:dyDescent="0.15">
      <c r="A20" s="14" t="s">
        <v>20</v>
      </c>
      <c r="B20" s="13"/>
    </row>
    <row r="21" spans="1:2" s="6" customFormat="1" ht="84" x14ac:dyDescent="0.15">
      <c r="A21" s="15" t="s">
        <v>42</v>
      </c>
      <c r="B21" s="13">
        <v>1.5</v>
      </c>
    </row>
    <row r="22" spans="1:2" s="6" customFormat="1" ht="84" x14ac:dyDescent="0.15">
      <c r="A22" s="15" t="s">
        <v>21</v>
      </c>
      <c r="B22" s="13">
        <v>3</v>
      </c>
    </row>
    <row r="23" spans="1:2" s="6" customFormat="1" ht="27.75" customHeight="1" x14ac:dyDescent="0.15">
      <c r="A23" s="12" t="s">
        <v>22</v>
      </c>
      <c r="B23" s="13">
        <v>0.5</v>
      </c>
    </row>
    <row r="24" spans="1:2" s="6" customFormat="1" ht="15.75" customHeight="1" x14ac:dyDescent="0.15">
      <c r="A24" s="8" t="s">
        <v>4</v>
      </c>
      <c r="B24" s="9">
        <f>SUM(B6:B23)</f>
        <v>34.75</v>
      </c>
    </row>
    <row r="25" spans="1:2" s="6" customFormat="1" ht="15.75" customHeight="1" x14ac:dyDescent="0.15">
      <c r="A25" s="7"/>
      <c r="B25" s="13"/>
    </row>
    <row r="26" spans="1:2" s="6" customFormat="1" ht="15.75" customHeight="1" x14ac:dyDescent="0.15">
      <c r="A26" s="10" t="s">
        <v>23</v>
      </c>
      <c r="B26" s="13"/>
    </row>
    <row r="27" spans="1:2" s="6" customFormat="1" ht="76" customHeight="1" x14ac:dyDescent="0.15">
      <c r="A27" s="17" t="s">
        <v>24</v>
      </c>
      <c r="B27" s="13">
        <v>2</v>
      </c>
    </row>
    <row r="28" spans="1:2" s="6" customFormat="1" ht="42" x14ac:dyDescent="0.15">
      <c r="A28" s="17" t="s">
        <v>25</v>
      </c>
      <c r="B28" s="13">
        <v>0.5</v>
      </c>
    </row>
    <row r="29" spans="1:2" s="6" customFormat="1" ht="70" x14ac:dyDescent="0.15">
      <c r="A29" s="12" t="s">
        <v>26</v>
      </c>
      <c r="B29" s="13">
        <v>13.25</v>
      </c>
    </row>
    <row r="30" spans="1:2" s="6" customFormat="1" ht="76" customHeight="1" x14ac:dyDescent="0.15">
      <c r="A30" s="17" t="s">
        <v>27</v>
      </c>
      <c r="B30" s="35">
        <v>1</v>
      </c>
    </row>
    <row r="31" spans="1:2" s="6" customFormat="1" ht="15.75" customHeight="1" x14ac:dyDescent="0.15">
      <c r="A31" s="18" t="s">
        <v>4</v>
      </c>
      <c r="B31" s="9">
        <f>SUM(B27:B30)</f>
        <v>16.75</v>
      </c>
    </row>
    <row r="32" spans="1:2" s="6" customFormat="1" ht="15.75" customHeight="1" x14ac:dyDescent="0.15">
      <c r="A32" s="19"/>
      <c r="B32" s="13"/>
    </row>
    <row r="33" spans="1:2" s="6" customFormat="1" ht="15.75" customHeight="1" x14ac:dyDescent="0.15">
      <c r="A33" s="20" t="s">
        <v>28</v>
      </c>
      <c r="B33" s="13"/>
    </row>
    <row r="34" spans="1:2" s="6" customFormat="1" ht="56" x14ac:dyDescent="0.15">
      <c r="A34" s="22" t="s">
        <v>29</v>
      </c>
      <c r="B34" s="13">
        <v>1</v>
      </c>
    </row>
    <row r="35" spans="1:2" s="6" customFormat="1" ht="15.75" customHeight="1" x14ac:dyDescent="0.15">
      <c r="A35" s="18" t="s">
        <v>4</v>
      </c>
      <c r="B35" s="9">
        <f>SUM(B34:B34)</f>
        <v>1</v>
      </c>
    </row>
    <row r="36" spans="1:2" s="6" customFormat="1" ht="15.75" customHeight="1" x14ac:dyDescent="0.15">
      <c r="A36" s="19"/>
      <c r="B36" s="13"/>
    </row>
    <row r="37" spans="1:2" s="6" customFormat="1" ht="15.75" customHeight="1" x14ac:dyDescent="0.15">
      <c r="A37" s="10" t="s">
        <v>30</v>
      </c>
      <c r="B37" s="13"/>
    </row>
    <row r="38" spans="1:2" s="6" customFormat="1" ht="14" x14ac:dyDescent="0.15">
      <c r="A38" s="12" t="s">
        <v>31</v>
      </c>
      <c r="B38" s="13">
        <v>0.25</v>
      </c>
    </row>
    <row r="39" spans="1:2" s="6" customFormat="1" ht="71" customHeight="1" x14ac:dyDescent="0.15">
      <c r="A39" s="12" t="s">
        <v>32</v>
      </c>
      <c r="B39" s="13">
        <v>6</v>
      </c>
    </row>
    <row r="40" spans="1:2" s="6" customFormat="1" ht="126" x14ac:dyDescent="0.15">
      <c r="A40" s="12" t="s">
        <v>33</v>
      </c>
      <c r="B40" s="13">
        <v>5.5</v>
      </c>
    </row>
    <row r="41" spans="1:2" s="6" customFormat="1" ht="15.75" customHeight="1" x14ac:dyDescent="0.15">
      <c r="A41" s="8" t="s">
        <v>4</v>
      </c>
      <c r="B41" s="9">
        <f>SUM(B38:B40)</f>
        <v>11.75</v>
      </c>
    </row>
    <row r="42" spans="1:2" s="6" customFormat="1" ht="15.75" customHeight="1" x14ac:dyDescent="0.15">
      <c r="A42" s="23"/>
      <c r="B42" s="21"/>
    </row>
    <row r="43" spans="1:2" s="6" customFormat="1" ht="15.75" customHeight="1" x14ac:dyDescent="0.15">
      <c r="A43" s="20" t="s">
        <v>34</v>
      </c>
      <c r="B43" s="13"/>
    </row>
    <row r="44" spans="1:2" s="6" customFormat="1" ht="83" customHeight="1" x14ac:dyDescent="0.15">
      <c r="A44" s="24" t="s">
        <v>35</v>
      </c>
      <c r="B44" s="16">
        <v>1.25</v>
      </c>
    </row>
    <row r="45" spans="1:2" s="6" customFormat="1" ht="15.75" customHeight="1" x14ac:dyDescent="0.15">
      <c r="A45" s="8" t="s">
        <v>4</v>
      </c>
      <c r="B45" s="9">
        <f>SUM(B43:B44)</f>
        <v>1.25</v>
      </c>
    </row>
    <row r="46" spans="1:2" s="6" customFormat="1" ht="15.75" customHeight="1" x14ac:dyDescent="0.15">
      <c r="A46" s="25"/>
      <c r="B46" s="21"/>
    </row>
    <row r="47" spans="1:2" s="6" customFormat="1" ht="15.75" customHeight="1" x14ac:dyDescent="0.15">
      <c r="A47" s="10" t="s">
        <v>36</v>
      </c>
      <c r="B47" s="13"/>
    </row>
    <row r="48" spans="1:2" s="6" customFormat="1" ht="56" x14ac:dyDescent="0.15">
      <c r="A48" s="24" t="s">
        <v>37</v>
      </c>
      <c r="B48" s="13">
        <v>1</v>
      </c>
    </row>
    <row r="49" spans="1:2" s="6" customFormat="1" ht="28" x14ac:dyDescent="0.15">
      <c r="A49" s="24" t="s">
        <v>38</v>
      </c>
      <c r="B49" s="13">
        <v>4.25</v>
      </c>
    </row>
    <row r="50" spans="1:2" s="6" customFormat="1" ht="15.75" customHeight="1" x14ac:dyDescent="0.15">
      <c r="A50" s="8" t="s">
        <v>4</v>
      </c>
      <c r="B50" s="9">
        <f>SUM(B48:B49)</f>
        <v>5.25</v>
      </c>
    </row>
    <row r="51" spans="1:2" s="6" customFormat="1" ht="16.5" customHeight="1" x14ac:dyDescent="0.15">
      <c r="A51" s="26"/>
      <c r="B51" s="27"/>
    </row>
    <row r="52" spans="1:2" s="6" customFormat="1" ht="16.5" customHeight="1" thickBot="1" x14ac:dyDescent="0.2">
      <c r="A52" s="28" t="s">
        <v>39</v>
      </c>
      <c r="B52" s="29">
        <f>SUM(B50+B41+B35+B31+B24+B45)</f>
        <v>70.75</v>
      </c>
    </row>
    <row r="53" spans="1:2" s="6" customFormat="1" ht="16.5" customHeight="1" thickBot="1" x14ac:dyDescent="0.2">
      <c r="A53" s="30" t="s">
        <v>40</v>
      </c>
      <c r="B53" s="31">
        <v>8.5</v>
      </c>
    </row>
    <row r="54" spans="1:2" ht="15.75" customHeight="1" x14ac:dyDescent="0.2">
      <c r="A54" s="6"/>
      <c r="B54" s="6"/>
    </row>
    <row r="55" spans="1:2" s="34" customFormat="1" ht="15.75" customHeight="1" x14ac:dyDescent="0.2">
      <c r="A55" s="32" t="s">
        <v>41</v>
      </c>
      <c r="B55" s="33"/>
    </row>
    <row r="56" spans="1:2" ht="15.75" customHeight="1" x14ac:dyDescent="0.2">
      <c r="A56" s="6"/>
      <c r="B56" s="6"/>
    </row>
    <row r="57" spans="1:2" ht="15.75" customHeight="1" x14ac:dyDescent="0.2">
      <c r="A57" s="6"/>
      <c r="B57" s="6"/>
    </row>
    <row r="58" spans="1:2" ht="15.75" customHeight="1" x14ac:dyDescent="0.2">
      <c r="B58" s="6"/>
    </row>
    <row r="59" spans="1:2" ht="15.75" customHeight="1" x14ac:dyDescent="0.2">
      <c r="A59" s="6"/>
      <c r="B59" s="6"/>
    </row>
    <row r="60" spans="1:2" ht="15.75" customHeight="1" x14ac:dyDescent="0.2">
      <c r="A60" s="6"/>
      <c r="B60" s="6"/>
    </row>
    <row r="61" spans="1:2" ht="15.75" customHeight="1" x14ac:dyDescent="0.2">
      <c r="A61" s="6"/>
      <c r="B61" s="6"/>
    </row>
    <row r="62" spans="1:2" ht="15.75" customHeight="1" x14ac:dyDescent="0.2">
      <c r="A62" s="6"/>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sheetData>
  <hyperlinks>
    <hyperlink ref="A2" r:id="rId1" xr:uid="{5D6D6103-1F95-9448-BD25-C29F2475DB0F}"/>
    <hyperlink ref="A55" r:id="rId2" display="https://www.thoxan.com/kontakt/" xr:uid="{D3D74602-72DC-BE4A-A07C-BD9DDAB39F1B}"/>
    <hyperlink ref="A15" r:id="rId3" xr:uid="{6F9A91A3-1692-4141-B9E4-04DDCCF0CBAC}"/>
    <hyperlink ref="A16" r:id="rId4" xr:uid="{C2DEBD5E-BBD6-8540-8AAA-D808ACF843D7}"/>
    <hyperlink ref="A17" r:id="rId5" xr:uid="{EC534E67-B391-6C4D-A244-067C23559960}"/>
    <hyperlink ref="A18" r:id="rId6" xr:uid="{0F72759D-5437-DA43-8328-BB1AE8ADF116}"/>
    <hyperlink ref="A19" r:id="rId7" xr:uid="{A9B659D7-8E5C-884E-A944-3C8E3525AE8D}"/>
    <hyperlink ref="A20" r:id="rId8" xr:uid="{4A2C34F8-88C7-584E-9E7C-3488F1A3ECE5}"/>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2023-10-30T17:40:28Z</dcterms:created>
  <dcterms:modified xsi:type="dcterms:W3CDTF">2023-10-30T17:42:52Z</dcterms:modified>
</cp:coreProperties>
</file>