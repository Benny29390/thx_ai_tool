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Volumes/G-RAID Studio/Zoho WorkDrive (thoxan)/THOXAN GMBH/REPORTINGS/2023-12/"/>
    </mc:Choice>
  </mc:AlternateContent>
  <xr:revisionPtr revIDLastSave="0" documentId="13_ncr:1_{F116FFC8-EAC0-BC41-8B8A-38144D9DCF8A}" xr6:coauthVersionLast="47" xr6:coauthVersionMax="47" xr10:uidLastSave="{00000000-0000-0000-0000-000000000000}"/>
  <bookViews>
    <workbookView xWindow="5320" yWindow="500" windowWidth="35920" windowHeight="25180" xr2:uid="{1060350C-7540-0548-9FF5-8EC89A18E03C}"/>
  </bookViews>
  <sheets>
    <sheet name="BK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 i="1" l="1"/>
  <c r="B46" i="1"/>
  <c r="B42" i="1"/>
  <c r="B34" i="1"/>
  <c r="B30" i="1"/>
  <c r="B20" i="1"/>
  <c r="B52" i="1" l="1"/>
</calcChain>
</file>

<file path=xl/sharedStrings.xml><?xml version="1.0" encoding="utf-8"?>
<sst xmlns="http://schemas.openxmlformats.org/spreadsheetml/2006/main" count="49" uniqueCount="43">
  <si>
    <t>BKK GILDEMEISTER SEIDENSTICKER</t>
  </si>
  <si>
    <t>Nov / Dez.2023</t>
  </si>
  <si>
    <t>www.bkkgs.de</t>
  </si>
  <si>
    <t>Monatliche Optimierung</t>
  </si>
  <si>
    <t>Aufwand ca. in Std.</t>
  </si>
  <si>
    <t>1. Linkaufbau, Online-PR</t>
  </si>
  <si>
    <t>Textarbeiten (Gastartikel): Briefing und Recherche, Texterstellung für Gastbeitrag auf myhint.de, Lektorat, Abstimmung und Vorbereitung zur Veröffentlichung (02.11., EXT, TKI)</t>
  </si>
  <si>
    <t>Textarbeiten (Gastartikel): Briefing und Recherche, Texterstellung für Gastbeitrag auf portal-der-haut.de, Lektorat, Abstimmung und Vorbereitung zur Veröffentlichung (02.11, EXT, TKI)</t>
  </si>
  <si>
    <t>Textarbeiten (Gastartikel): Briefing und Recherche, Texterstellung für Gastbeitrag auf achtung-schlaganfall.de, Lektorat, Abstimmung und Vorbereitung zur Veröffentlichung (02.11., EXT, TKI)</t>
  </si>
  <si>
    <t>Textarbeiten (Gastartikel): Briefing und Recherche, Texterstellung für Gastbeitrag auf feetastic.de, Lektorat, Abstimmung und Vorbereitung zur Veröffentlichung (23.11, EXT, TKI)</t>
  </si>
  <si>
    <t>Textarbeiten (Gastartikel): Briefing und Recherche, Texterstellung für Gastbeitrag auf portal-der-kinder.de, Lektorat, Abstimmung und Vorbereitung zur Veröffentlichung (24.11., EXT, TKI)</t>
  </si>
  <si>
    <t>Textarbeiten (Gastartikel): Briefing und Recherche, Texterstellung für Gastbeitrag auf happyeltern.de, Lektorat, Abstimmung und Vorbereitung zur Veröffentlichung (24.11., EXT, TKI)</t>
  </si>
  <si>
    <t>Linkaufbau-Organisation und Abstimmung mit den Seitenbetreibern zur Veröffentlichung der vorbereiteten Gastartikel, Prüfung der Link-Integration, Abrechnung der Linkaufbau-Auslagen, Abstimmung und Dokumentation (15.11.-31.12., TKI)</t>
  </si>
  <si>
    <t>https://parks.myhint.de/outdoor-spiele-fuer-die-ganze-familie/</t>
  </si>
  <si>
    <t>https://www.achtung-schlaganfall.de/schlaganfall-tipps/</t>
  </si>
  <si>
    <t>https://www.portal-der-haut.de/hautgesundheit/news/ 20231123/hautkrebsvorsorge-alle-zwei-jahre-kostenlos.html</t>
  </si>
  <si>
    <t>https://www.feetastic.de/gesundheit/orthopaedie/artikel/fussgesundheit-bedeutung</t>
  </si>
  <si>
    <t>https://www.portal-der-kinder.de/aktuelles/20231211/gruenes-heft-zusaetzliche-vorsorgeuntersuchungen.html</t>
  </si>
  <si>
    <t>https://happyeltern.de/schwangerschaftsvorsorge-bei-der-hebamme-so-begleitet-sie-durch-die-zeit-vor-der-geburt/</t>
  </si>
  <si>
    <t>Link-Monitoring: Neue Verlinkungen aus Link-Tools der letzten 30 Tage überprüft, einzeln bewertet (monatlich ca. 0,25 Std., TKI)</t>
  </si>
  <si>
    <t>2. Website- und Redaktionelle Arbeiten</t>
  </si>
  <si>
    <t>Textarbeiten "Auslandskrankenversicherung": Abstimmung, Briefing und inhaltliche Konzeption, Recherche und Zusammentragen der Informationen, Texterstellung, Keyword-Optimierung nach WDF*IDF, Ergänzungen und kl. Anpassungen, Lektorat und finale Bearbeitung, Versand an Kunden und Dokumentation (09.-17.11., GBO, TKI)</t>
  </si>
  <si>
    <t>"Recherche und Konzeption für den Textaufbau und das Zusammenführen von mehreren Unterseiten zum Thema "Betriebliches Gesundheitsmanagement", Abstimmung und Dokumentation (21.-30.11., GBO, TKI)</t>
  </si>
  <si>
    <t>Textarbeiten "Zusatzversicherungen": Abstimmung, Briefing und inhaltliche Konzeption, Recherche und Zusammentragen der Informationen, Texterstellung, Keyword-Optimierung nach WDF*IDF, Ergänzungen und kl. Anpassungen, Lektorat und finale Bearbeitung, Versand an Kunden und Dokumentation (08.-12.12., GBO, TKI)</t>
  </si>
  <si>
    <t>Textkorrektur "Unfallfragebogen": Abstimmung und Durchsicht der Änderungswünsche, Inhaltliche Bearbeitung des Textes inkl. Umsetzung möglicher Ergänzungen (ggf. Umstrukturierung oder Texterweiterung), Durchsicht der Texte und finale Bearbeitung, Vorbereitung und Übergabe zum Einpflegen auf der Website (06.12., GBO, TKI)</t>
  </si>
  <si>
    <t>Textkorrektur "Arbeitsunfall": Abstimmung und Durchsicht der Änderungswünsche, Inhaltliche Bearbeitung des Textes inkl. Umsetzung möglicher Ergänzungen (ggf. Umstrukturierung oder Texterweiterung), Durchsicht der Texte und finale Bearbeitung, Vorbereitung und Übergabe zum Einpflegen auf der Website (06.12., GBO, TKI)</t>
  </si>
  <si>
    <t>Textkorrektur "Unfallversicherung": Abstimmung und Durchsicht der Änderungswünsche, Inhaltliche Bearbeitung des Textes inkl. Umsetzung möglicher Ergänzungen (ggf. Umstrukturierung oder Texterweiterung), Durchsicht der Texte und finale Bearbeitung, Vorbereitung und Übergabe zum Einpflegen auf der Website (06.12., GBO, TKI)</t>
  </si>
  <si>
    <t>Erstellen eines Seitenaufbau-Vorschlags für die neue Unterseite "Gesund werden", inklusive Recherche intern/extern, Kommunikation, Dokumentation
(14.12., GBO, TKI)</t>
  </si>
  <si>
    <t>3. Technische Arbeiten, Onpage-Optimierung, ggf. Programmierung</t>
  </si>
  <si>
    <t>Weitere Abstimmung und Überprüfung der Maßnahmen und der technischen Anpassungen von move:elevator, siehe Ticket-Dokumentation – Ladezeit-Optimierung, W3C-Validierung, etc. (01.11.-20.12., TKI)</t>
  </si>
  <si>
    <t>4. Google Ads, Monitoring</t>
  </si>
  <si>
    <t>Recherche und Ermittlung von 80 gemessenen Conversions, Konzeption des Umbaus für Matomo-Integration, Abstimmung und Dokumentation (13.-17.11., JST, DHE, TKI)</t>
  </si>
  <si>
    <t>Tracking Kurz-OME / Mitglied-werden anpassen, mehrmalige Abstimmung und Dokumentation (09.-15.11., 04.12., JST, TKI)</t>
  </si>
  <si>
    <t>Google Ads (Erweiterung bzw. Umbau mit neuen Motiven): Abstimmung, Einrichtung weiterer Google Ads Kampagnen für verschiedene Themen, Anzeigengruppen erstellt, Keywords recherchiert und hinzugefügt, Anzeigentexte für die verschiedenen Kampagnen erstellt, Anzeigenerweiterungen und Sitelinks erstellt, Zielgruppen sowie weiteres Bildmaterial fürs Remarketing hinzugefügt, Budgets angepasst, weitere kl. Anpassungen im Google Ads Konto, Dokumentation und Abstimmung (23.-24.11., JST, DHE, TKI)</t>
  </si>
  <si>
    <t>Tracking für neuen Empfehlungslink in Google Tag Manager und Matomo eingerichtet (12.12., JST, DHE)</t>
  </si>
  <si>
    <t>Fortlaufendes Monitoring der eingerichteten Kampagnen und Anzeigengruppen, Anlegen weiterer Anzeigengruppen mit div. Keywords lt. Cluster-Auswahl, Texten von Anzeigen, Ergänzung und Ausschluss von passenden / unpassenden Keywords, kl. Änderungen, Auswertung jeweils zum Monatsende (01.11.-31.12., DHE, JST, TKI)</t>
  </si>
  <si>
    <t>5. Auswertung und Maßnahmenplanung, Workshops</t>
  </si>
  <si>
    <t>Workshop: Inhaltliche Vorbereitung und Durchführung eines Workshops zum Thema Marketing-Automation, Planung der Agenda, Recherche und Durchsicht früherer Präsentationen bzw. Auswertungen, Aufbereiten als Präsentation, Klären von div. Fragen, Abstimmung und weitere Planung, von 14:00 bis 15:00 Uhr, anschließende Dokumentation und interne Abstimmung (14.11., TKI)</t>
  </si>
  <si>
    <t>6. Beratung &amp; Sonstiges</t>
  </si>
  <si>
    <t>Organisation, Planung, Überwachung und Steuerung der Aufgaben und Ressourcen (pro Tagessatz ca. 0,5 Std., TKI)</t>
  </si>
  <si>
    <t>Aufwand ca. insgesamt in Std.</t>
  </si>
  <si>
    <t>Aufwand in Tagessätzen</t>
  </si>
  <si>
    <t>Noch Rückfragen? Kontakt zur Thoxan Communications GmbH unter https://www.thoxan.com/kontakt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</si>
</sst>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font>
    <font>
      <b/>
      <sz val="16"/>
      <color theme="1"/>
      <name val="Arial"/>
      <family val="2"/>
    </font>
    <font>
      <sz val="12"/>
      <color theme="1"/>
      <name val="Arial"/>
      <family val="2"/>
    </font>
    <font>
      <b/>
      <sz val="10"/>
      <color theme="1"/>
      <name val="Arial"/>
      <family val="2"/>
    </font>
    <font>
      <u/>
      <sz val="10"/>
      <color theme="10"/>
      <name val="Arial"/>
      <family val="2"/>
    </font>
    <font>
      <sz val="10"/>
      <color theme="1"/>
      <name val="Arial"/>
      <family val="2"/>
    </font>
    <font>
      <u/>
      <sz val="12"/>
      <color theme="10"/>
      <name val="Calibri"/>
      <family val="2"/>
    </font>
    <font>
      <sz val="10"/>
      <color rgb="FF000000"/>
      <name val="Arial"/>
      <family val="2"/>
    </font>
    <font>
      <sz val="10"/>
      <color theme="0" tint="-0.499984740745262"/>
      <name val="Arial"/>
      <family val="2"/>
    </font>
    <font>
      <sz val="10"/>
      <color theme="3"/>
      <name val="Arial"/>
      <family val="2"/>
    </font>
    <font>
      <sz val="10.5"/>
      <color theme="1"/>
      <name val="Arial"/>
      <family val="2"/>
    </font>
    <font>
      <sz val="10.5"/>
      <color theme="1"/>
      <name val="Calibri"/>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29">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0" fontId="4" fillId="0" borderId="0" xfId="0" applyFont="1"/>
    <xf numFmtId="49" fontId="5" fillId="0" borderId="0" xfId="0" applyNumberFormat="1" applyFont="1" applyAlignment="1">
      <alignment horizontal="right"/>
    </xf>
    <xf numFmtId="0" fontId="5" fillId="0" borderId="0" xfId="0" applyFont="1"/>
    <xf numFmtId="0" fontId="5" fillId="0" borderId="1" xfId="0" applyFont="1" applyBorder="1"/>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3" fillId="0" borderId="1" xfId="0" applyFont="1" applyBorder="1"/>
    <xf numFmtId="0" fontId="3" fillId="0" borderId="1" xfId="0" applyFont="1" applyBorder="1" applyAlignment="1">
      <alignment horizontal="center"/>
    </xf>
    <xf numFmtId="0" fontId="5" fillId="0" borderId="1" xfId="0" applyFont="1" applyBorder="1" applyAlignment="1">
      <alignment vertical="top" wrapText="1"/>
    </xf>
    <xf numFmtId="0" fontId="5" fillId="0" borderId="1" xfId="0" applyFont="1" applyBorder="1" applyAlignment="1">
      <alignment horizontal="center" vertical="center"/>
    </xf>
    <xf numFmtId="0" fontId="4" fillId="0" borderId="1" xfId="1" applyFont="1" applyBorder="1" applyAlignment="1">
      <alignment vertical="center" wrapText="1"/>
    </xf>
    <xf numFmtId="0" fontId="5" fillId="3" borderId="1" xfId="0" applyFont="1" applyFill="1" applyBorder="1" applyAlignment="1">
      <alignment horizontal="center" vertical="center" wrapText="1"/>
    </xf>
    <xf numFmtId="0" fontId="9" fillId="0" borderId="0" xfId="0" applyFont="1"/>
    <xf numFmtId="0" fontId="5" fillId="3" borderId="1" xfId="0" applyFont="1" applyFill="1" applyBorder="1" applyAlignment="1">
      <alignment vertical="top" wrapText="1"/>
    </xf>
    <xf numFmtId="0" fontId="5" fillId="3" borderId="1" xfId="0" applyFont="1" applyFill="1" applyBorder="1" applyAlignment="1">
      <alignment vertical="center"/>
    </xf>
    <xf numFmtId="0" fontId="3" fillId="3" borderId="1" xfId="0" applyFont="1" applyFill="1" applyBorder="1" applyAlignment="1">
      <alignment horizontal="center" vertical="center"/>
    </xf>
    <xf numFmtId="0" fontId="5" fillId="2" borderId="2" xfId="0" applyFont="1" applyFill="1" applyBorder="1" applyAlignment="1">
      <alignment vertical="center"/>
    </xf>
    <xf numFmtId="0" fontId="3" fillId="2" borderId="3" xfId="0" applyFont="1" applyFill="1" applyBorder="1" applyAlignment="1">
      <alignment horizontal="center" vertical="center"/>
    </xf>
    <xf numFmtId="0" fontId="5" fillId="2" borderId="4" xfId="0" applyFont="1" applyFill="1" applyBorder="1" applyAlignment="1">
      <alignment vertical="center"/>
    </xf>
    <xf numFmtId="0" fontId="3" fillId="2" borderId="5" xfId="0" applyFont="1" applyFill="1" applyBorder="1" applyAlignment="1">
      <alignment horizontal="center" vertical="center"/>
    </xf>
    <xf numFmtId="0" fontId="8" fillId="0" borderId="0" xfId="1" applyFont="1"/>
    <xf numFmtId="0" fontId="10" fillId="0" borderId="0" xfId="0" applyFont="1"/>
    <xf numFmtId="0" fontId="11" fillId="0" borderId="0" xfId="0" applyFont="1"/>
    <xf numFmtId="0" fontId="7" fillId="0" borderId="1" xfId="0" applyFont="1" applyBorder="1" applyAlignment="1" applyProtection="1">
      <alignment vertical="top" wrapText="1"/>
      <protection locked="0"/>
    </xf>
    <xf numFmtId="0" fontId="5" fillId="0" borderId="1" xfId="0" applyFont="1" applyBorder="1" applyAlignment="1">
      <alignment vertical="center"/>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happyeltern.de/schwangerschaftsvorsorge-bei-der-hebamme-so-begleitet-sie-durch-die-zeit-vor-der-geburt/" TargetMode="External"/><Relationship Id="rId3" Type="http://schemas.openxmlformats.org/officeDocument/2006/relationships/hyperlink" Target="https://parks.myhint.de/outdoor-spiele-fuer-die-ganze-familie/" TargetMode="External"/><Relationship Id="rId7" Type="http://schemas.openxmlformats.org/officeDocument/2006/relationships/hyperlink" Target="https://www.feetastic.de/gesundheit/orthopaedie/artikel/fussgesundheit-bedeutung" TargetMode="External"/><Relationship Id="rId2" Type="http://schemas.openxmlformats.org/officeDocument/2006/relationships/hyperlink" Target="https://www.thoxan.com/kontakt/" TargetMode="External"/><Relationship Id="rId1" Type="http://schemas.openxmlformats.org/officeDocument/2006/relationships/hyperlink" Target="http://www.bkkgs.de/" TargetMode="External"/><Relationship Id="rId6" Type="http://schemas.openxmlformats.org/officeDocument/2006/relationships/hyperlink" Target="https://www.portal-der-kinder.de/aktuelles/20231211/gruenes-heft-zusaetzliche-vorsorgeuntersuchungen.html" TargetMode="External"/><Relationship Id="rId5" Type="http://schemas.openxmlformats.org/officeDocument/2006/relationships/hyperlink" Target="https://www.portal-der-haut.de/hautgesundheit/news/%2020231123/hautkrebsvorsorge-alle-zwei-jahre-kostenlos.html" TargetMode="External"/><Relationship Id="rId4" Type="http://schemas.openxmlformats.org/officeDocument/2006/relationships/hyperlink" Target="https://www.achtung-schlaganfall.de/schlaganfall-tipp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CA131-221E-7A4D-8306-AC3A95F8604E}">
  <dimension ref="A1:B1011"/>
  <sheetViews>
    <sheetView tabSelected="1" zoomScale="150" zoomScaleNormal="150" workbookViewId="0">
      <pane ySplit="4" topLeftCell="A5" activePane="bottomLeft" state="frozen"/>
      <selection pane="bottomLeft" activeCell="A45" sqref="A45"/>
    </sheetView>
  </sheetViews>
  <sheetFormatPr baseColWidth="10" defaultColWidth="11.1640625" defaultRowHeight="15" customHeight="1" x14ac:dyDescent="0.2"/>
  <cols>
    <col min="1" max="1" width="57.5" customWidth="1"/>
    <col min="2" max="2" width="23" customWidth="1"/>
  </cols>
  <sheetData>
    <row r="1" spans="1:2" ht="19.5" customHeight="1" x14ac:dyDescent="0.2">
      <c r="A1" s="1" t="s">
        <v>0</v>
      </c>
      <c r="B1" s="2" t="s">
        <v>1</v>
      </c>
    </row>
    <row r="2" spans="1:2" ht="15.75" customHeight="1" x14ac:dyDescent="0.2">
      <c r="A2" s="4" t="s">
        <v>2</v>
      </c>
      <c r="B2" s="5" t="s">
        <v>3</v>
      </c>
    </row>
    <row r="3" spans="1:2" ht="15.75" customHeight="1" x14ac:dyDescent="0.2">
      <c r="A3" s="4"/>
      <c r="B3" s="6"/>
    </row>
    <row r="4" spans="1:2" s="6" customFormat="1" ht="15.75" customHeight="1" x14ac:dyDescent="0.15">
      <c r="A4" s="7"/>
      <c r="B4" s="8" t="s">
        <v>4</v>
      </c>
    </row>
    <row r="5" spans="1:2" s="6" customFormat="1" ht="15.75" customHeight="1" x14ac:dyDescent="0.15">
      <c r="A5" s="10" t="s">
        <v>5</v>
      </c>
      <c r="B5" s="11"/>
    </row>
    <row r="6" spans="1:2" ht="42" x14ac:dyDescent="0.2">
      <c r="A6" s="12" t="s">
        <v>6</v>
      </c>
      <c r="B6" s="13">
        <v>3.5</v>
      </c>
    </row>
    <row r="7" spans="1:2" ht="42" x14ac:dyDescent="0.2">
      <c r="A7" s="12" t="s">
        <v>7</v>
      </c>
      <c r="B7" s="13">
        <v>3</v>
      </c>
    </row>
    <row r="8" spans="1:2" ht="42" x14ac:dyDescent="0.2">
      <c r="A8" s="12" t="s">
        <v>8</v>
      </c>
      <c r="B8" s="13">
        <v>3</v>
      </c>
    </row>
    <row r="9" spans="1:2" ht="42" x14ac:dyDescent="0.2">
      <c r="A9" s="12" t="s">
        <v>9</v>
      </c>
      <c r="B9" s="13">
        <v>3</v>
      </c>
    </row>
    <row r="10" spans="1:2" ht="42" x14ac:dyDescent="0.2">
      <c r="A10" s="12" t="s">
        <v>10</v>
      </c>
      <c r="B10" s="13">
        <v>3</v>
      </c>
    </row>
    <row r="11" spans="1:2" ht="42" x14ac:dyDescent="0.2">
      <c r="A11" s="12" t="s">
        <v>11</v>
      </c>
      <c r="B11" s="13">
        <v>3</v>
      </c>
    </row>
    <row r="12" spans="1:2" s="6" customFormat="1" ht="56" x14ac:dyDescent="0.15">
      <c r="A12" s="12" t="s">
        <v>12</v>
      </c>
      <c r="B12" s="13">
        <v>3.5</v>
      </c>
    </row>
    <row r="13" spans="1:2" s="6" customFormat="1" ht="14" x14ac:dyDescent="0.15">
      <c r="A13" s="14" t="s">
        <v>13</v>
      </c>
      <c r="B13" s="13"/>
    </row>
    <row r="14" spans="1:2" s="6" customFormat="1" ht="14" x14ac:dyDescent="0.15">
      <c r="A14" s="14" t="s">
        <v>14</v>
      </c>
      <c r="B14" s="13"/>
    </row>
    <row r="15" spans="1:2" s="6" customFormat="1" ht="28" x14ac:dyDescent="0.15">
      <c r="A15" s="14" t="s">
        <v>15</v>
      </c>
      <c r="B15" s="13"/>
    </row>
    <row r="16" spans="1:2" s="6" customFormat="1" ht="28" x14ac:dyDescent="0.15">
      <c r="A16" s="14" t="s">
        <v>16</v>
      </c>
      <c r="B16" s="13"/>
    </row>
    <row r="17" spans="1:2" s="6" customFormat="1" ht="28" x14ac:dyDescent="0.15">
      <c r="A17" s="14" t="s">
        <v>17</v>
      </c>
      <c r="B17" s="13"/>
    </row>
    <row r="18" spans="1:2" s="6" customFormat="1" ht="28" x14ac:dyDescent="0.15">
      <c r="A18" s="14" t="s">
        <v>18</v>
      </c>
      <c r="B18" s="13"/>
    </row>
    <row r="19" spans="1:2" s="6" customFormat="1" ht="27.75" customHeight="1" x14ac:dyDescent="0.15">
      <c r="A19" s="12" t="s">
        <v>19</v>
      </c>
      <c r="B19" s="13">
        <v>0.5</v>
      </c>
    </row>
    <row r="20" spans="1:2" s="6" customFormat="1" ht="15.75" customHeight="1" x14ac:dyDescent="0.15">
      <c r="A20" s="8" t="s">
        <v>4</v>
      </c>
      <c r="B20" s="9">
        <f>SUM(B6:B19)</f>
        <v>22.5</v>
      </c>
    </row>
    <row r="21" spans="1:2" s="6" customFormat="1" ht="15.75" customHeight="1" x14ac:dyDescent="0.15">
      <c r="A21" s="7"/>
      <c r="B21" s="13"/>
    </row>
    <row r="22" spans="1:2" s="6" customFormat="1" ht="15.75" customHeight="1" x14ac:dyDescent="0.15">
      <c r="A22" s="10" t="s">
        <v>20</v>
      </c>
      <c r="B22" s="13"/>
    </row>
    <row r="23" spans="1:2" s="6" customFormat="1" ht="70" x14ac:dyDescent="0.15">
      <c r="A23" s="12" t="s">
        <v>21</v>
      </c>
      <c r="B23" s="13">
        <v>10</v>
      </c>
    </row>
    <row r="24" spans="1:2" s="6" customFormat="1" ht="56" x14ac:dyDescent="0.15">
      <c r="A24" s="12" t="s">
        <v>22</v>
      </c>
      <c r="B24" s="13">
        <v>1.5</v>
      </c>
    </row>
    <row r="25" spans="1:2" s="6" customFormat="1" ht="70" x14ac:dyDescent="0.15">
      <c r="A25" s="12" t="s">
        <v>23</v>
      </c>
      <c r="B25" s="13">
        <v>9</v>
      </c>
    </row>
    <row r="26" spans="1:2" s="6" customFormat="1" ht="76" customHeight="1" x14ac:dyDescent="0.15">
      <c r="A26" s="12" t="s">
        <v>24</v>
      </c>
      <c r="B26" s="13">
        <v>1.25</v>
      </c>
    </row>
    <row r="27" spans="1:2" s="6" customFormat="1" ht="76" customHeight="1" x14ac:dyDescent="0.15">
      <c r="A27" s="12" t="s">
        <v>25</v>
      </c>
      <c r="B27" s="13">
        <v>1</v>
      </c>
    </row>
    <row r="28" spans="1:2" s="6" customFormat="1" ht="76" customHeight="1" x14ac:dyDescent="0.15">
      <c r="A28" s="12" t="s">
        <v>26</v>
      </c>
      <c r="B28" s="13">
        <v>1</v>
      </c>
    </row>
    <row r="29" spans="1:2" s="6" customFormat="1" ht="56" x14ac:dyDescent="0.15">
      <c r="A29" s="27" t="s">
        <v>27</v>
      </c>
      <c r="B29" s="13">
        <v>0.75</v>
      </c>
    </row>
    <row r="30" spans="1:2" s="6" customFormat="1" ht="15.75" customHeight="1" x14ac:dyDescent="0.15">
      <c r="A30" s="8" t="s">
        <v>4</v>
      </c>
      <c r="B30" s="9">
        <f>SUM(B23:B29)</f>
        <v>24.5</v>
      </c>
    </row>
    <row r="31" spans="1:2" s="6" customFormat="1" ht="15.75" customHeight="1" x14ac:dyDescent="0.15">
      <c r="A31" s="28"/>
      <c r="B31" s="13"/>
    </row>
    <row r="32" spans="1:2" s="6" customFormat="1" ht="15.75" customHeight="1" x14ac:dyDescent="0.15">
      <c r="A32" s="10" t="s">
        <v>28</v>
      </c>
      <c r="B32" s="13"/>
    </row>
    <row r="33" spans="1:2" s="6" customFormat="1" ht="50" customHeight="1" x14ac:dyDescent="0.15">
      <c r="A33" s="12" t="s">
        <v>29</v>
      </c>
      <c r="B33" s="13">
        <v>2</v>
      </c>
    </row>
    <row r="34" spans="1:2" s="6" customFormat="1" ht="15.75" customHeight="1" x14ac:dyDescent="0.15">
      <c r="A34" s="8" t="s">
        <v>4</v>
      </c>
      <c r="B34" s="9">
        <f>SUM(B33:B33)</f>
        <v>2</v>
      </c>
    </row>
    <row r="35" spans="1:2" s="6" customFormat="1" ht="15.75" customHeight="1" x14ac:dyDescent="0.15">
      <c r="A35" s="28"/>
      <c r="B35" s="13"/>
    </row>
    <row r="36" spans="1:2" s="6" customFormat="1" ht="15.75" customHeight="1" x14ac:dyDescent="0.15">
      <c r="A36" s="10" t="s">
        <v>30</v>
      </c>
      <c r="B36" s="13"/>
    </row>
    <row r="37" spans="1:2" s="6" customFormat="1" ht="42" x14ac:dyDescent="0.15">
      <c r="A37" s="12" t="s">
        <v>31</v>
      </c>
      <c r="B37" s="13">
        <v>2.5</v>
      </c>
    </row>
    <row r="38" spans="1:2" s="6" customFormat="1" ht="28" x14ac:dyDescent="0.15">
      <c r="A38" s="12" t="s">
        <v>32</v>
      </c>
      <c r="B38" s="13">
        <v>3.25</v>
      </c>
    </row>
    <row r="39" spans="1:2" s="6" customFormat="1" ht="112" x14ac:dyDescent="0.15">
      <c r="A39" s="12" t="s">
        <v>33</v>
      </c>
      <c r="B39" s="13">
        <v>2.5</v>
      </c>
    </row>
    <row r="40" spans="1:2" s="6" customFormat="1" ht="28" x14ac:dyDescent="0.15">
      <c r="A40" s="12" t="s">
        <v>34</v>
      </c>
      <c r="B40" s="13">
        <v>0.25</v>
      </c>
    </row>
    <row r="41" spans="1:2" s="6" customFormat="1" ht="71" customHeight="1" x14ac:dyDescent="0.15">
      <c r="A41" s="12" t="s">
        <v>35</v>
      </c>
      <c r="B41" s="13">
        <v>6</v>
      </c>
    </row>
    <row r="42" spans="1:2" s="6" customFormat="1" ht="15.75" customHeight="1" x14ac:dyDescent="0.15">
      <c r="A42" s="8" t="s">
        <v>4</v>
      </c>
      <c r="B42" s="9">
        <f>SUM(B37:B41)</f>
        <v>14.5</v>
      </c>
    </row>
    <row r="43" spans="1:2" s="6" customFormat="1" ht="15.75" customHeight="1" x14ac:dyDescent="0.15">
      <c r="A43" s="28"/>
      <c r="B43" s="13"/>
    </row>
    <row r="44" spans="1:2" s="6" customFormat="1" ht="15.75" customHeight="1" x14ac:dyDescent="0.15">
      <c r="A44" s="10" t="s">
        <v>36</v>
      </c>
      <c r="B44" s="13"/>
    </row>
    <row r="45" spans="1:2" s="16" customFormat="1" ht="83" customHeight="1" x14ac:dyDescent="0.15">
      <c r="A45" s="17" t="s">
        <v>37</v>
      </c>
      <c r="B45" s="15">
        <v>1.5</v>
      </c>
    </row>
    <row r="46" spans="1:2" s="6" customFormat="1" ht="15.75" customHeight="1" x14ac:dyDescent="0.15">
      <c r="A46" s="8" t="s">
        <v>4</v>
      </c>
      <c r="B46" s="9">
        <f>SUM(B44:B45)</f>
        <v>1.5</v>
      </c>
    </row>
    <row r="47" spans="1:2" s="6" customFormat="1" ht="15.75" customHeight="1" x14ac:dyDescent="0.15">
      <c r="A47" s="28"/>
      <c r="B47" s="13"/>
    </row>
    <row r="48" spans="1:2" s="6" customFormat="1" ht="15.75" customHeight="1" x14ac:dyDescent="0.15">
      <c r="A48" s="10" t="s">
        <v>38</v>
      </c>
      <c r="B48" s="13"/>
    </row>
    <row r="49" spans="1:2" s="6" customFormat="1" ht="28" x14ac:dyDescent="0.15">
      <c r="A49" s="17" t="s">
        <v>39</v>
      </c>
      <c r="B49" s="13">
        <v>4.25</v>
      </c>
    </row>
    <row r="50" spans="1:2" s="6" customFormat="1" ht="15.75" customHeight="1" x14ac:dyDescent="0.15">
      <c r="A50" s="8" t="s">
        <v>4</v>
      </c>
      <c r="B50" s="9">
        <f>SUM(B49:B49)</f>
        <v>4.25</v>
      </c>
    </row>
    <row r="51" spans="1:2" s="6" customFormat="1" ht="16.5" customHeight="1" x14ac:dyDescent="0.15">
      <c r="A51" s="18"/>
      <c r="B51" s="19"/>
    </row>
    <row r="52" spans="1:2" s="6" customFormat="1" ht="16.5" customHeight="1" thickBot="1" x14ac:dyDescent="0.2">
      <c r="A52" s="20" t="s">
        <v>40</v>
      </c>
      <c r="B52" s="21">
        <f>SUM(B50+B42+B34+B30+B20+B46)</f>
        <v>69.25</v>
      </c>
    </row>
    <row r="53" spans="1:2" s="6" customFormat="1" ht="16.5" customHeight="1" thickBot="1" x14ac:dyDescent="0.2">
      <c r="A53" s="22" t="s">
        <v>41</v>
      </c>
      <c r="B53" s="23">
        <v>8.5</v>
      </c>
    </row>
    <row r="54" spans="1:2" ht="15.75" customHeight="1" x14ac:dyDescent="0.2">
      <c r="A54" s="6"/>
      <c r="B54" s="6"/>
    </row>
    <row r="55" spans="1:2" s="26" customFormat="1" ht="15.75" customHeight="1" x14ac:dyDescent="0.2">
      <c r="A55" s="24" t="s">
        <v>42</v>
      </c>
      <c r="B55" s="25"/>
    </row>
    <row r="56" spans="1:2" ht="15.75" customHeight="1" x14ac:dyDescent="0.2">
      <c r="A56" s="6"/>
      <c r="B56" s="6"/>
    </row>
    <row r="57" spans="1:2" ht="15.75" customHeight="1" x14ac:dyDescent="0.2">
      <c r="A57" s="6"/>
      <c r="B57" s="6"/>
    </row>
    <row r="58" spans="1:2" ht="15.75" customHeight="1" x14ac:dyDescent="0.2">
      <c r="B58" s="6"/>
    </row>
    <row r="59" spans="1:2" ht="15.75" customHeight="1" x14ac:dyDescent="0.2">
      <c r="A59" s="6"/>
      <c r="B59" s="6"/>
    </row>
    <row r="60" spans="1:2" ht="15.75" customHeight="1" x14ac:dyDescent="0.2">
      <c r="A60" s="6"/>
      <c r="B60" s="6"/>
    </row>
    <row r="61" spans="1:2" ht="15.75" customHeight="1" x14ac:dyDescent="0.2">
      <c r="A61" s="6"/>
      <c r="B61" s="6"/>
    </row>
    <row r="62" spans="1:2" ht="15.75" customHeight="1" x14ac:dyDescent="0.2">
      <c r="A62" s="6"/>
      <c r="B62" s="6"/>
    </row>
    <row r="63" spans="1:2" ht="15.75" customHeight="1" x14ac:dyDescent="0.2">
      <c r="A63" s="6"/>
      <c r="B63" s="6"/>
    </row>
    <row r="64" spans="1:2" ht="15.75" customHeight="1" x14ac:dyDescent="0.2">
      <c r="A64" s="6"/>
      <c r="B64" s="6"/>
    </row>
    <row r="65" spans="1:2" ht="15.75" customHeight="1" x14ac:dyDescent="0.2">
      <c r="A65" s="6"/>
      <c r="B65" s="6"/>
    </row>
    <row r="66" spans="1:2" ht="15.75" customHeight="1" x14ac:dyDescent="0.2">
      <c r="A66" s="6"/>
      <c r="B66" s="6"/>
    </row>
    <row r="67" spans="1:2" ht="15.75" customHeight="1" x14ac:dyDescent="0.2">
      <c r="A67" s="6"/>
      <c r="B67" s="6"/>
    </row>
    <row r="68" spans="1:2" ht="15.75" customHeight="1" x14ac:dyDescent="0.2">
      <c r="A68" s="6"/>
      <c r="B68" s="6"/>
    </row>
    <row r="69" spans="1:2" ht="15.75" customHeight="1" x14ac:dyDescent="0.2">
      <c r="A69" s="6"/>
      <c r="B69" s="6"/>
    </row>
    <row r="70" spans="1:2" ht="15.75" customHeight="1" x14ac:dyDescent="0.2">
      <c r="A70" s="6"/>
      <c r="B70" s="6"/>
    </row>
    <row r="71" spans="1:2" ht="15.75" customHeight="1" x14ac:dyDescent="0.2">
      <c r="A71" s="6"/>
      <c r="B71" s="6"/>
    </row>
    <row r="72" spans="1:2" ht="15.75" customHeight="1" x14ac:dyDescent="0.2">
      <c r="A72" s="6"/>
      <c r="B72" s="6"/>
    </row>
    <row r="73" spans="1:2" ht="15.75" customHeight="1" x14ac:dyDescent="0.2">
      <c r="A73" s="6"/>
      <c r="B73" s="6"/>
    </row>
    <row r="74" spans="1:2" ht="15.75" customHeight="1" x14ac:dyDescent="0.2">
      <c r="A74" s="6"/>
      <c r="B74" s="6"/>
    </row>
    <row r="75" spans="1:2" ht="15.75" customHeight="1" x14ac:dyDescent="0.2">
      <c r="A75" s="6"/>
      <c r="B75" s="6"/>
    </row>
    <row r="76" spans="1:2" ht="15.75" customHeight="1" x14ac:dyDescent="0.2">
      <c r="A76" s="6"/>
      <c r="B76" s="6"/>
    </row>
    <row r="77" spans="1:2" ht="15.75" customHeight="1" x14ac:dyDescent="0.2">
      <c r="A77" s="6"/>
      <c r="B77" s="6"/>
    </row>
    <row r="78" spans="1:2" ht="15.75" customHeight="1" x14ac:dyDescent="0.2">
      <c r="A78" s="6"/>
      <c r="B78" s="6"/>
    </row>
    <row r="79" spans="1:2" ht="15.75" customHeight="1" x14ac:dyDescent="0.2">
      <c r="A79" s="6"/>
      <c r="B79" s="6"/>
    </row>
    <row r="80" spans="1:2" ht="15.75" customHeight="1" x14ac:dyDescent="0.2">
      <c r="A80" s="6"/>
      <c r="B80" s="6"/>
    </row>
    <row r="81" spans="1:2" ht="15.75" customHeight="1" x14ac:dyDescent="0.2">
      <c r="A81" s="6"/>
      <c r="B81" s="6"/>
    </row>
    <row r="82" spans="1:2" ht="15.75" customHeight="1" x14ac:dyDescent="0.2">
      <c r="A82" s="6"/>
      <c r="B82" s="6"/>
    </row>
    <row r="83" spans="1:2" ht="15.75" customHeight="1" x14ac:dyDescent="0.2">
      <c r="A83" s="6"/>
      <c r="B83" s="6"/>
    </row>
    <row r="84" spans="1:2" ht="15.75" customHeight="1" x14ac:dyDescent="0.2">
      <c r="A84" s="6"/>
      <c r="B84" s="6"/>
    </row>
    <row r="85" spans="1:2" ht="15.75" customHeight="1" x14ac:dyDescent="0.2">
      <c r="A85" s="6"/>
      <c r="B85" s="6"/>
    </row>
    <row r="86" spans="1:2" ht="15.75" customHeight="1" x14ac:dyDescent="0.2">
      <c r="A86" s="6"/>
      <c r="B86" s="6"/>
    </row>
    <row r="87" spans="1:2" ht="15.75" customHeight="1" x14ac:dyDescent="0.2">
      <c r="A87" s="6"/>
      <c r="B87" s="6"/>
    </row>
    <row r="88" spans="1:2" ht="15.75" customHeight="1" x14ac:dyDescent="0.2">
      <c r="A88" s="6"/>
      <c r="B88" s="6"/>
    </row>
    <row r="89" spans="1:2" ht="15.75" customHeight="1" x14ac:dyDescent="0.2">
      <c r="A89" s="6"/>
      <c r="B89" s="6"/>
    </row>
    <row r="90" spans="1:2" ht="15.75" customHeight="1" x14ac:dyDescent="0.2">
      <c r="A90" s="6"/>
      <c r="B90" s="6"/>
    </row>
    <row r="91" spans="1:2" ht="15.75" customHeight="1" x14ac:dyDescent="0.2">
      <c r="A91" s="6"/>
      <c r="B91" s="6"/>
    </row>
    <row r="92" spans="1:2" ht="15.75" customHeight="1" x14ac:dyDescent="0.2">
      <c r="A92" s="6"/>
      <c r="B92" s="6"/>
    </row>
    <row r="93" spans="1:2" ht="15.75" customHeight="1" x14ac:dyDescent="0.2">
      <c r="A93" s="6"/>
      <c r="B93" s="6"/>
    </row>
    <row r="94" spans="1:2" ht="15.75" customHeight="1" x14ac:dyDescent="0.2">
      <c r="A94" s="6"/>
      <c r="B94" s="6"/>
    </row>
    <row r="95" spans="1:2" ht="15.75" customHeight="1" x14ac:dyDescent="0.2">
      <c r="A95" s="6"/>
      <c r="B95" s="6"/>
    </row>
    <row r="96" spans="1:2" ht="15.75" customHeight="1" x14ac:dyDescent="0.2">
      <c r="A96" s="6"/>
      <c r="B96" s="6"/>
    </row>
    <row r="97" spans="1:2" ht="15.75" customHeight="1" x14ac:dyDescent="0.2">
      <c r="A97" s="6"/>
      <c r="B97" s="6"/>
    </row>
    <row r="98" spans="1:2" ht="15.75" customHeight="1" x14ac:dyDescent="0.2">
      <c r="A98" s="6"/>
      <c r="B98" s="6"/>
    </row>
    <row r="99" spans="1:2" ht="15.75" customHeight="1" x14ac:dyDescent="0.2">
      <c r="A99" s="6"/>
      <c r="B99" s="6"/>
    </row>
    <row r="100" spans="1:2" ht="15.75" customHeight="1" x14ac:dyDescent="0.2">
      <c r="A100" s="6"/>
      <c r="B100" s="6"/>
    </row>
    <row r="101" spans="1:2" ht="15.75" customHeight="1" x14ac:dyDescent="0.2">
      <c r="A101" s="6"/>
      <c r="B101" s="6"/>
    </row>
    <row r="102" spans="1:2" ht="15.75" customHeight="1" x14ac:dyDescent="0.2">
      <c r="A102" s="6"/>
      <c r="B102" s="6"/>
    </row>
    <row r="103" spans="1:2" ht="15.75" customHeight="1" x14ac:dyDescent="0.2">
      <c r="A103" s="6"/>
      <c r="B103" s="6"/>
    </row>
    <row r="104" spans="1:2" ht="15.75" customHeight="1" x14ac:dyDescent="0.2">
      <c r="A104" s="6"/>
      <c r="B104" s="6"/>
    </row>
    <row r="105" spans="1:2" ht="15.75" customHeight="1" x14ac:dyDescent="0.2">
      <c r="A105" s="6"/>
      <c r="B105" s="6"/>
    </row>
    <row r="106" spans="1:2" ht="15.75" customHeight="1" x14ac:dyDescent="0.2">
      <c r="A106" s="6"/>
      <c r="B106" s="6"/>
    </row>
    <row r="107" spans="1:2" ht="15.75" customHeight="1" x14ac:dyDescent="0.2">
      <c r="A107" s="6"/>
      <c r="B107" s="6"/>
    </row>
    <row r="108" spans="1:2" ht="15.75" customHeight="1" x14ac:dyDescent="0.2">
      <c r="A108" s="6"/>
      <c r="B108" s="6"/>
    </row>
    <row r="109" spans="1:2" ht="15.75" customHeight="1" x14ac:dyDescent="0.2">
      <c r="A109" s="6"/>
      <c r="B109" s="6"/>
    </row>
    <row r="110" spans="1:2" ht="15.75" customHeight="1" x14ac:dyDescent="0.2">
      <c r="A110" s="6"/>
      <c r="B110" s="6"/>
    </row>
    <row r="111" spans="1:2" ht="15.75" customHeight="1" x14ac:dyDescent="0.2">
      <c r="A111" s="6"/>
      <c r="B111" s="6"/>
    </row>
    <row r="112" spans="1:2" ht="15.75" customHeight="1" x14ac:dyDescent="0.2">
      <c r="A112" s="6"/>
      <c r="B112" s="6"/>
    </row>
    <row r="113" spans="1:2" ht="15.75" customHeight="1" x14ac:dyDescent="0.2">
      <c r="A113" s="6"/>
      <c r="B113" s="6"/>
    </row>
    <row r="114" spans="1:2" ht="15.75" customHeight="1" x14ac:dyDescent="0.2">
      <c r="A114" s="6"/>
      <c r="B114" s="6"/>
    </row>
    <row r="115" spans="1:2" ht="15.75" customHeight="1" x14ac:dyDescent="0.2">
      <c r="A115" s="6"/>
      <c r="B115" s="6"/>
    </row>
    <row r="116" spans="1:2" ht="15.75" customHeight="1" x14ac:dyDescent="0.2">
      <c r="A116" s="6"/>
      <c r="B116" s="6"/>
    </row>
    <row r="117" spans="1:2" ht="15.75" customHeight="1" x14ac:dyDescent="0.2">
      <c r="A117" s="6"/>
      <c r="B117" s="6"/>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row r="1002" spans="1:2" ht="15.75" customHeight="1" x14ac:dyDescent="0.2">
      <c r="A1002" s="3"/>
      <c r="B1002" s="3"/>
    </row>
    <row r="1003" spans="1:2" ht="15.75" customHeight="1" x14ac:dyDescent="0.2">
      <c r="A1003" s="3"/>
      <c r="B1003" s="3"/>
    </row>
    <row r="1004" spans="1:2" ht="15.75" customHeight="1" x14ac:dyDescent="0.2">
      <c r="A1004" s="3"/>
      <c r="B1004" s="3"/>
    </row>
    <row r="1005" spans="1:2" ht="15.75" customHeight="1" x14ac:dyDescent="0.2">
      <c r="A1005" s="3"/>
      <c r="B1005" s="3"/>
    </row>
    <row r="1006" spans="1:2" ht="15.75" customHeight="1" x14ac:dyDescent="0.2">
      <c r="A1006" s="3"/>
      <c r="B1006" s="3"/>
    </row>
    <row r="1007" spans="1:2" ht="15.75" customHeight="1" x14ac:dyDescent="0.2">
      <c r="A1007" s="3"/>
      <c r="B1007" s="3"/>
    </row>
    <row r="1008" spans="1:2" ht="15.75" customHeight="1" x14ac:dyDescent="0.2">
      <c r="A1008" s="3"/>
      <c r="B1008" s="3"/>
    </row>
    <row r="1009" spans="1:2" ht="15.75" customHeight="1" x14ac:dyDescent="0.2">
      <c r="A1009" s="3"/>
      <c r="B1009" s="3"/>
    </row>
    <row r="1010" spans="1:2" ht="15.75" customHeight="1" x14ac:dyDescent="0.2">
      <c r="A1010" s="3"/>
      <c r="B1010" s="3"/>
    </row>
    <row r="1011" spans="1:2" ht="15.75" customHeight="1" x14ac:dyDescent="0.2">
      <c r="A1011" s="3"/>
      <c r="B1011" s="3"/>
    </row>
  </sheetData>
  <hyperlinks>
    <hyperlink ref="A2" r:id="rId1" xr:uid="{67E28F24-9EDD-0344-8BB6-9283406AF11C}"/>
    <hyperlink ref="A55" r:id="rId2" display="https://www.thoxan.com/kontakt/" xr:uid="{2C5108C0-B6FE-2547-BF7A-67D5A59EA11F}"/>
    <hyperlink ref="A13" r:id="rId3" xr:uid="{800951B3-2254-DF4E-A5C2-18F00B17BE15}"/>
    <hyperlink ref="A14" r:id="rId4" xr:uid="{9DA4288E-B5E7-B646-B73F-2E3D8A260208}"/>
    <hyperlink ref="A15" r:id="rId5" xr:uid="{E4E7E048-709A-FF46-BE24-AF26482E45B7}"/>
    <hyperlink ref="A17" r:id="rId6" xr:uid="{1E59531F-4819-094D-A135-F0B3D53B9406}"/>
    <hyperlink ref="A16" r:id="rId7" xr:uid="{9905F053-F16B-804A-985B-4B33B96DD29F}"/>
    <hyperlink ref="A18" r:id="rId8" xr:uid="{E4697FC4-E278-1442-97C2-9753395F38AB}"/>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BKK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2023-12-21T15:37:07Z</dcterms:created>
  <dcterms:modified xsi:type="dcterms:W3CDTF">2023-12-21T15:46:10Z</dcterms:modified>
</cp:coreProperties>
</file>