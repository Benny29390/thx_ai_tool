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Volumes/G-RAID Studio/Zoho WorkDrive (thoxan)/THOXAN GMBH/REPORTINGS/2023-12/"/>
    </mc:Choice>
  </mc:AlternateContent>
  <xr:revisionPtr revIDLastSave="0" documentId="8_{CEE095BC-0638-0E45-87F9-01917CCA1998}" xr6:coauthVersionLast="47" xr6:coauthVersionMax="47" xr10:uidLastSave="{00000000-0000-0000-0000-000000000000}"/>
  <bookViews>
    <workbookView xWindow="5200" yWindow="500" windowWidth="36120" windowHeight="25580" xr2:uid="{37787299-76B0-4942-8C13-902634CD195E}"/>
  </bookViews>
  <sheets>
    <sheet name="NIC"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9" i="1" l="1"/>
  <c r="B41" i="1"/>
  <c r="B37" i="1"/>
  <c r="B32" i="1"/>
  <c r="B24" i="1"/>
  <c r="B18" i="1"/>
  <c r="B51" i="1" l="1"/>
</calcChain>
</file>

<file path=xl/sharedStrings.xml><?xml version="1.0" encoding="utf-8"?>
<sst xmlns="http://schemas.openxmlformats.org/spreadsheetml/2006/main" count="48" uniqueCount="42">
  <si>
    <t>NIC Systemhaus GmbH</t>
  </si>
  <si>
    <t>4. Quartal 2023</t>
  </si>
  <si>
    <t>www.nic-team.com</t>
  </si>
  <si>
    <t>Monatliche Optimierung</t>
  </si>
  <si>
    <t>Aufwand ca. in Std.</t>
  </si>
  <si>
    <t>1. Linkaufbau, Linkabbau, Online-PR</t>
  </si>
  <si>
    <t>Linkquellen-Recherche (Gastartikel): Thematisch passende Linkquellen zur Veröffentlichung von Gastbeiträgen recherchiert, nach Duplikatskontrolle anhand kurzer Sichtprüfung und SEO-Kennzahlen dokumentiert, Aussortieren unpassender Websites, erste Kontaktdaten ermittelt (04.10.-25.10., TKI)</t>
  </si>
  <si>
    <t>Linkakquise (Gastartikel): Kontaktaufnahme mit Seitenbetreibern aus der Linkquellen-Recherche sowie innerhalb des eigenen Netzwerks per E-Mail / Social Media / Telefon, Dokumentation der Preise und Konditionen, Auswahl und Zusammenstellen sinnvoller Linkoptionen zur Freigabe, Abstimmung (16.10.-17.11., TKI)</t>
  </si>
  <si>
    <t>Textarbeiten arbeitsratgeber.com: Briefing und Recherche, Texterstellung für Gastbeitrag auf URL, Lektorat, Abstimmung und Vorbereitung zur Veröffentlichung (10.10., EXT, TKI)</t>
  </si>
  <si>
    <t>Textarbeiten hardware-mag.de: Briefing und Recherche, Texterstellung für Gastbeitrag auf URL, Lektorat, Abstimmung und Vorbereitung zur Veröffentlichung (10.12., EXT, TKI)</t>
  </si>
  <si>
    <t>Linkaufbau-Organisation: Abstimmung mit den Seitenbetreibern zur Veröffentlichung der vorbereiteten Gastartikel, ggf. letzte Textanpassungen, Prüfung der Link-Integration, Abrechnung der Linkaufbau-Auslagen, Abstimmung und Dokumentation (16.10.-15.12., TKI)</t>
  </si>
  <si>
    <t>http://www.arbeitsratgeber.com/vorteile-fuer-mitarbeiter-in-gefragten-jobs/</t>
  </si>
  <si>
    <t>https://www.fachzeitungen.de/blog-fachblog/nic-systemhaus-blog</t>
  </si>
  <si>
    <t>https://www.hardware-mag.de/news/2023/dezember/datensicherung_in_kleinen_unternehmen/</t>
  </si>
  <si>
    <t>Pressemeldung: Abstimmung und Recherche für eine Pressemeldung zum Thema "Great Place to Work", Texterstellung inkl. Abbinder, interne Verlinkung, ggf. Zitate, etc., Lektorat und Dokumentation, finale Absprachen (07.12., GBO, TKI)</t>
  </si>
  <si>
    <t>Pressebilder: Abstimmung wegen Pressebildern, begleitend zur aktuellen Pressemeldung, Bildbearbeitung und Vorbereitung der Medien zur einheitlichen Veröffentlichung (11.12., TKI)</t>
  </si>
  <si>
    <t>Presseportale: Pressemeldung auf der Website sowie auf gepflegten und geprüften (kostenfreien) Presseportalen online einstellen, Profile einrichten bzw. aktualisieren, Prüfung der Veröffentlichungen, Abstimmung und Dokumentation, Portale siehe Asana (11.-18.12., TKI)</t>
  </si>
  <si>
    <t>Link-Monitoring: Neue Verlinkungen aus Link-Tools der letzten 30 Tage überprüft, einzeln bewertet (monatlich 0,25 Std., TKI)</t>
  </si>
  <si>
    <t>2. Redaktionelle Arbeiten</t>
  </si>
  <si>
    <r>
      <rPr>
        <b/>
        <sz val="10"/>
        <color theme="1"/>
        <rFont val="Arial"/>
        <family val="2"/>
      </rPr>
      <t xml:space="preserve">Storys Oktober: </t>
    </r>
    <r>
      <rPr>
        <sz val="10"/>
        <color theme="1"/>
        <rFont val="Arial"/>
        <family val="2"/>
      </rPr>
      <t>Abstimmung und Recherche, inhaltliche Konzeption, Texterstellung und -optimierung für NIC-Storys, Lektorat und Versand an Kunden (04.10. GBO, TKI)</t>
    </r>
  </si>
  <si>
    <r>
      <rPr>
        <b/>
        <sz val="10"/>
        <color theme="1"/>
        <rFont val="Arial"/>
        <family val="2"/>
      </rPr>
      <t xml:space="preserve">Storys November: </t>
    </r>
    <r>
      <rPr>
        <sz val="10"/>
        <color theme="1"/>
        <rFont val="Arial"/>
        <family val="2"/>
      </rPr>
      <t>Abstimmung und Recherche, inhaltliche Konzeption, Texterstellung und -optimierung für NIC-Storys, Lektorat und Versand an Kunden (07.-09.11., GBO, TKI)</t>
    </r>
  </si>
  <si>
    <r>
      <rPr>
        <b/>
        <sz val="10"/>
        <color theme="1"/>
        <rFont val="Arial"/>
        <family val="2"/>
      </rPr>
      <t xml:space="preserve">Storys Dezember: </t>
    </r>
    <r>
      <rPr>
        <sz val="10"/>
        <color theme="1"/>
        <rFont val="Arial"/>
        <family val="2"/>
      </rPr>
      <t>Abstimmung und Recherche, inhaltliche Konzeption, Texterstellung und -optimierung für NIC-Storys, Lektorat und Versand an Kunden (06.-08.12., GBO, TKI)</t>
    </r>
  </si>
  <si>
    <t>3. Website-Pflege</t>
  </si>
  <si>
    <r>
      <t xml:space="preserve">Redaktionelle Pflege </t>
    </r>
    <r>
      <rPr>
        <b/>
        <sz val="10"/>
        <color theme="1"/>
        <rFont val="Arial"/>
        <family val="2"/>
      </rPr>
      <t>Storys Oktober</t>
    </r>
    <r>
      <rPr>
        <sz val="10"/>
        <color theme="1"/>
        <rFont val="Arial"/>
        <family val="2"/>
      </rPr>
      <t>: Abstimmung und Durchsicht der finalen Storytexte nebst geliefertem Material, Einpflegen der Storys auf der NIC-Website, Bildbearbeitung und -integration, interne Verlinkung, kl. Anpassung, Dokumentation (08.11., GBO, RBO)</t>
    </r>
  </si>
  <si>
    <t>Redaktionelle Pflege: Austausch des Logos "Great Place to work" an verschiedenen Stellen der Website, Abstimmung und Dokumentation (08.11., RBO)</t>
  </si>
  <si>
    <t>Recherche, Konzeption und Texterstellung für Ereignisse, die einen Bedarf auslösen, für dessen Lösung NIC das passende Angebot hat, Entwickeln einer ereignisorientierten Vermarktungsstrategie mit ChatGPT, Zoomcall, finale Anpassungen des Textes, Abstimmung und Dokumentation (21.11., TKI)</t>
  </si>
  <si>
    <r>
      <t xml:space="preserve">Redaktionelle Pflege </t>
    </r>
    <r>
      <rPr>
        <b/>
        <sz val="10"/>
        <color theme="1"/>
        <rFont val="Arial"/>
        <family val="2"/>
      </rPr>
      <t>Storys November</t>
    </r>
    <r>
      <rPr>
        <sz val="10"/>
        <color theme="1"/>
        <rFont val="Arial"/>
        <family val="2"/>
      </rPr>
      <t>: Abstimmung und Durchsicht der finalen Storytexte nebst geliefertem Material, Einpflegen der Storys auf der NIC-Website, Bildbearbeitung und -integration, interne Verlinkung, kl. Anpassung, Dokumentation (27.-29.11 GBO, NMA)</t>
    </r>
  </si>
  <si>
    <t>Einpflegen von Mitarbeiter-Statements auf der Website (18.12., TKI)</t>
  </si>
  <si>
    <t>4. Technische Arbeiten, Programmierung</t>
  </si>
  <si>
    <t>Globale Integration eines Social Media Moduls im Footer-Bereich der Webseite nic-team.com mittels Icons im Corporate Design, Abstimmung und Dokumentation (09.10., BKO, TKI)</t>
  </si>
  <si>
    <t>Abstimmung, kurze Recherche, Übernahme Meta-Werbekonto als Thoxan Communications GmbH, Anlegen des Meta Pixels, Integration auf der Website, Anpassung Datenschutz und Cookiebanner, Dokumentation (15.12., TKI, BKO)</t>
  </si>
  <si>
    <t>5. Google Ads, Monitoring</t>
  </si>
  <si>
    <t>Google Ads-Monitoring 4. Quartal: Monatliches Monitoring der Kampagnen, kl. Anpassungen, fortlaufendes Ausschließen und Ergänzen von Keywords, ausführliche Auswertung am Monatsende (01.10.-31.12., TKI, DHE)</t>
  </si>
  <si>
    <t>6. Beratung &amp; Sonstiges</t>
  </si>
  <si>
    <t>Kurze Prüfung der ProvenExpert-Funktion zur Optimierung von Branchenverzeichnissen, Abgleich und Vereinheitlichung der Kontaktdaten, Abstimmung (17.10., TKI)</t>
  </si>
  <si>
    <t>Vorbereitung und Zusammenstellen der Präsentation aktueller Maßnahmen, virtuelle Abstimmung zur aktuellen Zusammenarbeit, Linkaufbau, Google Ads, Workshops, Klärung von div. Fragen, anschließend Dokumentation und interne Abstimmung für die nächsten Maßnahmen, 14-15 Uhr (13.11., TKI)</t>
  </si>
  <si>
    <t>Kurze Vorbereitung und Durchführung eines Workshops per Zoom zum Thema Vertriebsaufbau bei NIC, Entwicklung eines Funnels mit div. Stufen und passenden Maßnahmen zur Qualifizierung / Entwicklung der Leads und Interessenten, Austausch von Ideen, konkrete Maßnahmen planung, Klären von div. Fragen, 13-15 Uhr, Abstimmung und Dokumentation im Anschluss (08.12., TKI)</t>
  </si>
  <si>
    <t>Abstimmung Umbau Story-URLs (12.12., TKI)</t>
  </si>
  <si>
    <t>Organisation, Planung, Überwachung und Steuerung der Aufgaben und Ressourcen (pro Tagessatz ca. 0,5 Std., TKI)</t>
  </si>
  <si>
    <t>Aufwand ca. insgesamt in Std.</t>
  </si>
  <si>
    <t>Aufwand in Tagessätzen</t>
  </si>
  <si>
    <t>Noch Rückfragen? Kontakt zur Thoxan Communications GmbH unter https://www.thoxan.com/kontakt/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</si>
</sst>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u/>
      <sz val="12"/>
      <color theme="10"/>
      <name val="Calibri"/>
      <family val="2"/>
      <scheme val="minor"/>
    </font>
    <font>
      <b/>
      <sz val="16"/>
      <color theme="1"/>
      <name val="Arial"/>
      <family val="2"/>
    </font>
    <font>
      <sz val="12"/>
      <color theme="1"/>
      <name val="Arial"/>
      <family val="2"/>
    </font>
    <font>
      <u/>
      <sz val="10"/>
      <color theme="10"/>
      <name val="Arial"/>
      <family val="2"/>
    </font>
    <font>
      <sz val="10"/>
      <color theme="1"/>
      <name val="Arial"/>
      <family val="2"/>
    </font>
    <font>
      <b/>
      <sz val="10"/>
      <color theme="1"/>
      <name val="Arial"/>
      <family val="2"/>
    </font>
    <font>
      <u/>
      <sz val="10"/>
      <color rgb="FF808080"/>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7">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32">
    <xf numFmtId="0" fontId="0" fillId="0" borderId="0" xfId="0"/>
    <xf numFmtId="0" fontId="2" fillId="0" borderId="0" xfId="0" applyFont="1"/>
    <xf numFmtId="49" fontId="2" fillId="0" borderId="0" xfId="0" applyNumberFormat="1" applyFont="1" applyAlignment="1">
      <alignment horizontal="right"/>
    </xf>
    <xf numFmtId="0" fontId="3" fillId="0" borderId="0" xfId="0" applyFont="1"/>
    <xf numFmtId="0" fontId="4" fillId="0" borderId="0" xfId="0" applyFont="1"/>
    <xf numFmtId="49" fontId="5" fillId="0" borderId="0" xfId="0" applyNumberFormat="1" applyFont="1" applyAlignment="1">
      <alignment horizontal="right"/>
    </xf>
    <xf numFmtId="0" fontId="4" fillId="0" borderId="1" xfId="0" applyFont="1" applyBorder="1"/>
    <xf numFmtId="0" fontId="5" fillId="0" borderId="1" xfId="0" applyFont="1" applyBorder="1"/>
    <xf numFmtId="0" fontId="6" fillId="0" borderId="2" xfId="0" applyFont="1" applyBorder="1"/>
    <xf numFmtId="0" fontId="6" fillId="2" borderId="2" xfId="0" applyFont="1" applyFill="1" applyBorder="1" applyAlignment="1">
      <alignment horizontal="center" vertical="center"/>
    </xf>
    <xf numFmtId="0" fontId="5" fillId="0" borderId="0" xfId="0" applyFont="1"/>
    <xf numFmtId="0" fontId="6" fillId="0" borderId="2" xfId="0" applyFont="1" applyBorder="1" applyAlignment="1">
      <alignment horizontal="center" vertical="center"/>
    </xf>
    <xf numFmtId="0" fontId="5" fillId="0" borderId="3" xfId="0" applyFont="1" applyBorder="1"/>
    <xf numFmtId="0" fontId="5" fillId="0" borderId="3" xfId="0" applyFont="1" applyBorder="1" applyAlignment="1">
      <alignment vertical="top" wrapText="1"/>
    </xf>
    <xf numFmtId="0" fontId="5" fillId="0" borderId="2" xfId="0" applyFont="1" applyBorder="1" applyAlignment="1">
      <alignment horizontal="center" vertical="center"/>
    </xf>
    <xf numFmtId="0" fontId="4" fillId="0" borderId="3" xfId="1" applyFont="1" applyBorder="1" applyAlignment="1">
      <alignment vertical="top" wrapText="1"/>
    </xf>
    <xf numFmtId="0" fontId="5" fillId="2" borderId="2" xfId="0" applyFont="1" applyFill="1" applyBorder="1" applyAlignment="1">
      <alignment vertical="center"/>
    </xf>
    <xf numFmtId="0" fontId="5" fillId="2" borderId="2" xfId="0" applyFont="1" applyFill="1" applyBorder="1" applyAlignment="1">
      <alignment horizontal="center" vertical="center"/>
    </xf>
    <xf numFmtId="0" fontId="6" fillId="0" borderId="3" xfId="0" applyFont="1" applyBorder="1"/>
    <xf numFmtId="0" fontId="5" fillId="0" borderId="3" xfId="0" applyFont="1" applyBorder="1" applyAlignment="1">
      <alignment horizontal="center" vertical="center"/>
    </xf>
    <xf numFmtId="0" fontId="5" fillId="2" borderId="4" xfId="0" applyFont="1" applyFill="1" applyBorder="1" applyAlignment="1">
      <alignment horizontal="center" vertical="center"/>
    </xf>
    <xf numFmtId="0" fontId="5" fillId="0" borderId="3" xfId="0" applyFont="1" applyBorder="1" applyAlignment="1">
      <alignment vertical="center"/>
    </xf>
    <xf numFmtId="0" fontId="5" fillId="0" borderId="2" xfId="0" applyFont="1" applyBorder="1" applyAlignment="1">
      <alignment vertical="top" wrapText="1"/>
    </xf>
    <xf numFmtId="0" fontId="5" fillId="3" borderId="2" xfId="0" applyFont="1" applyFill="1" applyBorder="1" applyAlignment="1">
      <alignment horizontal="center" vertical="center"/>
    </xf>
    <xf numFmtId="0" fontId="6" fillId="0" borderId="2" xfId="0" applyFont="1" applyBorder="1" applyAlignment="1">
      <alignment wrapText="1"/>
    </xf>
    <xf numFmtId="0" fontId="5" fillId="2" borderId="3" xfId="0" applyFont="1" applyFill="1" applyBorder="1" applyAlignment="1">
      <alignment vertical="center"/>
    </xf>
    <xf numFmtId="0" fontId="6" fillId="2" borderId="3" xfId="0" applyFont="1" applyFill="1" applyBorder="1" applyAlignment="1">
      <alignment horizontal="center" vertical="center"/>
    </xf>
    <xf numFmtId="0" fontId="5" fillId="2" borderId="5" xfId="0" applyFont="1" applyFill="1" applyBorder="1" applyAlignment="1">
      <alignment vertical="center"/>
    </xf>
    <xf numFmtId="0" fontId="6" fillId="2" borderId="6" xfId="0" applyFont="1" applyFill="1" applyBorder="1" applyAlignment="1">
      <alignment horizontal="center" vertical="center"/>
    </xf>
    <xf numFmtId="0" fontId="7" fillId="0" borderId="0" xfId="0" applyFont="1"/>
    <xf numFmtId="0" fontId="5" fillId="0" borderId="3" xfId="0" applyFont="1" applyFill="1" applyBorder="1" applyAlignment="1">
      <alignment vertical="top" wrapText="1"/>
    </xf>
    <xf numFmtId="0" fontId="5" fillId="0" borderId="2" xfId="0" applyFont="1" applyFill="1" applyBorder="1" applyAlignment="1">
      <alignmen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arbeitsratgeber.com/vorteile-fuer-mitarbeiter-in-gefragten-jobs/" TargetMode="External"/><Relationship Id="rId2" Type="http://schemas.openxmlformats.org/officeDocument/2006/relationships/hyperlink" Target="https://www.thoxan.com/kontakt/" TargetMode="External"/><Relationship Id="rId1" Type="http://schemas.openxmlformats.org/officeDocument/2006/relationships/hyperlink" Target="http://www.nic-team.com/" TargetMode="External"/><Relationship Id="rId5" Type="http://schemas.openxmlformats.org/officeDocument/2006/relationships/hyperlink" Target="https://www.hardware-mag.de/news/2023/dezember/datensicherung_in_kleinen_unternehmen/" TargetMode="External"/><Relationship Id="rId4" Type="http://schemas.openxmlformats.org/officeDocument/2006/relationships/hyperlink" Target="https://www.fachzeitungen.de/blog-fachblog/nic-systemhaus-blo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CCB94-D173-F148-B7DA-3F68F51228E9}">
  <dimension ref="A1:B1007"/>
  <sheetViews>
    <sheetView tabSelected="1" zoomScale="150" zoomScaleNormal="150" workbookViewId="0">
      <pane ySplit="4" topLeftCell="A5" activePane="bottomLeft" state="frozen"/>
      <selection pane="bottomLeft" activeCell="A29" sqref="A29"/>
    </sheetView>
  </sheetViews>
  <sheetFormatPr baseColWidth="10" defaultColWidth="11.1640625" defaultRowHeight="15" customHeight="1" x14ac:dyDescent="0.2"/>
  <cols>
    <col min="1" max="1" width="57.5" customWidth="1"/>
    <col min="2" max="2" width="23" customWidth="1"/>
  </cols>
  <sheetData>
    <row r="1" spans="1:2" ht="20" x14ac:dyDescent="0.2">
      <c r="A1" s="1" t="s">
        <v>0</v>
      </c>
      <c r="B1" s="2" t="s">
        <v>1</v>
      </c>
    </row>
    <row r="2" spans="1:2" ht="15.75" customHeight="1" x14ac:dyDescent="0.2">
      <c r="A2" s="4" t="s">
        <v>2</v>
      </c>
      <c r="B2" s="5" t="s">
        <v>3</v>
      </c>
    </row>
    <row r="3" spans="1:2" ht="15.75" customHeight="1" x14ac:dyDescent="0.2">
      <c r="A3" s="6"/>
      <c r="B3" s="7"/>
    </row>
    <row r="4" spans="1:2" ht="15.75" customHeight="1" x14ac:dyDescent="0.2">
      <c r="A4" s="8"/>
      <c r="B4" s="9" t="s">
        <v>4</v>
      </c>
    </row>
    <row r="5" spans="1:2" ht="15.75" customHeight="1" x14ac:dyDescent="0.2">
      <c r="A5" s="8" t="s">
        <v>5</v>
      </c>
      <c r="B5" s="11"/>
    </row>
    <row r="6" spans="1:2" ht="70" x14ac:dyDescent="0.2">
      <c r="A6" s="13" t="s">
        <v>6</v>
      </c>
      <c r="B6" s="14">
        <v>2.5</v>
      </c>
    </row>
    <row r="7" spans="1:2" ht="70" x14ac:dyDescent="0.2">
      <c r="A7" s="13" t="s">
        <v>7</v>
      </c>
      <c r="B7" s="14">
        <v>4.5</v>
      </c>
    </row>
    <row r="8" spans="1:2" ht="42" x14ac:dyDescent="0.2">
      <c r="A8" s="13" t="s">
        <v>8</v>
      </c>
      <c r="B8" s="14">
        <v>3</v>
      </c>
    </row>
    <row r="9" spans="1:2" ht="42" x14ac:dyDescent="0.2">
      <c r="A9" s="13" t="s">
        <v>9</v>
      </c>
      <c r="B9" s="14">
        <v>3</v>
      </c>
    </row>
    <row r="10" spans="1:2" ht="55.5" customHeight="1" x14ac:dyDescent="0.2">
      <c r="A10" s="13" t="s">
        <v>10</v>
      </c>
      <c r="B10" s="14">
        <v>1.75</v>
      </c>
    </row>
    <row r="11" spans="1:2" s="10" customFormat="1" ht="28" x14ac:dyDescent="0.15">
      <c r="A11" s="15" t="s">
        <v>11</v>
      </c>
      <c r="B11" s="14"/>
    </row>
    <row r="12" spans="1:2" s="10" customFormat="1" ht="14" x14ac:dyDescent="0.15">
      <c r="A12" s="15" t="s">
        <v>12</v>
      </c>
      <c r="B12" s="14"/>
    </row>
    <row r="13" spans="1:2" s="10" customFormat="1" ht="42" x14ac:dyDescent="0.15">
      <c r="A13" s="15" t="s">
        <v>13</v>
      </c>
      <c r="B13" s="14"/>
    </row>
    <row r="14" spans="1:2" s="10" customFormat="1" ht="56" x14ac:dyDescent="0.15">
      <c r="A14" s="13" t="s">
        <v>14</v>
      </c>
      <c r="B14" s="14">
        <v>2</v>
      </c>
    </row>
    <row r="15" spans="1:2" s="10" customFormat="1" ht="42" x14ac:dyDescent="0.15">
      <c r="A15" s="13" t="s">
        <v>15</v>
      </c>
      <c r="B15" s="14">
        <v>0.5</v>
      </c>
    </row>
    <row r="16" spans="1:2" s="10" customFormat="1" ht="56" x14ac:dyDescent="0.15">
      <c r="A16" s="13" t="s">
        <v>16</v>
      </c>
      <c r="B16" s="14">
        <v>3</v>
      </c>
    </row>
    <row r="17" spans="1:2" ht="30.75" customHeight="1" x14ac:dyDescent="0.2">
      <c r="A17" s="13" t="s">
        <v>17</v>
      </c>
      <c r="B17" s="14">
        <v>0.75</v>
      </c>
    </row>
    <row r="18" spans="1:2" ht="15.75" customHeight="1" x14ac:dyDescent="0.2">
      <c r="A18" s="16" t="s">
        <v>4</v>
      </c>
      <c r="B18" s="17">
        <f>SUM(B5:B17)</f>
        <v>21</v>
      </c>
    </row>
    <row r="19" spans="1:2" ht="15.75" customHeight="1" x14ac:dyDescent="0.2">
      <c r="A19" s="12"/>
      <c r="B19" s="14"/>
    </row>
    <row r="20" spans="1:2" ht="15.75" customHeight="1" x14ac:dyDescent="0.2">
      <c r="A20" s="18" t="s">
        <v>18</v>
      </c>
      <c r="B20" s="14"/>
    </row>
    <row r="21" spans="1:2" ht="42" x14ac:dyDescent="0.2">
      <c r="A21" s="30" t="s">
        <v>19</v>
      </c>
      <c r="B21" s="14">
        <v>5.5</v>
      </c>
    </row>
    <row r="22" spans="1:2" ht="42" x14ac:dyDescent="0.2">
      <c r="A22" s="30" t="s">
        <v>20</v>
      </c>
      <c r="B22" s="14">
        <v>4.5</v>
      </c>
    </row>
    <row r="23" spans="1:2" ht="42" x14ac:dyDescent="0.2">
      <c r="A23" s="30" t="s">
        <v>21</v>
      </c>
      <c r="B23" s="14">
        <v>4.25</v>
      </c>
    </row>
    <row r="24" spans="1:2" ht="15.75" customHeight="1" x14ac:dyDescent="0.2">
      <c r="A24" s="16" t="s">
        <v>4</v>
      </c>
      <c r="B24" s="20">
        <f>SUM(B21:B23)</f>
        <v>14.25</v>
      </c>
    </row>
    <row r="25" spans="1:2" ht="15.75" customHeight="1" x14ac:dyDescent="0.2">
      <c r="A25" s="21"/>
      <c r="B25" s="14"/>
    </row>
    <row r="26" spans="1:2" ht="15.75" customHeight="1" x14ac:dyDescent="0.2">
      <c r="A26" s="18" t="s">
        <v>22</v>
      </c>
      <c r="B26" s="14"/>
    </row>
    <row r="27" spans="1:2" ht="56" x14ac:dyDescent="0.2">
      <c r="A27" s="31" t="s">
        <v>23</v>
      </c>
      <c r="B27" s="14">
        <v>1.75</v>
      </c>
    </row>
    <row r="28" spans="1:2" ht="42" x14ac:dyDescent="0.2">
      <c r="A28" s="31" t="s">
        <v>24</v>
      </c>
      <c r="B28" s="14">
        <v>0.25</v>
      </c>
    </row>
    <row r="29" spans="1:2" ht="70" x14ac:dyDescent="0.2">
      <c r="A29" s="31" t="s">
        <v>25</v>
      </c>
      <c r="B29" s="14">
        <v>1.5</v>
      </c>
    </row>
    <row r="30" spans="1:2" ht="56" x14ac:dyDescent="0.2">
      <c r="A30" s="31" t="s">
        <v>26</v>
      </c>
      <c r="B30" s="14">
        <v>2</v>
      </c>
    </row>
    <row r="31" spans="1:2" ht="16" x14ac:dyDescent="0.2">
      <c r="A31" s="22" t="s">
        <v>27</v>
      </c>
      <c r="B31" s="23">
        <v>0.5</v>
      </c>
    </row>
    <row r="32" spans="1:2" ht="14" customHeight="1" x14ac:dyDescent="0.2">
      <c r="A32" s="16" t="s">
        <v>4</v>
      </c>
      <c r="B32" s="17">
        <f>SUM(B27:B31)</f>
        <v>6</v>
      </c>
    </row>
    <row r="33" spans="1:2" ht="15.75" customHeight="1" x14ac:dyDescent="0.2">
      <c r="A33" s="21"/>
      <c r="B33" s="14"/>
    </row>
    <row r="34" spans="1:2" ht="15.75" customHeight="1" x14ac:dyDescent="0.2">
      <c r="A34" s="18" t="s">
        <v>28</v>
      </c>
      <c r="B34" s="14"/>
    </row>
    <row r="35" spans="1:2" ht="42" x14ac:dyDescent="0.2">
      <c r="A35" s="22" t="s">
        <v>29</v>
      </c>
      <c r="B35" s="14">
        <v>2</v>
      </c>
    </row>
    <row r="36" spans="1:2" ht="56" x14ac:dyDescent="0.2">
      <c r="A36" s="22" t="s">
        <v>30</v>
      </c>
      <c r="B36" s="14">
        <v>0.75</v>
      </c>
    </row>
    <row r="37" spans="1:2" ht="15.75" customHeight="1" x14ac:dyDescent="0.2">
      <c r="A37" s="16" t="s">
        <v>4</v>
      </c>
      <c r="B37" s="17">
        <f>SUM(B35:B36)</f>
        <v>2.75</v>
      </c>
    </row>
    <row r="38" spans="1:2" ht="15.75" customHeight="1" x14ac:dyDescent="0.2">
      <c r="A38" s="21"/>
      <c r="B38" s="14"/>
    </row>
    <row r="39" spans="1:2" ht="15.75" customHeight="1" x14ac:dyDescent="0.2">
      <c r="A39" s="18" t="s">
        <v>31</v>
      </c>
      <c r="B39" s="14"/>
    </row>
    <row r="40" spans="1:2" ht="54" customHeight="1" x14ac:dyDescent="0.2">
      <c r="A40" s="13" t="s">
        <v>32</v>
      </c>
      <c r="B40" s="19">
        <v>1.5</v>
      </c>
    </row>
    <row r="41" spans="1:2" ht="15.75" customHeight="1" x14ac:dyDescent="0.2">
      <c r="A41" s="16" t="s">
        <v>4</v>
      </c>
      <c r="B41" s="17">
        <f>SUM(B40:B40)</f>
        <v>1.5</v>
      </c>
    </row>
    <row r="42" spans="1:2" ht="15.75" customHeight="1" x14ac:dyDescent="0.2">
      <c r="A42" s="21"/>
      <c r="B42" s="14"/>
    </row>
    <row r="43" spans="1:2" ht="15.75" customHeight="1" x14ac:dyDescent="0.2">
      <c r="A43" s="24" t="s">
        <v>33</v>
      </c>
      <c r="B43" s="14"/>
    </row>
    <row r="44" spans="1:2" ht="42" x14ac:dyDescent="0.2">
      <c r="A44" s="13" t="s">
        <v>34</v>
      </c>
      <c r="B44" s="14">
        <v>0.25</v>
      </c>
    </row>
    <row r="45" spans="1:2" ht="70" x14ac:dyDescent="0.2">
      <c r="A45" s="13" t="s">
        <v>35</v>
      </c>
      <c r="B45" s="14">
        <v>1.5</v>
      </c>
    </row>
    <row r="46" spans="1:2" ht="84" x14ac:dyDescent="0.2">
      <c r="A46" s="13" t="s">
        <v>36</v>
      </c>
      <c r="B46" s="14">
        <v>2.25</v>
      </c>
    </row>
    <row r="47" spans="1:2" ht="16" x14ac:dyDescent="0.2">
      <c r="A47" s="13" t="s">
        <v>37</v>
      </c>
      <c r="B47" s="14">
        <v>0.25</v>
      </c>
    </row>
    <row r="48" spans="1:2" ht="34.5" customHeight="1" x14ac:dyDescent="0.2">
      <c r="A48" s="13" t="s">
        <v>38</v>
      </c>
      <c r="B48" s="14">
        <v>3</v>
      </c>
    </row>
    <row r="49" spans="1:2" ht="15.75" customHeight="1" x14ac:dyDescent="0.2">
      <c r="A49" s="16" t="s">
        <v>4</v>
      </c>
      <c r="B49" s="17">
        <f>SUM(B44:B48)</f>
        <v>7.25</v>
      </c>
    </row>
    <row r="50" spans="1:2" ht="15.75" customHeight="1" x14ac:dyDescent="0.2">
      <c r="A50" s="21"/>
      <c r="B50" s="14"/>
    </row>
    <row r="51" spans="1:2" ht="16.5" customHeight="1" thickBot="1" x14ac:dyDescent="0.25">
      <c r="A51" s="25" t="s">
        <v>39</v>
      </c>
      <c r="B51" s="26">
        <f>SUM(B18+B24+B32+B37+B41+B49)</f>
        <v>52.75</v>
      </c>
    </row>
    <row r="52" spans="1:2" ht="16.5" customHeight="1" thickBot="1" x14ac:dyDescent="0.25">
      <c r="A52" s="27" t="s">
        <v>40</v>
      </c>
      <c r="B52" s="28">
        <v>6.5</v>
      </c>
    </row>
    <row r="53" spans="1:2" ht="15.75" customHeight="1" x14ac:dyDescent="0.2">
      <c r="A53" s="10"/>
      <c r="B53" s="10"/>
    </row>
    <row r="54" spans="1:2" ht="15.75" customHeight="1" x14ac:dyDescent="0.2">
      <c r="A54" s="29" t="s">
        <v>41</v>
      </c>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10"/>
      <c r="B100" s="10"/>
    </row>
    <row r="101" spans="1:2" ht="15.75" customHeight="1" x14ac:dyDescent="0.2">
      <c r="A101" s="10"/>
      <c r="B101" s="10"/>
    </row>
    <row r="102" spans="1:2" ht="15.75" customHeight="1" x14ac:dyDescent="0.2">
      <c r="A102" s="10"/>
      <c r="B102" s="10"/>
    </row>
    <row r="103" spans="1:2" ht="15.75" customHeight="1" x14ac:dyDescent="0.2">
      <c r="A103" s="10"/>
      <c r="B103" s="10"/>
    </row>
    <row r="104" spans="1:2" ht="15.75" customHeight="1" x14ac:dyDescent="0.2">
      <c r="A104" s="10"/>
      <c r="B104" s="10"/>
    </row>
    <row r="105" spans="1:2" ht="15.75" customHeight="1" x14ac:dyDescent="0.2">
      <c r="A105" s="10"/>
      <c r="B105" s="10"/>
    </row>
    <row r="106" spans="1:2" ht="15.75" customHeight="1" x14ac:dyDescent="0.2">
      <c r="A106" s="10"/>
      <c r="B106" s="10"/>
    </row>
    <row r="107" spans="1:2" ht="15.75" customHeight="1" x14ac:dyDescent="0.2">
      <c r="A107" s="10"/>
      <c r="B107" s="10"/>
    </row>
    <row r="108" spans="1:2" ht="15.75" customHeight="1" x14ac:dyDescent="0.2">
      <c r="A108" s="10"/>
      <c r="B108" s="10"/>
    </row>
    <row r="109" spans="1:2" ht="15.75" customHeight="1" x14ac:dyDescent="0.2">
      <c r="A109" s="10"/>
      <c r="B109" s="10"/>
    </row>
    <row r="110" spans="1:2" ht="15.75" customHeight="1" x14ac:dyDescent="0.2">
      <c r="A110" s="10"/>
      <c r="B110" s="10"/>
    </row>
    <row r="111" spans="1:2" ht="15.75" customHeight="1" x14ac:dyDescent="0.2">
      <c r="A111" s="10"/>
      <c r="B111" s="10"/>
    </row>
    <row r="112" spans="1:2" ht="15.75" customHeight="1" x14ac:dyDescent="0.2">
      <c r="A112" s="10"/>
      <c r="B112" s="10"/>
    </row>
    <row r="113" spans="1:2" ht="15.75" customHeight="1" x14ac:dyDescent="0.2">
      <c r="A113" s="10"/>
      <c r="B113" s="10"/>
    </row>
    <row r="114" spans="1:2" ht="15.75" customHeight="1" x14ac:dyDescent="0.2">
      <c r="A114" s="10"/>
      <c r="B114" s="10"/>
    </row>
    <row r="115" spans="1:2" ht="15.75" customHeight="1" x14ac:dyDescent="0.2">
      <c r="A115" s="10"/>
      <c r="B115" s="10"/>
    </row>
    <row r="116" spans="1:2" ht="15.75" customHeight="1" x14ac:dyDescent="0.2">
      <c r="A116" s="10"/>
      <c r="B116" s="10"/>
    </row>
    <row r="117" spans="1:2" ht="15.75" customHeight="1" x14ac:dyDescent="0.2">
      <c r="A117" s="10"/>
      <c r="B117" s="10"/>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row r="1002" spans="1:2" ht="15.75" customHeight="1" x14ac:dyDescent="0.2">
      <c r="A1002" s="3"/>
      <c r="B1002" s="3"/>
    </row>
    <row r="1003" spans="1:2" ht="15.75" customHeight="1" x14ac:dyDescent="0.2">
      <c r="A1003" s="3"/>
      <c r="B1003" s="3"/>
    </row>
    <row r="1004" spans="1:2" ht="15.75" customHeight="1" x14ac:dyDescent="0.2">
      <c r="A1004" s="3"/>
      <c r="B1004" s="3"/>
    </row>
    <row r="1005" spans="1:2" ht="15.75" customHeight="1" x14ac:dyDescent="0.2">
      <c r="A1005" s="3"/>
      <c r="B1005" s="3"/>
    </row>
    <row r="1006" spans="1:2" ht="15.75" customHeight="1" x14ac:dyDescent="0.2">
      <c r="A1006" s="3"/>
      <c r="B1006" s="3"/>
    </row>
    <row r="1007" spans="1:2" ht="15.75" customHeight="1" x14ac:dyDescent="0.2">
      <c r="A1007" s="3"/>
      <c r="B1007" s="3"/>
    </row>
  </sheetData>
  <hyperlinks>
    <hyperlink ref="A2" r:id="rId1" xr:uid="{9C89AA6E-3C6C-B841-9790-A74EE9F5FF7B}"/>
    <hyperlink ref="A54" r:id="rId2" xr:uid="{B9121051-9860-3741-ACF2-5A00CF13A0F9}"/>
    <hyperlink ref="A11" r:id="rId3" xr:uid="{103DBCC5-8FB5-EF41-A847-18332D4B2531}"/>
    <hyperlink ref="A12" r:id="rId4" xr:uid="{E29980AB-A8EA-CB41-882E-234487711CA1}"/>
    <hyperlink ref="A13" r:id="rId5" xr:uid="{BE3B9036-DE79-C24F-8B9C-19935758EF1D}"/>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NIC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2023-12-21T15:01:40Z</dcterms:created>
  <dcterms:modified xsi:type="dcterms:W3CDTF">2023-12-21T15:02:50Z</dcterms:modified>
</cp:coreProperties>
</file>