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Volumes/G-RAID Studio/Zoho WorkDrive (thoxan)/THOXAN GMBH/REPORTINGS/2023-12/"/>
    </mc:Choice>
  </mc:AlternateContent>
  <xr:revisionPtr revIDLastSave="0" documentId="8_{DC803619-F793-7649-B67E-C60E395D8EE9}" xr6:coauthVersionLast="47" xr6:coauthVersionMax="47" xr10:uidLastSave="{00000000-0000-0000-0000-000000000000}"/>
  <bookViews>
    <workbookView xWindow="3680" yWindow="500" windowWidth="35360" windowHeight="27040" xr2:uid="{4C02D953-947E-7E4E-AA2E-79ADA303DC78}"/>
  </bookViews>
  <sheets>
    <sheet name="WI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1" l="1"/>
  <c r="B57" i="1"/>
  <c r="B53" i="1"/>
  <c r="B46" i="1"/>
  <c r="B39" i="1"/>
  <c r="B32" i="1"/>
  <c r="B16" i="1"/>
  <c r="B64" i="1" l="1"/>
</calcChain>
</file>

<file path=xl/sharedStrings.xml><?xml version="1.0" encoding="utf-8"?>
<sst xmlns="http://schemas.openxmlformats.org/spreadsheetml/2006/main" count="60" uniqueCount="53">
  <si>
    <t>WITTEKIND</t>
  </si>
  <si>
    <t>4. Quartal 2023</t>
  </si>
  <si>
    <t>www.wittekind-moebel.de</t>
  </si>
  <si>
    <t>Monatliche Optimierung</t>
  </si>
  <si>
    <t>Aufwand ca. in Std.</t>
  </si>
  <si>
    <t>1. Linkaufbau &amp; externe Veröffentlichungen</t>
  </si>
  <si>
    <t xml:space="preserve">Textarbeiten (Gastartikel): Briefing und Recherche, Texterstellung für Gastbeitrag auf "fertighaus.com" Lektorat, Abstimmung und Vorbereitung zur Veröffentlichung (18.10., EXT, TKI) </t>
  </si>
  <si>
    <t xml:space="preserve">Textarbeiten (Gastartikel): Briefing und Recherche, Texterstellung für Gastbeitrag auf "luxury-first.com" Lektorat, Abstimmung und Vorbereitung zur Veröffentlichung (23.10., EXT, TKI) </t>
  </si>
  <si>
    <t xml:space="preserve">Textarbeiten (Gastartikel): Briefing und Recherche, Texterstellung für Gastbeitrag auf "gastropodo.com" Lektorat, Abstimmung und Vorbereitung zur Veröffentlichung (30.11., EXT, TKI) </t>
  </si>
  <si>
    <t xml:space="preserve">Textarbeiten (Gastartikel): Briefing und Recherche, Texterstellung für Gastbeitrag auf "lebe-liebe-lache.com" Lektorat, Abstimmung und Vorbereitung zur Veröffentlichung (23.11., EXT, TKI) </t>
  </si>
  <si>
    <t>Linkaufbau-Organisation und Abstimmung mit den Seitenbetreibern zur Veröffentlichung der vorbereiteten Gastartikel, Artikel zuschicken, Prüfung der Link-Integration, Abrechnung der Linkaufbau-Auslagen, Abstimmung und Dokumentation (18.10.-20.12., TKI)</t>
  </si>
  <si>
    <t>https://www.fertighaus.com/news/news_detail.php?n_id=1955</t>
  </si>
  <si>
    <t>https://www.luxury-first.de/luxurioese-entspannung-diese-outdoor-sonnenliegen-vereinen-geschmack-und-komfort-21038/</t>
  </si>
  <si>
    <t>https://www.lebe-liebe-lache.com/articles/53/5384/nachhaltige-gartenpraxis-umweltfreundliche-materialien-gestaltungsideen-und-pflegetipps/</t>
  </si>
  <si>
    <t>https://www.gastprodo.com/magazin/gastro-einrichtung-so-gelingt-das-richtige-konzept-fuer-den-eigenen-betrieb/</t>
  </si>
  <si>
    <t>Link-Monitoring: Neue Verlinkungen aus Link-Tools der letzten 30 Tage überprüft, einzeln bewertet (monatlich 0,25 Std., TKI)</t>
  </si>
  <si>
    <t>2. Redaktionelle Arbeiten und Website-Pflege</t>
  </si>
  <si>
    <t>Textoptimierung Lounge 3er Sofa: Abstimmung, Recherche und Textoptimierung für bestehende Unterseite, Überarbeitung des Bestandstexts und Texterweiterung, Keyword-Optimierung nach WDF*IDF, Ergänzungen und kl. Anpassungen, Lektorat und finale Bearbeitung, Versand an Kunden und Dokumentation (10.-18.10., JDR, TKI)</t>
  </si>
  <si>
    <t>Textoptimierung Feuertisch groß: Abstimmung, Recherche und Textoptimierung für bestehende Unterseite, Überarbeitung des Bestandstexts und Texterweiterung, Keyword-Optimierung nach WDF*IDF, Ergänzungen und kl. Anpassungen, Lektorat und finale Bearbeitung, Versand an Kunden und Dokumentation (16.-20.10., JDR, TKI)</t>
  </si>
  <si>
    <t>Textoptimierung Esstisch 8+2: Abstimmung, Recherche und Textoptimierung für bestehende Unterseite, Überarbeitung des Bestandstexts und Texterweiterung, Keyword-Optimierung nach WDF*IDF, Ergänzungen und kl. Anpassungen, Lektorat und finale Bearbeitung, Versand an Kunden und Dokumentation (18.-23.10., JDR, TKI)</t>
  </si>
  <si>
    <t>Textoptimierung 4er Sitzbank: Abstimmung, Recherche und Textoptimierung für bestehende Unterseite, Überarbeitung des Bestandstexts und Texterweiterung, Keyword-Optimierung nach WDF*IDF, Ergänzungen und kl. Anpassungen, Lektorat und finale Bearbeitung, Versand an Kunden und Dokumentation (18.-23.10., JDR, TKI)</t>
  </si>
  <si>
    <t>Textoptimierung Lounge Fußhocker: Abstimmung, Recherche und Textoptimierung für bestehende Unterseite, Überarbeitung des Bestandstexts und Texterweiterung, Keyword-Optimierung nach WDF*IDF, Ergänzungen und kl. Anpassungen, Lektorat und finale Bearbeitung, Versand an Kunden und Dokumentation (25.-27.10., JDR, TKI)</t>
  </si>
  <si>
    <t>Textoptimierung Loungetisch: Abstimmung, Recherche und Textoptimierung für bestehende Unterseite, Überarbeitung des Bestandstexts und Texterweiterung, Keyword-Optimierung nach WDF*IDF, Ergänzungen und kl. Anpassungen, Lektorat und finale Bearbeitung, Versand an Kunden und Dokumentation (25.-26.10., JDR, TKI)</t>
  </si>
  <si>
    <t>Einpflegen von optimierten Texten auf sechs Unterseiten: Finale Textkorrektur nach Freigabe, Interne Abstimmung und Einpflegen der neuen Texte auf der Website, Strukturierung der Absätze und einheitliche Formatierung der Inhalte, Bildbearbeitung und -integration, kl. Anpassungen und Dokumentation (31.10., NMA, TKI)</t>
  </si>
  <si>
    <t>Einrichtung Winterpause auf der Website durch Störer und div. Textabschnitte, Dokumentation per Video, Abstimmung (06.12., TKI)</t>
  </si>
  <si>
    <t>Textarbeiten Lounge Tisch (mini): Abstimmung, Briefing und inhaltliche Konzeption, Recherche und Zusammentragen der Informationen, Texterstellung, Keyword-Optimierung nach WDF*IDF, Ergänzungen und kl. Anpassungen, Lektorat und finale Bearbeitung, Versand an Kunden und Dokumentation (29.11.-04.12., JDR, TKI)</t>
  </si>
  <si>
    <t>Textarbeiten Lounge Feuertisch (mini): Abstimmung, Briefing und inhaltliche Konzeption, Recherche und Zusammentragen der Informationen, Texterstellung, Keyword-Optimierung nach WDF*IDF, Ergänzungen und kl. Anpassungen, Lektorat und finale Bearbeitung, Versand an Kunden und Dokumentation (05.-08.12., JDR, TKI)</t>
  </si>
  <si>
    <t>Textarbeiten Lounge Feuertisch (lang): Abstimmung, Briefing und inhaltliche Konzeption, Recherche und Zusammentragen der Informationen, Texterstellung, Keyword-Optimierung nach WDF*IDF, Ergänzungen und kl. Anpassungen, Lektorat und finale Bearbeitung, Versand an Kunden und Dokumentation (07.-08.12., JDR, TKI)</t>
  </si>
  <si>
    <t>Bildbearbeitung und Freisteller inkl. Maßebilder für drei neue Produkte (mini / lang), Abstimmung und Einbau auf der Website (14.12., BKO)</t>
  </si>
  <si>
    <t>Einpflegen von optimierten Texten auf drei Unterseiten: Finale Textkorrektur nach Freigabe, Interne Abstimmung und Einpflegen der neuen Texte auf der Website, Strukturierung der Absätze und einheitliche Formatierung der Inhalte, Bildbearbeitung und -integration, kl. Anpassungen und Dokumentation (11.-18.12., NMA, TKI)</t>
  </si>
  <si>
    <t>3. Taskforce "Ereignisorientierte Vermarktung"</t>
  </si>
  <si>
    <t>Finale Prüfung und Lektorat des Konzepts und des Textbriefings, wunschgemäß anpassen und Feedback für Texter vorbereiten, Kommunikation, Meeting, Ergänzung des Konzepts, Erstellen einer finalen Version, Terminabsprache Texter, Dokumentation (12., 13.10., GBO, TKI)</t>
  </si>
  <si>
    <t>Textarbeiten Ratgber "Große Terrassen / Dachterrassen": Abstimmung, Briefing und inhaltliche Konzeption, Recherche und Zusammentragen der Informationen, Texterstellung, Keyword-Optimierung nach WDF*IDF, Ergänzungen und kl. Anpassungen, Lektorat und finale Bearbeitung, Versand an Kunden und Dokumentation (16.-25.11., JDR, GBO, TKI)</t>
  </si>
  <si>
    <t>Einpflegen des Ratgebers "Große Terrassen / Dachterrassen": Interne Abstimmung und Einpflegen der neuen Texte auf der Website, Aufbau der Seite mit abwechslungsreichen Text- und Seitenelementen, Störern, Absätzen, Fotos, etc., Strukturierung der Absätze und einheitliche Formatierung der Inhalte, Bildbearbeitung und -integration, kl. Anpassungen und Dokumentation (18.-21.12., MGO, GBO, TKI)</t>
  </si>
  <si>
    <t>Weitere Planung der Ratgeber-Themen für 2024, Briefings und Tickets erstellt, interne Abstimmung (08.12., JDR)</t>
  </si>
  <si>
    <t>4. Technik / Programmierung / Webentwicklung</t>
  </si>
  <si>
    <t>Anpassung des Templates: Optimierung / Anpassung der verwendeten Schriftarten, visuelle Anpassung von Elementen mittels Custom CSS für mehr Klarheit, Optimierung des Produktgrids mit zusätzlichen Feldern und einer einfachen Pflege, überarbeitetes Konzept für Buttons, Optimierung des Hero Headers zur einfachen Pflege über ein Text/Medien Element oder diverser andere Elemente (anteilig) für einen edleren Gesamteindruck (24.-30.10., BKO, TKI)</t>
  </si>
  <si>
    <t>Einrichtung von Zubehör-Produkten (z.B. Holzsäule für Gasflasche) als optionale Variante, Einrichtung des Custom Post Types, Anlegen einer ersten Zubehör-Variante, Abstimmung und Dokumentation (22.-25.10., TKI)</t>
  </si>
  <si>
    <t>Individuelle Programmierung: Logoslider kann nun mit Referenzen verknüpft werden, welche über eine Lightbox geöffnet werden (14.12., BKO)</t>
  </si>
  <si>
    <t>Implementierung eines Systems für Mehrsprachigkeit (DE/EN/), Erkennung
der Nutzersprache anhand des Browsers, Integration der KI-gestützten, maschinellen Übersetzung mit dem Tool "Weglot" auf der Website, 
Einrichtung der Grundfunktionen bei Weglot und Integration eines intuitiven Sprachmenüs im Header, kl. Anpassungen, Abstimmung und Dokumentation (22.-27.11., 07.-11.12., 14.-20.12., BKO, TKI)</t>
  </si>
  <si>
    <t>5. Jahreskatalog 2024</t>
  </si>
  <si>
    <t>Überarbeitung Wittekind Katalog für 2024: Abstimmung, Durchsicht der Daten, Änderung der Schriftarten im ganzen Katalog, Layout neuer Seiten, Inhaltsanpassungen und Dokumentation (30.11., RBO)</t>
  </si>
  <si>
    <t>Umschreiben der gesamten Katalogtexte von Sie auf Du (16.-22.11., TKI)</t>
  </si>
  <si>
    <t>Überarbeitung Wittekind Katalog für 2024: Abstimmung, Durchsicht der Daten, Änderung der Schriftarten im ganzen Katalog, Layout neuer Seiten, Inhaltsanpassungen und Dokumentation. Anlegen von neuen Vorschau-Grafiken für die Website (04.-14.12., RBO)</t>
  </si>
  <si>
    <t>Prüfung des gesamten Katalogs nach Schriftanpassung, Textarbeiten und Zuarbeit für neue Katalogseiten, Bildbearbeitung (KI-gestützt), Einholen der Druckpreise, Druckauftrag, Abstimmung und Dokumentation (06.-19.12., TKI)</t>
  </si>
  <si>
    <t>6. Google Ads, Social Ads, etc.</t>
  </si>
  <si>
    <t>Google Ads Monitoring (4. Quartal): Fortlaufendes Monitoring der eingerichteten Kampagnen und Anzeigengruppen, Anlegen weiterer Anzeigengruppen mit div. Keywords lt. Cluster-Auswahl, Texten von Anzeigen, Ergänzung und Ausschluss von passenden / unpassenden Keywords, kl. Änderungen, Auswertung jeweils zum Monatsende (01.10.-31.12., JST, TKI)</t>
  </si>
  <si>
    <t>7. Beratung &amp; Sonstiges</t>
  </si>
  <si>
    <t>Newsletter texten und versenden: Preiserhöhung 2024, interne Abstimmung, Aufbereitung der Empfängerdaten, Texterstellung sowie Gestaltung, Versand und Überwachung des Mailings, Abschließende Auswertung und Export abgemeldeter E-Mailadresse, Abstimmung und Dokumentation (06.-20.12., RBO, TKI)</t>
  </si>
  <si>
    <t>Projektmanagement: Organisation, Planung, Überwachung und Steuerung der Aufgaben und Ressourcen (pro Tagessatz ca. 0,5 Std., TKI)</t>
  </si>
  <si>
    <t>Aufwand ca. insgesamt in Std.</t>
  </si>
  <si>
    <t>Aufwand in Tagessätzen</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</si>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</sst>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font>
    <font>
      <b/>
      <sz val="16"/>
      <color theme="1"/>
      <name val="Arial"/>
      <family val="2"/>
    </font>
    <font>
      <sz val="12"/>
      <color theme="1"/>
      <name val="Arial"/>
      <family val="2"/>
    </font>
    <font>
      <u/>
      <sz val="10"/>
      <color theme="10"/>
      <name val="Arial"/>
      <family val="2"/>
    </font>
    <font>
      <sz val="10"/>
      <color theme="1"/>
      <name val="Arial"/>
      <family val="2"/>
    </font>
    <font>
      <sz val="10"/>
      <color theme="1"/>
      <name val="Calibri"/>
      <family val="2"/>
    </font>
    <font>
      <b/>
      <sz val="10"/>
      <color theme="1"/>
      <name val="Arial"/>
      <family val="2"/>
    </font>
    <font>
      <u/>
      <sz val="12"/>
      <color theme="10"/>
      <name val="Calibri"/>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indexed="64"/>
      </bottom>
      <diagonal/>
    </border>
    <border>
      <left style="thin">
        <color rgb="FF000000"/>
      </left>
      <right style="thin">
        <color rgb="FF000000"/>
      </right>
      <top/>
      <bottom style="medium">
        <color rgb="FF000000"/>
      </bottom>
      <diagonal/>
    </border>
  </borders>
  <cellStyleXfs count="2">
    <xf numFmtId="0" fontId="0" fillId="0" borderId="0"/>
    <xf numFmtId="0" fontId="7" fillId="0" borderId="0" applyNumberFormat="0" applyFill="0" applyBorder="0" applyAlignment="0" applyProtection="0"/>
  </cellStyleXfs>
  <cellXfs count="29">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3" fillId="0" borderId="0" xfId="0" applyFont="1"/>
    <xf numFmtId="49" fontId="4" fillId="0" borderId="0" xfId="0" applyNumberFormat="1" applyFont="1" applyAlignment="1">
      <alignment horizontal="right"/>
    </xf>
    <xf numFmtId="0" fontId="3" fillId="0" borderId="1" xfId="0" applyFont="1" applyBorder="1"/>
    <xf numFmtId="0" fontId="4" fillId="0" borderId="1" xfId="0" applyFont="1" applyBorder="1"/>
    <xf numFmtId="0" fontId="4" fillId="2" borderId="2" xfId="0" applyFont="1" applyFill="1" applyBorder="1" applyAlignment="1">
      <alignment horizontal="center" vertical="center"/>
    </xf>
    <xf numFmtId="0" fontId="4" fillId="0" borderId="0" xfId="0" applyFont="1"/>
    <xf numFmtId="0" fontId="5" fillId="0" borderId="0" xfId="0" applyFont="1"/>
    <xf numFmtId="0" fontId="6" fillId="0" borderId="2" xfId="0" applyFont="1" applyBorder="1"/>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vertical="top" wrapText="1"/>
    </xf>
    <xf numFmtId="0" fontId="4" fillId="3" borderId="3" xfId="0" applyFont="1" applyFill="1" applyBorder="1" applyAlignment="1">
      <alignment vertical="top" wrapText="1"/>
    </xf>
    <xf numFmtId="0" fontId="3" fillId="3" borderId="3" xfId="1" applyFont="1" applyFill="1" applyBorder="1" applyAlignment="1">
      <alignment vertical="top" wrapText="1"/>
    </xf>
    <xf numFmtId="0" fontId="4" fillId="2" borderId="3" xfId="0" applyFont="1" applyFill="1" applyBorder="1" applyAlignment="1">
      <alignment vertical="center"/>
    </xf>
    <xf numFmtId="0" fontId="4" fillId="0" borderId="4" xfId="0" applyFont="1" applyBorder="1"/>
    <xf numFmtId="0" fontId="4" fillId="0" borderId="4" xfId="0" applyFont="1" applyBorder="1" applyAlignment="1">
      <alignment horizontal="center" vertical="center"/>
    </xf>
    <xf numFmtId="0" fontId="4" fillId="2" borderId="2" xfId="0" applyFont="1" applyFill="1" applyBorder="1" applyAlignment="1">
      <alignment vertical="center"/>
    </xf>
    <xf numFmtId="0" fontId="6" fillId="0" borderId="2" xfId="0" applyFont="1" applyBorder="1" applyAlignment="1">
      <alignment vertical="top" wrapText="1"/>
    </xf>
    <xf numFmtId="0" fontId="4" fillId="2" borderId="3" xfId="0" applyFont="1" applyFill="1" applyBorder="1" applyAlignment="1">
      <alignment horizontal="center" vertical="center"/>
    </xf>
    <xf numFmtId="0" fontId="4" fillId="2" borderId="5" xfId="0" applyFont="1" applyFill="1" applyBorder="1" applyAlignment="1">
      <alignment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8" fillId="0" borderId="0" xfId="0" applyFont="1"/>
    <xf numFmtId="0" fontId="7" fillId="0" borderId="0" xfId="1"/>
    <xf numFmtId="0" fontId="4" fillId="0" borderId="2" xfId="0" applyFont="1" applyBorder="1" applyAlignment="1" applyProtection="1">
      <alignment vertical="top" wrapText="1"/>
      <protection locked="0"/>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fertighaus.com/news/news_detail.php?n_id=1955" TargetMode="External"/><Relationship Id="rId2" Type="http://schemas.openxmlformats.org/officeDocument/2006/relationships/hyperlink" Target="https://www.thoxan.com/kontakt/" TargetMode="External"/><Relationship Id="rId1" Type="http://schemas.openxmlformats.org/officeDocument/2006/relationships/hyperlink" Target="http://www.wittekind-moebel.de/" TargetMode="External"/><Relationship Id="rId6" Type="http://schemas.openxmlformats.org/officeDocument/2006/relationships/hyperlink" Target="https://www.gastprodo.com/magazin/gastro-einrichtung-so-gelingt-das-richtige-konzept-fuer-den-eigenen-betrieb/" TargetMode="External"/><Relationship Id="rId5" Type="http://schemas.openxmlformats.org/officeDocument/2006/relationships/hyperlink" Target="https://www.lebe-liebe-lache.com/articles/53/5384/nachhaltige-gartenpraxis-umweltfreundliche-materialien-gestaltungsideen-und-pflegetipps/" TargetMode="External"/><Relationship Id="rId4" Type="http://schemas.openxmlformats.org/officeDocument/2006/relationships/hyperlink" Target="https://www.luxury-first.de/luxurioese-entspannung-diese-outdoor-sonnenliegen-vereinen-geschmack-und-komfort-210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1E39C-33F5-1545-849F-0C4F290B8459}">
  <dimension ref="A1:B1010"/>
  <sheetViews>
    <sheetView tabSelected="1" zoomScale="150" zoomScaleNormal="150" workbookViewId="0">
      <pane ySplit="4" topLeftCell="A48" activePane="bottomLeft" state="frozen"/>
      <selection pane="bottomLeft" activeCell="B60" sqref="B60"/>
    </sheetView>
  </sheetViews>
  <sheetFormatPr baseColWidth="10" defaultColWidth="11.1640625" defaultRowHeight="15" customHeight="1" x14ac:dyDescent="0.2"/>
  <cols>
    <col min="1" max="1" width="57.5" customWidth="1"/>
    <col min="2" max="2" width="24.6640625" customWidth="1"/>
  </cols>
  <sheetData>
    <row r="1" spans="1:2" ht="21" customHeight="1" x14ac:dyDescent="0.2">
      <c r="A1" s="1" t="s">
        <v>0</v>
      </c>
      <c r="B1" s="2" t="s">
        <v>1</v>
      </c>
    </row>
    <row r="2" spans="1:2" ht="15.75" customHeight="1" x14ac:dyDescent="0.2">
      <c r="A2" s="4" t="s">
        <v>2</v>
      </c>
      <c r="B2" s="5" t="s">
        <v>3</v>
      </c>
    </row>
    <row r="3" spans="1:2" ht="15.75" customHeight="1" x14ac:dyDescent="0.2">
      <c r="A3" s="6"/>
      <c r="B3" s="7"/>
    </row>
    <row r="4" spans="1:2" s="10" customFormat="1" ht="28" customHeight="1" x14ac:dyDescent="0.2">
      <c r="A4" s="8"/>
      <c r="B4" s="8" t="s">
        <v>4</v>
      </c>
    </row>
    <row r="5" spans="1:2" s="10" customFormat="1" ht="15.75" customHeight="1" x14ac:dyDescent="0.2">
      <c r="A5" s="11" t="s">
        <v>5</v>
      </c>
      <c r="B5" s="12"/>
    </row>
    <row r="6" spans="1:2" s="10" customFormat="1" ht="42" x14ac:dyDescent="0.2">
      <c r="A6" s="14" t="s">
        <v>6</v>
      </c>
      <c r="B6" s="12">
        <v>3</v>
      </c>
    </row>
    <row r="7" spans="1:2" s="10" customFormat="1" ht="42" x14ac:dyDescent="0.2">
      <c r="A7" s="14" t="s">
        <v>7</v>
      </c>
      <c r="B7" s="12">
        <v>3</v>
      </c>
    </row>
    <row r="8" spans="1:2" s="10" customFormat="1" ht="42" x14ac:dyDescent="0.2">
      <c r="A8" s="14" t="s">
        <v>8</v>
      </c>
      <c r="B8" s="12">
        <v>3</v>
      </c>
    </row>
    <row r="9" spans="1:2" s="10" customFormat="1" ht="42" x14ac:dyDescent="0.2">
      <c r="A9" s="14" t="s">
        <v>9</v>
      </c>
      <c r="B9" s="12">
        <v>3</v>
      </c>
    </row>
    <row r="10" spans="1:2" s="10" customFormat="1" ht="56" x14ac:dyDescent="0.2">
      <c r="A10" s="15" t="s">
        <v>10</v>
      </c>
      <c r="B10" s="13">
        <v>2.25</v>
      </c>
    </row>
    <row r="11" spans="1:2" s="9" customFormat="1" ht="14" x14ac:dyDescent="0.15">
      <c r="A11" s="16" t="s">
        <v>11</v>
      </c>
      <c r="B11" s="13"/>
    </row>
    <row r="12" spans="1:2" s="9" customFormat="1" ht="28" x14ac:dyDescent="0.15">
      <c r="A12" s="16" t="s">
        <v>12</v>
      </c>
      <c r="B12" s="13"/>
    </row>
    <row r="13" spans="1:2" s="9" customFormat="1" ht="42" x14ac:dyDescent="0.15">
      <c r="A13" s="16" t="s">
        <v>13</v>
      </c>
      <c r="B13" s="13"/>
    </row>
    <row r="14" spans="1:2" s="9" customFormat="1" ht="28" x14ac:dyDescent="0.15">
      <c r="A14" s="16" t="s">
        <v>14</v>
      </c>
      <c r="B14" s="13"/>
    </row>
    <row r="15" spans="1:2" s="10" customFormat="1" ht="28" x14ac:dyDescent="0.2">
      <c r="A15" s="15" t="s">
        <v>15</v>
      </c>
      <c r="B15" s="13">
        <v>0.75</v>
      </c>
    </row>
    <row r="16" spans="1:2" s="10" customFormat="1" ht="15.75" customHeight="1" x14ac:dyDescent="0.2">
      <c r="A16" s="17" t="s">
        <v>4</v>
      </c>
      <c r="B16" s="8">
        <f>SUM(B6:B15)</f>
        <v>15</v>
      </c>
    </row>
    <row r="17" spans="1:2" s="10" customFormat="1" ht="15.75" customHeight="1" x14ac:dyDescent="0.2">
      <c r="A17" s="18"/>
      <c r="B17" s="19"/>
    </row>
    <row r="18" spans="1:2" s="10" customFormat="1" ht="15.75" customHeight="1" x14ac:dyDescent="0.2">
      <c r="A18" s="11" t="s">
        <v>16</v>
      </c>
      <c r="B18" s="12"/>
    </row>
    <row r="19" spans="1:2" s="10" customFormat="1" ht="84" x14ac:dyDescent="0.2">
      <c r="A19" s="14" t="s">
        <v>17</v>
      </c>
      <c r="B19" s="12">
        <v>2.5</v>
      </c>
    </row>
    <row r="20" spans="1:2" s="10" customFormat="1" ht="84" x14ac:dyDescent="0.2">
      <c r="A20" s="14" t="s">
        <v>18</v>
      </c>
      <c r="B20" s="12">
        <v>2</v>
      </c>
    </row>
    <row r="21" spans="1:2" s="10" customFormat="1" ht="84" x14ac:dyDescent="0.2">
      <c r="A21" s="14" t="s">
        <v>19</v>
      </c>
      <c r="B21" s="12">
        <v>2</v>
      </c>
    </row>
    <row r="22" spans="1:2" s="10" customFormat="1" ht="84" x14ac:dyDescent="0.2">
      <c r="A22" s="14" t="s">
        <v>20</v>
      </c>
      <c r="B22" s="12">
        <v>2</v>
      </c>
    </row>
    <row r="23" spans="1:2" s="10" customFormat="1" ht="84" x14ac:dyDescent="0.2">
      <c r="A23" s="14" t="s">
        <v>21</v>
      </c>
      <c r="B23" s="12">
        <v>2</v>
      </c>
    </row>
    <row r="24" spans="1:2" s="10" customFormat="1" ht="84" x14ac:dyDescent="0.2">
      <c r="A24" s="14" t="s">
        <v>22</v>
      </c>
      <c r="B24" s="12">
        <v>2</v>
      </c>
    </row>
    <row r="25" spans="1:2" s="10" customFormat="1" ht="70" x14ac:dyDescent="0.2">
      <c r="A25" s="28" t="s">
        <v>23</v>
      </c>
      <c r="B25" s="12">
        <v>3.25</v>
      </c>
    </row>
    <row r="26" spans="1:2" s="10" customFormat="1" ht="28" x14ac:dyDescent="0.2">
      <c r="A26" s="28" t="s">
        <v>24</v>
      </c>
      <c r="B26" s="12">
        <v>0.25</v>
      </c>
    </row>
    <row r="27" spans="1:2" s="10" customFormat="1" ht="70" x14ac:dyDescent="0.2">
      <c r="A27" s="28" t="s">
        <v>25</v>
      </c>
      <c r="B27" s="12">
        <v>4</v>
      </c>
    </row>
    <row r="28" spans="1:2" s="10" customFormat="1" ht="70" x14ac:dyDescent="0.2">
      <c r="A28" s="28" t="s">
        <v>26</v>
      </c>
      <c r="B28" s="12">
        <v>4</v>
      </c>
    </row>
    <row r="29" spans="1:2" s="10" customFormat="1" ht="70" x14ac:dyDescent="0.2">
      <c r="A29" s="28" t="s">
        <v>27</v>
      </c>
      <c r="B29" s="12">
        <v>4</v>
      </c>
    </row>
    <row r="30" spans="1:2" s="10" customFormat="1" ht="28" x14ac:dyDescent="0.2">
      <c r="A30" s="28" t="s">
        <v>28</v>
      </c>
      <c r="B30" s="12">
        <v>1</v>
      </c>
    </row>
    <row r="31" spans="1:2" s="10" customFormat="1" ht="70" x14ac:dyDescent="0.2">
      <c r="A31" s="28" t="s">
        <v>29</v>
      </c>
      <c r="B31" s="12">
        <v>5</v>
      </c>
    </row>
    <row r="32" spans="1:2" s="10" customFormat="1" ht="15.75" customHeight="1" x14ac:dyDescent="0.2">
      <c r="A32" s="20" t="s">
        <v>4</v>
      </c>
      <c r="B32" s="8">
        <f>SUM(B19:B31)</f>
        <v>34</v>
      </c>
    </row>
    <row r="33" spans="1:2" s="10" customFormat="1" ht="15.75" customHeight="1" x14ac:dyDescent="0.2">
      <c r="A33" s="14"/>
      <c r="B33" s="12"/>
    </row>
    <row r="34" spans="1:2" s="10" customFormat="1" ht="15.75" customHeight="1" x14ac:dyDescent="0.2">
      <c r="A34" s="21" t="s">
        <v>30</v>
      </c>
      <c r="B34" s="12"/>
    </row>
    <row r="35" spans="1:2" s="10" customFormat="1" ht="70" x14ac:dyDescent="0.2">
      <c r="A35" s="14" t="s">
        <v>31</v>
      </c>
      <c r="B35" s="12">
        <v>4</v>
      </c>
    </row>
    <row r="36" spans="1:2" s="10" customFormat="1" ht="84" x14ac:dyDescent="0.2">
      <c r="A36" s="14" t="s">
        <v>32</v>
      </c>
      <c r="B36" s="12">
        <v>6</v>
      </c>
    </row>
    <row r="37" spans="1:2" s="10" customFormat="1" ht="84" x14ac:dyDescent="0.2">
      <c r="A37" s="14" t="s">
        <v>33</v>
      </c>
      <c r="B37" s="12">
        <v>3.25</v>
      </c>
    </row>
    <row r="38" spans="1:2" s="10" customFormat="1" ht="28" x14ac:dyDescent="0.2">
      <c r="A38" s="14" t="s">
        <v>34</v>
      </c>
      <c r="B38" s="12">
        <v>1</v>
      </c>
    </row>
    <row r="39" spans="1:2" s="10" customFormat="1" ht="15.75" customHeight="1" x14ac:dyDescent="0.2">
      <c r="A39" s="20" t="s">
        <v>4</v>
      </c>
      <c r="B39" s="8">
        <f>SUM(B35:B38)</f>
        <v>14.25</v>
      </c>
    </row>
    <row r="40" spans="1:2" s="10" customFormat="1" ht="15.75" customHeight="1" x14ac:dyDescent="0.2">
      <c r="A40" s="14"/>
      <c r="B40" s="12"/>
    </row>
    <row r="41" spans="1:2" s="10" customFormat="1" ht="15.75" customHeight="1" x14ac:dyDescent="0.2">
      <c r="A41" s="11" t="s">
        <v>35</v>
      </c>
      <c r="B41" s="12"/>
    </row>
    <row r="42" spans="1:2" s="10" customFormat="1" ht="98" x14ac:dyDescent="0.2">
      <c r="A42" s="14" t="s">
        <v>36</v>
      </c>
      <c r="B42" s="12">
        <v>9</v>
      </c>
    </row>
    <row r="43" spans="1:2" s="10" customFormat="1" ht="56" x14ac:dyDescent="0.2">
      <c r="A43" s="14" t="s">
        <v>37</v>
      </c>
      <c r="B43" s="12">
        <v>2</v>
      </c>
    </row>
    <row r="44" spans="1:2" s="10" customFormat="1" ht="42" x14ac:dyDescent="0.2">
      <c r="A44" s="14" t="s">
        <v>38</v>
      </c>
      <c r="B44" s="12">
        <v>1</v>
      </c>
    </row>
    <row r="45" spans="1:2" s="10" customFormat="1" ht="98" x14ac:dyDescent="0.2">
      <c r="A45" s="14" t="s">
        <v>39</v>
      </c>
      <c r="B45" s="12">
        <v>10</v>
      </c>
    </row>
    <row r="46" spans="1:2" s="10" customFormat="1" ht="15.75" customHeight="1" x14ac:dyDescent="0.2">
      <c r="A46" s="20" t="s">
        <v>4</v>
      </c>
      <c r="B46" s="22">
        <f>SUM(B42:B45)</f>
        <v>22</v>
      </c>
    </row>
    <row r="47" spans="1:2" s="10" customFormat="1" ht="15.75" customHeight="1" x14ac:dyDescent="0.2">
      <c r="A47" s="11"/>
      <c r="B47" s="12"/>
    </row>
    <row r="48" spans="1:2" s="10" customFormat="1" ht="15.75" customHeight="1" x14ac:dyDescent="0.2">
      <c r="A48" s="11" t="s">
        <v>40</v>
      </c>
      <c r="B48" s="12"/>
    </row>
    <row r="49" spans="1:2" s="10" customFormat="1" ht="42" x14ac:dyDescent="0.2">
      <c r="A49" s="14" t="s">
        <v>41</v>
      </c>
      <c r="B49" s="12">
        <v>9.5</v>
      </c>
    </row>
    <row r="50" spans="1:2" s="10" customFormat="1" ht="28" x14ac:dyDescent="0.2">
      <c r="A50" s="14" t="s">
        <v>42</v>
      </c>
      <c r="B50" s="12">
        <v>2</v>
      </c>
    </row>
    <row r="51" spans="1:2" s="10" customFormat="1" ht="56" x14ac:dyDescent="0.2">
      <c r="A51" s="14" t="s">
        <v>43</v>
      </c>
      <c r="B51" s="12">
        <v>6.25</v>
      </c>
    </row>
    <row r="52" spans="1:2" s="10" customFormat="1" ht="56" x14ac:dyDescent="0.2">
      <c r="A52" s="14" t="s">
        <v>44</v>
      </c>
      <c r="B52" s="12">
        <v>4</v>
      </c>
    </row>
    <row r="53" spans="1:2" s="10" customFormat="1" ht="15.75" customHeight="1" x14ac:dyDescent="0.2">
      <c r="A53" s="20" t="s">
        <v>4</v>
      </c>
      <c r="B53" s="22">
        <f>SUM(B49:B52)</f>
        <v>21.75</v>
      </c>
    </row>
    <row r="54" spans="1:2" s="10" customFormat="1" ht="15.75" customHeight="1" x14ac:dyDescent="0.2">
      <c r="A54" s="11"/>
      <c r="B54" s="12"/>
    </row>
    <row r="55" spans="1:2" s="10" customFormat="1" ht="15.75" customHeight="1" x14ac:dyDescent="0.2">
      <c r="A55" s="11" t="s">
        <v>45</v>
      </c>
      <c r="B55" s="12"/>
    </row>
    <row r="56" spans="1:2" s="10" customFormat="1" ht="84" x14ac:dyDescent="0.2">
      <c r="A56" s="14" t="s">
        <v>46</v>
      </c>
      <c r="B56" s="12">
        <v>2</v>
      </c>
    </row>
    <row r="57" spans="1:2" s="10" customFormat="1" ht="15.75" customHeight="1" x14ac:dyDescent="0.2">
      <c r="A57" s="20" t="s">
        <v>4</v>
      </c>
      <c r="B57" s="8">
        <f>SUM(B56:B56)</f>
        <v>2</v>
      </c>
    </row>
    <row r="58" spans="1:2" s="10" customFormat="1" ht="15.75" customHeight="1" x14ac:dyDescent="0.2">
      <c r="A58" s="11"/>
      <c r="B58" s="12"/>
    </row>
    <row r="59" spans="1:2" s="10" customFormat="1" ht="15.75" customHeight="1" x14ac:dyDescent="0.2">
      <c r="A59" s="11" t="s">
        <v>47</v>
      </c>
      <c r="B59" s="12"/>
    </row>
    <row r="60" spans="1:2" s="10" customFormat="1" ht="70" x14ac:dyDescent="0.2">
      <c r="A60" s="14" t="s">
        <v>48</v>
      </c>
      <c r="B60" s="12">
        <v>3</v>
      </c>
    </row>
    <row r="61" spans="1:2" s="10" customFormat="1" ht="42" x14ac:dyDescent="0.2">
      <c r="A61" s="14" t="s">
        <v>49</v>
      </c>
      <c r="B61" s="12">
        <v>6</v>
      </c>
    </row>
    <row r="62" spans="1:2" s="10" customFormat="1" ht="15.75" customHeight="1" x14ac:dyDescent="0.2">
      <c r="A62" s="20" t="s">
        <v>4</v>
      </c>
      <c r="B62" s="22">
        <f>SUM(B60:B61)</f>
        <v>9</v>
      </c>
    </row>
    <row r="63" spans="1:2" s="10" customFormat="1" ht="15.75" customHeight="1" x14ac:dyDescent="0.2">
      <c r="A63" s="14"/>
      <c r="B63" s="12"/>
    </row>
    <row r="64" spans="1:2" s="10" customFormat="1" ht="16.5" customHeight="1" thickBot="1" x14ac:dyDescent="0.25">
      <c r="A64" s="23" t="s">
        <v>50</v>
      </c>
      <c r="B64" s="24">
        <f>SUM(B16+B32+B39+B46+B53+B57+B62)</f>
        <v>118</v>
      </c>
    </row>
    <row r="65" spans="1:2" s="10" customFormat="1" ht="16.5" customHeight="1" thickBot="1" x14ac:dyDescent="0.25">
      <c r="A65" s="23" t="s">
        <v>51</v>
      </c>
      <c r="B65" s="25">
        <v>13.5</v>
      </c>
    </row>
    <row r="66" spans="1:2" ht="15.75" customHeight="1" x14ac:dyDescent="0.2">
      <c r="A66" s="9"/>
      <c r="B66" s="9"/>
    </row>
    <row r="67" spans="1:2" ht="15.75" customHeight="1" x14ac:dyDescent="0.2">
      <c r="A67" s="26" t="s">
        <v>52</v>
      </c>
      <c r="B67" s="9"/>
    </row>
    <row r="69" spans="1:2" ht="15.75" customHeight="1" x14ac:dyDescent="0.2">
      <c r="A69" s="9"/>
      <c r="B69" s="9"/>
    </row>
    <row r="70" spans="1:2" ht="15.75" customHeight="1" x14ac:dyDescent="0.2">
      <c r="A70" s="9"/>
      <c r="B70" s="9"/>
    </row>
    <row r="71" spans="1:2" ht="15.75" customHeight="1" x14ac:dyDescent="0.2">
      <c r="A71" s="9"/>
      <c r="B71" s="9"/>
    </row>
    <row r="72" spans="1:2" ht="15.75" customHeight="1" x14ac:dyDescent="0.2">
      <c r="A72" s="9"/>
      <c r="B72" s="27"/>
    </row>
    <row r="73" spans="1:2" ht="15.75" customHeight="1" x14ac:dyDescent="0.2">
      <c r="A73" s="9"/>
      <c r="B73" s="9"/>
    </row>
    <row r="74" spans="1:2" ht="15.75" customHeight="1" x14ac:dyDescent="0.2">
      <c r="A74" s="9"/>
      <c r="B74" s="9"/>
    </row>
    <row r="75" spans="1:2" ht="15.75" customHeight="1" x14ac:dyDescent="0.2">
      <c r="A75" s="9"/>
      <c r="B75" s="9"/>
    </row>
    <row r="76" spans="1:2" ht="15.75" customHeight="1" x14ac:dyDescent="0.2">
      <c r="A76" s="9"/>
      <c r="B76" s="9"/>
    </row>
    <row r="77" spans="1:2" ht="15.75" customHeight="1" x14ac:dyDescent="0.2">
      <c r="A77" s="9"/>
      <c r="B77" s="9"/>
    </row>
    <row r="78" spans="1:2" ht="15.75" customHeight="1" x14ac:dyDescent="0.2">
      <c r="A78" s="9"/>
      <c r="B78" s="9"/>
    </row>
    <row r="79" spans="1:2" ht="15.75" customHeight="1" x14ac:dyDescent="0.2">
      <c r="A79" s="9"/>
      <c r="B79" s="9"/>
    </row>
    <row r="80" spans="1:2" ht="15.75" customHeight="1" x14ac:dyDescent="0.2">
      <c r="A80" s="9"/>
      <c r="B80" s="9"/>
    </row>
    <row r="81" spans="1:2" ht="15.75" customHeight="1" x14ac:dyDescent="0.2">
      <c r="A81" s="9"/>
      <c r="B81" s="9"/>
    </row>
    <row r="82" spans="1:2" ht="15.75" customHeight="1" x14ac:dyDescent="0.2">
      <c r="A82" s="9"/>
      <c r="B82" s="9"/>
    </row>
    <row r="83" spans="1:2" ht="15.75" customHeight="1" x14ac:dyDescent="0.2">
      <c r="A83" s="9"/>
      <c r="B83" s="9"/>
    </row>
    <row r="84" spans="1:2" ht="15.75" customHeight="1" x14ac:dyDescent="0.2">
      <c r="A84" s="9"/>
      <c r="B84" s="9"/>
    </row>
    <row r="85" spans="1:2" ht="15.75" customHeight="1" x14ac:dyDescent="0.2">
      <c r="A85" s="9"/>
      <c r="B85" s="9"/>
    </row>
    <row r="86" spans="1:2" ht="15.75" customHeight="1" x14ac:dyDescent="0.2">
      <c r="A86" s="9"/>
      <c r="B86" s="9"/>
    </row>
    <row r="87" spans="1:2" ht="15.75" customHeight="1" x14ac:dyDescent="0.2">
      <c r="A87" s="9"/>
      <c r="B87" s="9"/>
    </row>
    <row r="88" spans="1:2" ht="15.75" customHeight="1" x14ac:dyDescent="0.2">
      <c r="A88" s="9"/>
      <c r="B88" s="9"/>
    </row>
    <row r="89" spans="1:2" ht="15.75" customHeight="1" x14ac:dyDescent="0.2">
      <c r="A89" s="9"/>
      <c r="B89" s="9"/>
    </row>
    <row r="90" spans="1:2" ht="15.75" customHeight="1" x14ac:dyDescent="0.2">
      <c r="A90" s="9"/>
      <c r="B90" s="9"/>
    </row>
    <row r="91" spans="1:2" ht="15.75" customHeight="1" x14ac:dyDescent="0.2">
      <c r="A91" s="9"/>
      <c r="B91" s="9"/>
    </row>
    <row r="92" spans="1:2" ht="15.75" customHeight="1" x14ac:dyDescent="0.2">
      <c r="A92" s="9"/>
      <c r="B92" s="9"/>
    </row>
    <row r="93" spans="1:2" ht="15.75" customHeight="1" x14ac:dyDescent="0.2">
      <c r="A93" s="9"/>
      <c r="B93" s="9"/>
    </row>
    <row r="94" spans="1:2" ht="15.75" customHeight="1" x14ac:dyDescent="0.2">
      <c r="A94" s="9"/>
      <c r="B94" s="9"/>
    </row>
    <row r="95" spans="1:2" ht="15.75" customHeight="1" x14ac:dyDescent="0.2">
      <c r="A95" s="9"/>
      <c r="B95" s="9"/>
    </row>
    <row r="96" spans="1:2" ht="15.75" customHeight="1" x14ac:dyDescent="0.2">
      <c r="A96" s="9"/>
      <c r="B96" s="9"/>
    </row>
    <row r="97" spans="1:2" ht="15.75" customHeight="1" x14ac:dyDescent="0.2">
      <c r="A97" s="9"/>
      <c r="B97" s="9"/>
    </row>
    <row r="98" spans="1:2" ht="15.75" customHeight="1" x14ac:dyDescent="0.2">
      <c r="A98" s="9"/>
      <c r="B98" s="9"/>
    </row>
    <row r="99" spans="1:2" ht="15.75" customHeight="1" x14ac:dyDescent="0.2">
      <c r="A99" s="9"/>
      <c r="B99" s="9"/>
    </row>
    <row r="100" spans="1:2" ht="15.75" customHeight="1" x14ac:dyDescent="0.2">
      <c r="A100" s="9"/>
      <c r="B100" s="9"/>
    </row>
    <row r="101" spans="1:2" ht="15.75" customHeight="1" x14ac:dyDescent="0.2">
      <c r="A101" s="9"/>
      <c r="B101" s="9"/>
    </row>
    <row r="102" spans="1:2" ht="15.75" customHeight="1" x14ac:dyDescent="0.2">
      <c r="A102" s="9"/>
      <c r="B102" s="9"/>
    </row>
    <row r="103" spans="1:2" ht="15.75" customHeight="1" x14ac:dyDescent="0.2">
      <c r="A103" s="9"/>
      <c r="B103" s="9"/>
    </row>
    <row r="104" spans="1:2" ht="15.75" customHeight="1" x14ac:dyDescent="0.2">
      <c r="A104" s="9"/>
      <c r="B104" s="9"/>
    </row>
    <row r="105" spans="1:2" ht="15.75" customHeight="1" x14ac:dyDescent="0.2">
      <c r="A105" s="9"/>
      <c r="B105" s="9"/>
    </row>
    <row r="106" spans="1:2" ht="15.75" customHeight="1" x14ac:dyDescent="0.2">
      <c r="A106" s="9"/>
      <c r="B106" s="9"/>
    </row>
    <row r="107" spans="1:2" ht="15.75" customHeight="1" x14ac:dyDescent="0.2">
      <c r="A107" s="9"/>
      <c r="B107" s="9"/>
    </row>
    <row r="108" spans="1:2" ht="15.75" customHeight="1" x14ac:dyDescent="0.2">
      <c r="A108" s="9"/>
      <c r="B108" s="9"/>
    </row>
    <row r="109" spans="1:2" ht="15.75" customHeight="1" x14ac:dyDescent="0.2">
      <c r="A109" s="9"/>
      <c r="B109" s="9"/>
    </row>
    <row r="110" spans="1:2" ht="15.75" customHeight="1" x14ac:dyDescent="0.2">
      <c r="A110" s="9"/>
      <c r="B110" s="9"/>
    </row>
    <row r="111" spans="1:2" ht="15.75" customHeight="1" x14ac:dyDescent="0.2">
      <c r="A111" s="9"/>
      <c r="B111" s="9"/>
    </row>
    <row r="112" spans="1:2" ht="15.75" customHeight="1" x14ac:dyDescent="0.2">
      <c r="A112" s="9"/>
      <c r="B112" s="9"/>
    </row>
    <row r="113" spans="1:2" ht="15.75" customHeight="1" x14ac:dyDescent="0.2">
      <c r="A113" s="9"/>
      <c r="B113" s="9"/>
    </row>
    <row r="114" spans="1:2" ht="15.75" customHeight="1" x14ac:dyDescent="0.2">
      <c r="A114" s="9"/>
      <c r="B114" s="9"/>
    </row>
    <row r="115" spans="1:2" ht="15.75" customHeight="1" x14ac:dyDescent="0.2">
      <c r="A115" s="9"/>
      <c r="B115" s="9"/>
    </row>
    <row r="116" spans="1:2" ht="15.75" customHeight="1" x14ac:dyDescent="0.2">
      <c r="A116" s="9"/>
      <c r="B116" s="9"/>
    </row>
    <row r="117" spans="1:2" ht="15.75" customHeight="1" x14ac:dyDescent="0.2">
      <c r="A117" s="9"/>
      <c r="B117" s="9"/>
    </row>
    <row r="118" spans="1:2" ht="15.75" customHeight="1" x14ac:dyDescent="0.2">
      <c r="A118" s="9"/>
      <c r="B118" s="9"/>
    </row>
    <row r="119" spans="1:2" ht="15.75" customHeight="1" x14ac:dyDescent="0.2">
      <c r="A119" s="9"/>
      <c r="B119" s="9"/>
    </row>
    <row r="120" spans="1:2" ht="15.75" customHeight="1" x14ac:dyDescent="0.2">
      <c r="A120" s="9"/>
      <c r="B120" s="9"/>
    </row>
    <row r="121" spans="1:2" ht="15.75" customHeight="1" x14ac:dyDescent="0.2">
      <c r="A121" s="9"/>
      <c r="B121" s="9"/>
    </row>
    <row r="122" spans="1:2" ht="15.75" customHeight="1" x14ac:dyDescent="0.2">
      <c r="A122" s="9"/>
      <c r="B122" s="9"/>
    </row>
    <row r="123" spans="1:2" ht="15.75" customHeight="1" x14ac:dyDescent="0.2">
      <c r="A123" s="9"/>
      <c r="B123" s="9"/>
    </row>
    <row r="124" spans="1:2" ht="15.75" customHeight="1" x14ac:dyDescent="0.2">
      <c r="A124" s="9"/>
      <c r="B124" s="9"/>
    </row>
    <row r="125" spans="1:2" ht="15.75" customHeight="1" x14ac:dyDescent="0.2">
      <c r="A125" s="9"/>
      <c r="B125" s="9"/>
    </row>
    <row r="126" spans="1:2" ht="15.75" customHeight="1" x14ac:dyDescent="0.2">
      <c r="A126" s="9"/>
      <c r="B126" s="9"/>
    </row>
    <row r="127" spans="1:2" ht="15.75" customHeight="1" x14ac:dyDescent="0.2">
      <c r="A127" s="9"/>
      <c r="B127" s="9"/>
    </row>
    <row r="128" spans="1:2" ht="15.75" customHeight="1" x14ac:dyDescent="0.2">
      <c r="A128" s="9"/>
      <c r="B128" s="9"/>
    </row>
    <row r="129" spans="1:2" ht="15.75" customHeight="1" x14ac:dyDescent="0.2">
      <c r="A129" s="9"/>
      <c r="B129" s="9"/>
    </row>
    <row r="130" spans="1:2" ht="15.75" customHeight="1" x14ac:dyDescent="0.2">
      <c r="A130" s="9"/>
      <c r="B130" s="9"/>
    </row>
    <row r="131" spans="1:2" ht="15.75" customHeight="1" x14ac:dyDescent="0.2">
      <c r="A131" s="9"/>
      <c r="B131" s="9"/>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row r="1008" spans="1:2" ht="15.75" customHeight="1" x14ac:dyDescent="0.2">
      <c r="A1008" s="3"/>
      <c r="B1008" s="3"/>
    </row>
    <row r="1009" spans="1:2" ht="15.75" customHeight="1" x14ac:dyDescent="0.2">
      <c r="A1009" s="3"/>
      <c r="B1009" s="3"/>
    </row>
    <row r="1010" spans="1:2" ht="15.75" customHeight="1" x14ac:dyDescent="0.2">
      <c r="A1010" s="3"/>
      <c r="B1010" s="3"/>
    </row>
  </sheetData>
  <hyperlinks>
    <hyperlink ref="A2" r:id="rId1" xr:uid="{C2C4EC47-C859-5F40-8F95-D0A744106E0F}"/>
    <hyperlink ref="A67" r:id="rId2" display="https://www.thoxan.com/kontakt/" xr:uid="{73CA8F08-C434-A444-922A-B11221685956}"/>
    <hyperlink ref="A11" r:id="rId3" xr:uid="{89AE19DE-09EB-2C40-9F7C-94BF62820121}"/>
    <hyperlink ref="A12" r:id="rId4" xr:uid="{18FD566A-27F9-7E46-89E5-C9176BA4F8D4}"/>
    <hyperlink ref="A13" r:id="rId5" xr:uid="{086ED907-6DC2-D143-9C35-770DF040C371}"/>
    <hyperlink ref="A14" r:id="rId6" xr:uid="{2DA49E1A-D192-D243-BE2B-5ED9AA9FA169}"/>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WIT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2023-12-21T16:46:28Z</dcterms:created>
  <dcterms:modified xsi:type="dcterms:W3CDTF">2023-12-21T16:59:27Z</dcterms:modified>
</cp:coreProperties>
</file>