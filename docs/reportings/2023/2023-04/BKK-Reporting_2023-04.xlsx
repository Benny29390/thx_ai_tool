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Volumes/G-RAID Studio/Zoho WorkDrive (thoxan)/THOXAN GMBH/REPORTINGS/2023-04/"/>
    </mc:Choice>
  </mc:AlternateContent>
  <xr:revisionPtr revIDLastSave="0" documentId="13_ncr:1_{9A1A3608-8348-924A-8F25-520CB735DB12}" xr6:coauthVersionLast="47" xr6:coauthVersionMax="47" xr10:uidLastSave="{00000000-0000-0000-0000-000000000000}"/>
  <bookViews>
    <workbookView xWindow="9580" yWindow="1360" windowWidth="36360" windowHeight="25960" xr2:uid="{6887EEE7-A368-7149-828C-D49FA809F3B0}"/>
  </bookViews>
  <sheets>
    <sheet name="BK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1" l="1"/>
  <c r="B38" i="1"/>
  <c r="B32" i="1"/>
  <c r="B28" i="1"/>
  <c r="B24" i="1"/>
  <c r="B18" i="1"/>
  <c r="B46" i="1" l="1"/>
</calcChain>
</file>

<file path=xl/sharedStrings.xml><?xml version="1.0" encoding="utf-8"?>
<sst xmlns="http://schemas.openxmlformats.org/spreadsheetml/2006/main" count="45" uniqueCount="38">
  <si>
    <t>BKK GILDEMEISTER SEIDENSTICKER</t>
  </si>
  <si>
    <t>April 2023</t>
  </si>
  <si>
    <t>www.bkkgs.de</t>
  </si>
  <si>
    <t>Monatliche Optimierung</t>
  </si>
  <si>
    <t>Aufwand ca. in Std.</t>
  </si>
  <si>
    <t>1. Linkaufbau, Online-PR</t>
  </si>
  <si>
    <t>Textarbeiten (Gastartikel): Briefing und Recherche, Texterstellung für Gastbeitrag auf ecowoman.de, Lektorat, Abstimmung und Vorbereitung zur Veröffentlichung (03.04., EXT, TKI)</t>
  </si>
  <si>
    <t>Textarbeiten (Gastartikel): Briefing und Recherche, Texterstellung für Gastbeitrag auf kribbelbunt.de, Lektorat, Abstimmung und Vorbereitung zur Veröffentlichung (11.04, EXT, TKI)</t>
  </si>
  <si>
    <t>Textarbeiten (Gastartikel): Briefing und Recherche, Texterstellung für Gastbeitrag auf allerliebeanfang.de, Lektorat, Abstimmung und Vorbereitung zur Veröffentlichung (17.04, EXT, TKI)</t>
  </si>
  <si>
    <t>Textarbeiten (Gastartikel): Briefing und Recherche, Texterstellung für Gastbeitrag auf balancebeautytime.com, Lektorat, Abstimmung und Vorbereitung zur Veröffentlichung (20.04, EXT, TKI)</t>
  </si>
  <si>
    <t>https://www.ecowoman.de/koerper-geist/gesundheit/deutsches-gesundheitssystem-darum-steigen-jahr-fuer-jahr-die-krankenkassenbeitraege-9851</t>
  </si>
  <si>
    <t>https://www.balancebeautytime.com/gesundheit/zahnvorsorge</t>
  </si>
  <si>
    <t>kribbelbunt.de</t>
  </si>
  <si>
    <t>(wartet auf Veröffentlichung)</t>
  </si>
  <si>
    <t>allerliebeanfang.de</t>
  </si>
  <si>
    <t>Pressemeldung: Abstimmung und Recherche für eine Pressemeldung zum Thema "Krisensicher", Texterstellung inkl. Abbinder, interne Verlinkung, ggf. Zitate, etc., Lektorat und Dokumentation, finale Absprachen (06.04., GBO, TKI)</t>
  </si>
  <si>
    <t>Pressemeldung auf gepflegten und geprüften (kostenfreien) Presseportalen online einstellen, Profile einrichten bzw. aktualisieren, Prüfung der Veröffentlichungen, Abstimmung und Dokumentation, Portale siehe Asana / E-Mail (17.-20.04., TKI)</t>
  </si>
  <si>
    <t>Link-Monitoring: Neue Verlinkungen aus Link-Tools der letzten 30 Tage überprüft, einzeln bewertet (monatlich ca. 0,25 Std., TKI)</t>
  </si>
  <si>
    <t>2. Website- und Redaktionelle Arbeiten</t>
  </si>
  <si>
    <t>Textarbeiten Unfallversicherung: Abstimmung, Briefing und inhaltliche Konzeption, Recherche und Zusammentragen der Informationen, Texterstellung, Keyword-Optimierung nach WDF*IDF, Ergänzungen und kl. Anpassungen, Lektorat und finale Bearbeitung, Versand an Kunden und Dokumentation (03,04., 13.-17.04. GBO, TKI)</t>
  </si>
  <si>
    <t>Textarbeiten Arbeitsunfall: Abstimmung, Briefing und inhaltliche Konzeption, Recherche und Zusammentragen der Informationen, Texterstellung, Keyword-Optimierung nach WDF*IDF, Ergänzungen und kl. Anpassungen, Lektorat und finale Bearbeitung, Versand an Kunden und Dokumentation (15.-17.04. GBO, TKI)</t>
  </si>
  <si>
    <t>Textkorrektur Coronavirus: Abstimmung und Durchsicht der Änderungswünsche, Inhaltliche Bearbeitung des Textes inkl. Umsetzung möglicher Ergänzungen (ggf. Umstrukturierung oder Texterweiterung), Durchsicht der Texte und finale Bearbeitung, Vorbereitung und Übergabe zum Einpflegen auf der Website (19., 24.04., TKI)</t>
  </si>
  <si>
    <t>3. Technische Arbeiten, Onpage-Optimierung, ggf. Programmierung</t>
  </si>
  <si>
    <t>Weitere Abstimmung und Überprüfung der Maßnahmen und der technischen Anpassungen von move:elevator, siehe Ticket-Dokumentation // außerdem Abstimmung zum Server-Monitoring wg. nächtlicher Unerreichbarkeit (01.-30.04., TKI)</t>
  </si>
  <si>
    <t>4. Google Ads, Monitoring</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</si>
  <si>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(01.-30.04., DHE, TKI)</t>
  </si>
  <si>
    <t>5. Auswertung und Maßnahmenplanung, Workshops</t>
  </si>
  <si>
    <t xml:space="preserve">Recherche und Durchsicht der Expertise aus dem Vorjahr, Analyse der aktuellen Kennzahlen, der Website-Entwicklung und der bisherigen Ergebnisse mit diversen Online-Tools, Ausblick, Planung und Erstellung der nächsten Schritte, Dokumentation und Aufbereitung der Ergebnisse in einer ca. 100-seitigen Präsentation, Vorbereitung des Workshops (01.-13..04., TKI) </t>
  </si>
  <si>
    <t>Durchführung eines Workshops: Inhaltliche Vorbereitung und Durchführung eines Workshops zum Thema Online-PR, Planung der Agenda, Recherche und Durchsicht früherer Präsentationen bzw. Auswertungen, Aufbereiten als Präsentation, Klären von div. Fragen, Abstimmung und weitere Planung, von 11:00 bis 12:45 Uhr, anschließende Dokumentation und interne Abstimmung (24.-25.04., TKI)</t>
  </si>
  <si>
    <t>6. Beratung &amp; Sonstiges</t>
  </si>
  <si>
    <t>Anfrage Matomo vs. Google – telefonische Abstimmung mit Milena, Recherche, Vorbereitung, Video-Statement zum weiteren Austausch
(20.-25.04., TKI)</t>
  </si>
  <si>
    <t>Finale Anpassungen Google Datastudio, Abstimmung und Dokumentation (04.-20.04., DHE)</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</si>
  <si>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</si>
  <si>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</si>
  <si>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</si>
  <si>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</si>
  <si>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Linkaufbau-Organisation und Abstimmung mit den Seitenbetreibern zur Veröffentlichung der vorbereiteten Gastartikel, Prüfung der Link-Integration, Abrechnung der Linkaufbau-Auslagen, Abstimmung und Dokumentation
(02.-27.04., TKI)</t>
  </si>
  <si>
    <t>Finale Vorbereitung und Durchführung eines Workshops per Zoom (10-12 Uhr), Präsentation der Jahresauswertung mit Ergebnissen, Kennzahlen und geplanten Maßnahmen, Abstimmung und Klären von Fragen, konkrete Maßnahmen- und Zeitplanung für die nächsten Schritte, anschließend kurze Dokumentation, Planung und interne Abstimmung weiterer Maßnahmen (14.04.,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</si>
</sst>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
      <color theme="3"/>
      <name val="Arial"/>
      <family val="2"/>
    </font>
    <font>
      <sz val="10.5"/>
      <color theme="1"/>
      <name val="Arial"/>
      <family val="2"/>
    </font>
    <font>
      <sz val="10.5"/>
      <color theme="1"/>
      <name val="Calibri"/>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35">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4" fillId="0" borderId="1" xfId="1" applyFont="1" applyBorder="1" applyAlignment="1">
      <alignment vertical="center" wrapText="1"/>
    </xf>
    <xf numFmtId="0" fontId="5" fillId="0" borderId="1" xfId="1" applyFont="1" applyBorder="1" applyAlignment="1">
      <alignment vertical="center" wrapText="1"/>
    </xf>
    <xf numFmtId="0" fontId="5" fillId="3" borderId="1" xfId="0" applyFont="1" applyFill="1" applyBorder="1" applyAlignment="1">
      <alignment horizontal="center" vertical="center" wrapText="1"/>
    </xf>
    <xf numFmtId="0" fontId="8" fillId="0" borderId="0" xfId="0" applyFont="1"/>
    <xf numFmtId="0" fontId="5" fillId="0" borderId="4" xfId="0" applyFont="1" applyBorder="1" applyAlignment="1">
      <alignment vertical="top" wrapText="1"/>
    </xf>
    <xf numFmtId="0" fontId="5" fillId="2" borderId="4" xfId="0" applyFont="1" applyFill="1" applyBorder="1" applyAlignment="1">
      <alignment vertical="center"/>
    </xf>
    <xf numFmtId="0" fontId="5" fillId="0" borderId="4" xfId="0" applyFont="1" applyBorder="1" applyAlignment="1">
      <alignment vertical="center"/>
    </xf>
    <xf numFmtId="0" fontId="3" fillId="0" borderId="4" xfId="0" applyFont="1" applyBorder="1"/>
    <xf numFmtId="0" fontId="5" fillId="0" borderId="3" xfId="0" applyFont="1" applyBorder="1" applyAlignment="1">
      <alignment horizontal="center" vertical="center"/>
    </xf>
    <xf numFmtId="0" fontId="5" fillId="0" borderId="0" xfId="0" applyFont="1" applyAlignment="1">
      <alignment vertical="top" wrapText="1"/>
    </xf>
    <xf numFmtId="0" fontId="5" fillId="0" borderId="2" xfId="0" applyFont="1" applyBorder="1" applyAlignment="1">
      <alignment vertical="center"/>
    </xf>
    <xf numFmtId="0" fontId="5" fillId="3" borderId="1" xfId="0" applyFont="1" applyFill="1" applyBorder="1" applyAlignment="1">
      <alignment vertical="top" wrapText="1"/>
    </xf>
    <xf numFmtId="0" fontId="5" fillId="3" borderId="1" xfId="0" applyFont="1" applyFill="1" applyBorder="1" applyAlignment="1">
      <alignment vertical="center"/>
    </xf>
    <xf numFmtId="0" fontId="3" fillId="3" borderId="1" xfId="0" applyFont="1" applyFill="1" applyBorder="1" applyAlignment="1">
      <alignment horizontal="center" vertical="center"/>
    </xf>
    <xf numFmtId="0" fontId="5" fillId="2" borderId="2" xfId="0" applyFont="1" applyFill="1" applyBorder="1" applyAlignment="1">
      <alignment vertical="center"/>
    </xf>
    <xf numFmtId="0" fontId="3" fillId="2" borderId="5" xfId="0" applyFont="1" applyFill="1" applyBorder="1" applyAlignment="1">
      <alignment horizontal="center" vertical="center"/>
    </xf>
    <xf numFmtId="0" fontId="5" fillId="2" borderId="6" xfId="0" applyFont="1" applyFill="1" applyBorder="1" applyAlignment="1">
      <alignment vertical="center"/>
    </xf>
    <xf numFmtId="0" fontId="3" fillId="2" borderId="7" xfId="0" applyFont="1" applyFill="1" applyBorder="1" applyAlignment="1">
      <alignment horizontal="center" vertical="center"/>
    </xf>
    <xf numFmtId="0" fontId="7" fillId="0" borderId="0" xfId="1" applyFont="1"/>
    <xf numFmtId="0" fontId="9" fillId="0" borderId="0" xfId="0" applyFont="1"/>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cowoman.de/koerper-geist/gesundheit/deutsches-gesundheitssystem-darum-steigen-jahr-fuer-jahr-die-krankenkassenbeitraege-9851"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4" Type="http://schemas.openxmlformats.org/officeDocument/2006/relationships/hyperlink" Target="https://www.balancebeautytime.com/gesundheit/zahnvorsor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182AE-D03D-BE43-933D-5A60463C7D4D}">
  <dimension ref="A1:B1005"/>
  <sheetViews>
    <sheetView tabSelected="1" zoomScale="150" zoomScaleNormal="150" workbookViewId="0">
      <pane ySplit="4" topLeftCell="A39" activePane="bottomLeft" state="frozen"/>
      <selection pane="bottomLeft" activeCell="B7" sqref="B7"/>
    </sheetView>
  </sheetViews>
  <sheetFormatPr baseColWidth="10" defaultColWidth="11.1640625" defaultRowHeight="15" customHeight="1" x14ac:dyDescent="0.2"/>
  <cols>
    <col min="1" max="1" width="57.5" customWidth="1"/>
    <col min="2" max="2" width="23" customWidth="1"/>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42" x14ac:dyDescent="0.2">
      <c r="A6" s="12" t="s">
        <v>6</v>
      </c>
      <c r="B6" s="13">
        <v>3.25</v>
      </c>
    </row>
    <row r="7" spans="1:2" ht="42" x14ac:dyDescent="0.2">
      <c r="A7" s="12" t="s">
        <v>7</v>
      </c>
      <c r="B7" s="13">
        <v>3</v>
      </c>
    </row>
    <row r="8" spans="1:2" ht="42" x14ac:dyDescent="0.2">
      <c r="A8" s="12" t="s">
        <v>8</v>
      </c>
      <c r="B8" s="13">
        <v>3</v>
      </c>
    </row>
    <row r="9" spans="1:2" ht="42" x14ac:dyDescent="0.2">
      <c r="A9" s="12" t="s">
        <v>9</v>
      </c>
      <c r="B9" s="13">
        <v>3</v>
      </c>
    </row>
    <row r="10" spans="1:2" s="6" customFormat="1" ht="70" x14ac:dyDescent="0.15">
      <c r="A10" s="12" t="s">
        <v>36</v>
      </c>
      <c r="B10" s="13">
        <v>2</v>
      </c>
    </row>
    <row r="11" spans="1:2" s="6" customFormat="1" ht="42" x14ac:dyDescent="0.15">
      <c r="A11" s="14" t="s">
        <v>10</v>
      </c>
      <c r="B11" s="13"/>
    </row>
    <row r="12" spans="1:2" s="6" customFormat="1" ht="14" x14ac:dyDescent="0.15">
      <c r="A12" s="14" t="s">
        <v>11</v>
      </c>
      <c r="B12" s="13"/>
    </row>
    <row r="13" spans="1:2" s="6" customFormat="1" ht="13" x14ac:dyDescent="0.15">
      <c r="A13" s="6" t="s">
        <v>12</v>
      </c>
      <c r="B13" s="13" t="s">
        <v>13</v>
      </c>
    </row>
    <row r="14" spans="1:2" s="6" customFormat="1" ht="14" x14ac:dyDescent="0.15">
      <c r="A14" s="15" t="s">
        <v>14</v>
      </c>
      <c r="B14" s="13" t="s">
        <v>13</v>
      </c>
    </row>
    <row r="15" spans="1:2" s="6" customFormat="1" ht="56" x14ac:dyDescent="0.15">
      <c r="A15" s="12" t="s">
        <v>15</v>
      </c>
      <c r="B15" s="13">
        <v>1.25</v>
      </c>
    </row>
    <row r="16" spans="1:2" s="6" customFormat="1" ht="56" x14ac:dyDescent="0.15">
      <c r="A16" s="12" t="s">
        <v>16</v>
      </c>
      <c r="B16" s="13">
        <v>2.5</v>
      </c>
    </row>
    <row r="17" spans="1:2" s="6" customFormat="1" ht="27.75" customHeight="1" x14ac:dyDescent="0.15">
      <c r="A17" s="12" t="s">
        <v>17</v>
      </c>
      <c r="B17" s="13">
        <v>0.25</v>
      </c>
    </row>
    <row r="18" spans="1:2" s="6" customFormat="1" ht="15.75" customHeight="1" x14ac:dyDescent="0.15">
      <c r="A18" s="8" t="s">
        <v>4</v>
      </c>
      <c r="B18" s="9">
        <f>SUM(B6:B17)</f>
        <v>18.25</v>
      </c>
    </row>
    <row r="19" spans="1:2" s="6" customFormat="1" ht="15.75" customHeight="1" x14ac:dyDescent="0.15">
      <c r="A19" s="7"/>
      <c r="B19" s="13"/>
    </row>
    <row r="20" spans="1:2" s="6" customFormat="1" ht="15.75" customHeight="1" x14ac:dyDescent="0.15">
      <c r="A20" s="10" t="s">
        <v>18</v>
      </c>
      <c r="B20" s="13"/>
    </row>
    <row r="21" spans="1:2" s="6" customFormat="1" ht="70" x14ac:dyDescent="0.15">
      <c r="A21" s="12" t="s">
        <v>19</v>
      </c>
      <c r="B21" s="13">
        <v>8</v>
      </c>
    </row>
    <row r="22" spans="1:2" s="6" customFormat="1" ht="70" x14ac:dyDescent="0.15">
      <c r="A22" s="12" t="s">
        <v>20</v>
      </c>
      <c r="B22" s="13">
        <v>6.5</v>
      </c>
    </row>
    <row r="23" spans="1:2" s="17" customFormat="1" ht="84" x14ac:dyDescent="0.15">
      <c r="A23" s="18" t="s">
        <v>21</v>
      </c>
      <c r="B23" s="13">
        <v>1.25</v>
      </c>
    </row>
    <row r="24" spans="1:2" s="6" customFormat="1" ht="15.75" customHeight="1" x14ac:dyDescent="0.15">
      <c r="A24" s="19" t="s">
        <v>4</v>
      </c>
      <c r="B24" s="9">
        <f>SUM(B21:B23)</f>
        <v>15.75</v>
      </c>
    </row>
    <row r="25" spans="1:2" s="6" customFormat="1" ht="15.75" customHeight="1" x14ac:dyDescent="0.15">
      <c r="A25" s="20"/>
      <c r="B25" s="13"/>
    </row>
    <row r="26" spans="1:2" s="6" customFormat="1" ht="15.75" customHeight="1" x14ac:dyDescent="0.15">
      <c r="A26" s="21" t="s">
        <v>22</v>
      </c>
      <c r="B26" s="13"/>
    </row>
    <row r="27" spans="1:2" s="6" customFormat="1" ht="56" x14ac:dyDescent="0.15">
      <c r="A27" s="23" t="s">
        <v>23</v>
      </c>
      <c r="B27" s="13">
        <v>1</v>
      </c>
    </row>
    <row r="28" spans="1:2" s="6" customFormat="1" ht="15.75" customHeight="1" x14ac:dyDescent="0.15">
      <c r="A28" s="19" t="s">
        <v>4</v>
      </c>
      <c r="B28" s="9">
        <f>SUM(B27:B27)</f>
        <v>1</v>
      </c>
    </row>
    <row r="29" spans="1:2" s="6" customFormat="1" ht="15.75" customHeight="1" x14ac:dyDescent="0.15">
      <c r="A29" s="20"/>
      <c r="B29" s="13"/>
    </row>
    <row r="30" spans="1:2" s="6" customFormat="1" ht="15.75" customHeight="1" x14ac:dyDescent="0.15">
      <c r="A30" s="21" t="s">
        <v>24</v>
      </c>
      <c r="B30" s="13"/>
    </row>
    <row r="31" spans="1:2" s="6" customFormat="1" ht="71" customHeight="1" x14ac:dyDescent="0.15">
      <c r="A31" s="23" t="s">
        <v>25</v>
      </c>
      <c r="B31" s="13">
        <v>5.75</v>
      </c>
    </row>
    <row r="32" spans="1:2" s="6" customFormat="1" ht="15.75" customHeight="1" x14ac:dyDescent="0.15">
      <c r="A32" s="8" t="s">
        <v>4</v>
      </c>
      <c r="B32" s="9">
        <f>SUM(B31:B31)</f>
        <v>5.75</v>
      </c>
    </row>
    <row r="33" spans="1:2" s="6" customFormat="1" ht="15.75" customHeight="1" x14ac:dyDescent="0.15">
      <c r="A33" s="24"/>
      <c r="B33" s="22"/>
    </row>
    <row r="34" spans="1:2" s="6" customFormat="1" ht="15.75" customHeight="1" x14ac:dyDescent="0.15">
      <c r="A34" s="21" t="s">
        <v>26</v>
      </c>
      <c r="B34" s="13"/>
    </row>
    <row r="35" spans="1:2" s="6" customFormat="1" ht="84" x14ac:dyDescent="0.15">
      <c r="A35" s="25" t="s">
        <v>27</v>
      </c>
      <c r="B35" s="16">
        <v>8</v>
      </c>
    </row>
    <row r="36" spans="1:2" s="6" customFormat="1" ht="84" x14ac:dyDescent="0.15">
      <c r="A36" s="25" t="s">
        <v>37</v>
      </c>
      <c r="B36" s="16">
        <v>3</v>
      </c>
    </row>
    <row r="37" spans="1:2" s="6" customFormat="1" ht="88" customHeight="1" x14ac:dyDescent="0.15">
      <c r="A37" s="25" t="s">
        <v>28</v>
      </c>
      <c r="B37" s="16">
        <v>3.5</v>
      </c>
    </row>
    <row r="38" spans="1:2" s="6" customFormat="1" ht="15.75" customHeight="1" x14ac:dyDescent="0.15">
      <c r="A38" s="8" t="s">
        <v>4</v>
      </c>
      <c r="B38" s="9">
        <f>SUM(B35:B37)</f>
        <v>14.5</v>
      </c>
    </row>
    <row r="39" spans="1:2" s="6" customFormat="1" ht="15.75" customHeight="1" x14ac:dyDescent="0.15">
      <c r="A39" s="24"/>
      <c r="B39" s="22"/>
    </row>
    <row r="40" spans="1:2" s="6" customFormat="1" ht="15.75" customHeight="1" x14ac:dyDescent="0.15">
      <c r="A40" s="10" t="s">
        <v>29</v>
      </c>
      <c r="B40" s="13"/>
    </row>
    <row r="41" spans="1:2" s="6" customFormat="1" ht="42" x14ac:dyDescent="0.15">
      <c r="A41" s="25" t="s">
        <v>30</v>
      </c>
      <c r="B41" s="13">
        <v>0.75</v>
      </c>
    </row>
    <row r="42" spans="1:2" s="6" customFormat="1" ht="28" x14ac:dyDescent="0.15">
      <c r="A42" s="25" t="s">
        <v>31</v>
      </c>
      <c r="B42" s="13">
        <v>0.5</v>
      </c>
    </row>
    <row r="43" spans="1:2" s="6" customFormat="1" ht="28" x14ac:dyDescent="0.15">
      <c r="A43" s="25" t="s">
        <v>32</v>
      </c>
      <c r="B43" s="13">
        <v>3.5</v>
      </c>
    </row>
    <row r="44" spans="1:2" s="6" customFormat="1" ht="15.75" customHeight="1" x14ac:dyDescent="0.15">
      <c r="A44" s="8" t="s">
        <v>4</v>
      </c>
      <c r="B44" s="9">
        <f>SUM(B41:B43)</f>
        <v>4.75</v>
      </c>
    </row>
    <row r="45" spans="1:2" s="6" customFormat="1" ht="16.5" customHeight="1" x14ac:dyDescent="0.15">
      <c r="A45" s="26"/>
      <c r="B45" s="27"/>
    </row>
    <row r="46" spans="1:2" s="6" customFormat="1" ht="16.5" customHeight="1" thickBot="1" x14ac:dyDescent="0.2">
      <c r="A46" s="28" t="s">
        <v>33</v>
      </c>
      <c r="B46" s="29">
        <f>SUM(B44+B38+B32+B28+B24+B18)</f>
        <v>60</v>
      </c>
    </row>
    <row r="47" spans="1:2" s="6" customFormat="1" ht="16.5" customHeight="1" thickBot="1" x14ac:dyDescent="0.2">
      <c r="A47" s="30" t="s">
        <v>34</v>
      </c>
      <c r="B47" s="31">
        <v>7</v>
      </c>
    </row>
    <row r="48" spans="1:2" ht="15.75" customHeight="1" x14ac:dyDescent="0.2">
      <c r="A48" s="6"/>
      <c r="B48" s="6"/>
    </row>
    <row r="49" spans="1:2" s="34" customFormat="1" ht="15.75" customHeight="1" x14ac:dyDescent="0.2">
      <c r="A49" s="32" t="s">
        <v>35</v>
      </c>
      <c r="B49" s="33"/>
    </row>
    <row r="50" spans="1:2" ht="15.75" customHeight="1" x14ac:dyDescent="0.2">
      <c r="A50" s="6"/>
      <c r="B50" s="6"/>
    </row>
    <row r="51" spans="1:2" ht="15.75" customHeight="1" x14ac:dyDescent="0.2">
      <c r="A51" s="6"/>
      <c r="B51" s="6"/>
    </row>
    <row r="52" spans="1:2" ht="15.75" customHeight="1" x14ac:dyDescent="0.2">
      <c r="B52" s="6"/>
    </row>
    <row r="53" spans="1:2" ht="15.75" customHeight="1" x14ac:dyDescent="0.2">
      <c r="A53" s="6"/>
      <c r="B53" s="6"/>
    </row>
    <row r="54" spans="1:2" ht="15.75" customHeight="1" x14ac:dyDescent="0.2">
      <c r="A54" s="6"/>
      <c r="B54" s="6"/>
    </row>
    <row r="55" spans="1:2" ht="15.75" customHeight="1" x14ac:dyDescent="0.2">
      <c r="A55" s="6"/>
      <c r="B55" s="6"/>
    </row>
    <row r="56" spans="1:2" ht="15.75" customHeight="1" x14ac:dyDescent="0.2">
      <c r="A56" s="6"/>
      <c r="B56" s="6"/>
    </row>
    <row r="57" spans="1:2" ht="15.75" customHeight="1" x14ac:dyDescent="0.2">
      <c r="A57" s="6"/>
      <c r="B57" s="6"/>
    </row>
    <row r="58" spans="1:2" ht="15.75" customHeight="1" x14ac:dyDescent="0.2">
      <c r="A58" s="6"/>
      <c r="B58" s="6"/>
    </row>
    <row r="59" spans="1:2" ht="15.75" customHeight="1" x14ac:dyDescent="0.2">
      <c r="A59" s="6"/>
      <c r="B59" s="6"/>
    </row>
    <row r="60" spans="1:2" ht="15.75" customHeight="1" x14ac:dyDescent="0.2">
      <c r="A60" s="6"/>
      <c r="B60" s="6"/>
    </row>
    <row r="61" spans="1:2" ht="15.75" customHeight="1" x14ac:dyDescent="0.2">
      <c r="A61" s="6"/>
      <c r="B61" s="6"/>
    </row>
    <row r="62" spans="1:2" ht="15.75" customHeight="1" x14ac:dyDescent="0.2">
      <c r="A62" s="6"/>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sheetData>
  <hyperlinks>
    <hyperlink ref="A2" r:id="rId1" xr:uid="{35F676E0-4B4D-EE40-92D4-33A31C20F075}"/>
    <hyperlink ref="A49" r:id="rId2" display="https://www.thoxan.com/kontakt/" xr:uid="{76DB6788-5601-A54F-8D89-A33024693287}"/>
    <hyperlink ref="A11" r:id="rId3" xr:uid="{3CBB1CEE-7A28-844F-88A3-6FF80A29AA0A}"/>
    <hyperlink ref="A12" r:id="rId4" xr:uid="{8D9F592D-6CF4-084D-882A-4F32920992F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GmbH</dc:creator>
  <cp:lastModifiedBy>Thomas Kilian | Thoxan GmbH</cp:lastModifiedBy>
  <dcterms:created xsi:type="dcterms:W3CDTF">2023-04-27T05:56:04Z</dcterms:created>
  <dcterms:modified xsi:type="dcterms:W3CDTF">2023-04-27T05:59:51Z</dcterms:modified>
</cp:coreProperties>
</file>