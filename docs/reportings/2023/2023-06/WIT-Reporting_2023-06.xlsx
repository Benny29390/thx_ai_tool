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6/"/>
    </mc:Choice>
  </mc:AlternateContent>
  <xr:revisionPtr revIDLastSave="0" documentId="13_ncr:1_{B7438D51-B3B9-944C-8F35-70DB590005AF}" xr6:coauthVersionLast="47" xr6:coauthVersionMax="47" xr10:uidLastSave="{00000000-0000-0000-0000-000000000000}"/>
  <bookViews>
    <workbookView xWindow="9560" yWindow="500" windowWidth="38140" windowHeight="26880" xr2:uid="{900F0B2B-B8E7-7E4B-A7FD-20FEFD246132}"/>
  </bookViews>
  <sheets>
    <sheet name="WI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 l="1"/>
  <c r="B39" i="1"/>
  <c r="B31" i="1"/>
  <c r="B16" i="1"/>
  <c r="B45" i="1" s="1"/>
</calcChain>
</file>

<file path=xl/sharedStrings.xml><?xml version="1.0" encoding="utf-8"?>
<sst xmlns="http://schemas.openxmlformats.org/spreadsheetml/2006/main" count="45" uniqueCount="41">
  <si>
    <t>WITTEKIND</t>
  </si>
  <si>
    <t>2. Quartal 2023</t>
  </si>
  <si>
    <t>www.wittekind-moebel.de</t>
  </si>
  <si>
    <t>Monatliche Optimierung</t>
  </si>
  <si>
    <t>Aufwand ca. in Std.</t>
  </si>
  <si>
    <t>1. Linkaufbau &amp; externe Veröffentlichungen</t>
  </si>
  <si>
    <t xml:space="preserve">Textarbeiten (Gastartikel): Briefing und Recherche, Texterstellung für Gastbeitrag auf gardenplaza.de, Lektorat, Abstimmung und Vorbereitung zur Veröffentlichung (25.05., EXT, TKI) </t>
  </si>
  <si>
    <t xml:space="preserve">Textarbeiten (Gastartikel): Briefing und Recherche, Texterstellung für Gastbeitrag auf immoelite.net, Lektorat, Abstimmung und Vorbereitung zur Veröffentlichung (02.06., SSO, TKI) </t>
  </si>
  <si>
    <t xml:space="preserve">Textarbeiten (Gastartikel): Briefing und Recherche, Texterstellung für Gastbeitrag auf bauen.com, Lektorat, Abstimmung und Vorbereitung zur Veröffentlichung (06.06., EXT, TKI) </t>
  </si>
  <si>
    <t xml:space="preserve">Textarbeiten (Gastartikel): Briefing und Recherche, Texterstellung für Gastbeitrag auf ajoure.de, Lektorat, Abstimmung und Vorbereitung zur Veröffentlichung (21.06., EXT, TKI) </t>
  </si>
  <si>
    <t>Linkaufbau-Organisation und Abstimmung mit den Seitenbetreibern zur Veröffentlichung der vorbereiteten Gastartikel, Artikel zuschicken, Prüfung der Link-Integration, Abrechnung der Linkaufbau-Auslagen, Abstimmung und Dokumentation (15.05.-25.06., TKI)</t>
  </si>
  <si>
    <t>https://www.gardenplaza.de/artikeldetail/nachhaltige-holzmoebel-liegen-im-upcycling-trend</t>
  </si>
  <si>
    <t>https://immoelite.net/wittekind-holz-outdoor-oasen/</t>
  </si>
  <si>
    <t>https://www.bauen.com/artikel/3/19/5951/aussenanlagen/Maximierung-kleiner-Terrassenflaechen/</t>
  </si>
  <si>
    <t>ajoure.de</t>
  </si>
  <si>
    <t>(Wartet auf Veröffentlichung)</t>
  </si>
  <si>
    <t>Link-Monitoring: Neue Verlinkungen aus Link-Tools der letzten 30 Tage überprüft, einzeln bewertet (monatlich 0,25 Std., TKI)</t>
  </si>
  <si>
    <t>2. Redaktionelle Arbeiten und Website-Pflege</t>
  </si>
  <si>
    <t>Abstimmung wegen neuer Referenz "Schilder (Hirsch)", Bildbearbeitung und Einstellen der Referenz auf der Website, kl. Anpassungen und Dokumentation (30.03., TKI)</t>
  </si>
  <si>
    <t>Ausverkaufte Stofffarben im Grid und auf Detailseiten als "Ausverkauft" markieren, Abstimmung und Dokumentation (28.04., TKI)</t>
  </si>
  <si>
    <t>Weitere Bearbeitung ebay-kleinanzeigen.de, Auswertung der bisherigen Maßnahmen, kl. Anpassungen (05.05., TKI)</t>
  </si>
  <si>
    <t>Newsletter texten und versenden: WITTEKIND-Mailing zur Landpartie Schloss Bückeburg. Interne Abstimmung, Aufbereitung der Empfängerdaten, sowie Gestaltung, Versand und Überwachung des Mailings, Abschließende Auswertung und Export abgemeldeter E-Mailadresse, Abstimmung und Dokumentation (03.-26.05., RBO, TKI)</t>
  </si>
  <si>
    <t>Flyer-Konzeption und Gestaltung: Abstimmung, Briefing, Umsetzung, Korrekturen und kl. Anpassungen eines DIN lang Flyers zur Landpartie, finale Bearbeitung, Kommunikation, Versand an Kunden und Dokumentation (15.-23.05., RBO)</t>
  </si>
  <si>
    <t>Lanyard-Druckdaten-Support, Ausgabe auf Druckbogen, InDesign (23.05., RBO)</t>
  </si>
  <si>
    <t>Texten einer Nachfass-E-Mail bei nicht zustande gekommenen Angeboten, zwei Varianten Du/Sie, Abstimmung (23.05., TKI)</t>
  </si>
  <si>
    <t>Abstimmung wegen neuer Referenz "Reichelt", Bildbearbeitung und Einstellen der Referenz auf der Website, kl. Anpassungen und Dokumentation (30.05., TKI)</t>
  </si>
  <si>
    <t>Abstimmung Schutzdauer WITTEKIND-Marke bei RA Boden (06.06., TKI)</t>
  </si>
  <si>
    <t>Hinweis Sommerpause auf Website integrieren (div. Stellen), automatische Deaktivierung des Störers programmieren, kl. Anpassungen, Dokumentation (12.06., BKO, TKI)</t>
  </si>
  <si>
    <t>Holz-Materialseite bearbeiten: Auswahl von Fotos aus dem Shooting mit Oliver Windus, Bildbearbeitung und Sortieren nach Rubriken, Einpflegen als Galerie(n) auf der Website, Abstimmung und Dokumentation (22.-23.06., TKI)</t>
  </si>
  <si>
    <t>Abstimmung wegen neuer Referenz "Gartenlieferung nach Landpartie", Bildbearbeitung und Einstellen der Referenz auf der Website, kl. Anpassungen und Dokumentation (25.06., TKI)</t>
  </si>
  <si>
    <t>3. Google Ads, Social Ads, etc.</t>
  </si>
  <si>
    <t>Google Ads Monitoring (April): Fortlaufendes Monitoring der eingerichteten Kampagnen und Anzeigengruppen, Anlegen weiterer Anzeigengruppen mit div. Keywords lt. Cluster-Auswahl, Texten von Anzeigen, Ergänzung und Ausschluss von passenden / unpassenden Keywords, kl. Änderungen, Auswertung jeweils zum Monatsende (01.- 30.04., DHE, TKI)</t>
  </si>
  <si>
    <t>Bing Ads (Einrichtung): Abstimmung Kundendaten, Einrichtung eines Microsoft Bing Ads Kontos, Unternehmens- und Zahlungsinformationen hinterlegt, erste Brandkampagne erstellt, verschiedene Anzeigengruppen erstellt, Keywords recherchiert und hinzugefügt, Anzeigentexte für die verschiedenen Kampagnen erstellt, Anzeigenerweiterungen und Sitelinks erstellt, Google Tag Manager Konto konfiguriert, Budgets eingestellt, kl. Anpassungen, Dokumentation und Abstimmung (04.-08.05., JST, DHE, TKI)</t>
  </si>
  <si>
    <t>Google Ads Monitoring (Mai): Fortlaufendes Monitoring der eingerichteten Kampagnen und Anzeigengruppen, Anlegen weiterer Anzeigengruppen mit div. Keywords lt. Cluster-Auswahl, Texten von Anzeigen, Ergänzung und Ausschluss von passenden / unpassenden Keywords, kl. Änderungen, Auswertung jeweils zum Monatsende (01.-31.05., DHE, TKI)</t>
  </si>
  <si>
    <t>Identitätsbestätigung für Werbetreibende im Google Ads Konto durchführen, Unterlagen hochladen, Formular ausfüllen (26.05.-02.06., JST, TKI)</t>
  </si>
  <si>
    <t>Google Ads Monitoring (Juni): Fortlaufendes Monitoring der eingerichteten Kampagnen und Anzeigengruppen, Anlegen weiterer Anzeigengruppen mit div. Keywords lt. Cluster-Auswahl, Texten von Anzeigen, Ergänzung und Ausschluss von passenden / unpassenden Keywords, kl. Änderungen, Auswertung jeweils zum Monatsende (01.- 30.06., DHE, TKI)</t>
  </si>
  <si>
    <t>4. Beratung &amp; Sonstiges</t>
  </si>
  <si>
    <t>Projektmanagement: 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</si>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</sst>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0"/>
      <color theme="10"/>
      <name val="Arial"/>
      <family val="2"/>
    </font>
    <font>
      <sz val="10"/>
      <color theme="1"/>
      <name val="Arial"/>
      <family val="2"/>
    </font>
    <font>
      <sz val="10"/>
      <color theme="1"/>
      <name val="Calibri"/>
      <family val="2"/>
    </font>
    <font>
      <b/>
      <sz val="10"/>
      <color theme="1"/>
      <name val="Arial"/>
      <family val="2"/>
    </font>
    <font>
      <u/>
      <sz val="12"/>
      <color theme="10"/>
      <name val="Calibri"/>
      <family val="2"/>
    </font>
    <font>
      <sz val="10"/>
      <color rgb="FFBFBFBF"/>
      <name val="Arial"/>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3" fillId="0" borderId="0" xfId="0" applyFont="1"/>
    <xf numFmtId="49" fontId="4" fillId="0" borderId="0" xfId="0" applyNumberFormat="1" applyFont="1" applyAlignment="1">
      <alignment horizontal="right"/>
    </xf>
    <xf numFmtId="0" fontId="3" fillId="0" borderId="1" xfId="0" applyFont="1" applyBorder="1"/>
    <xf numFmtId="0" fontId="4" fillId="0" borderId="1" xfId="0" applyFont="1" applyBorder="1"/>
    <xf numFmtId="0" fontId="4" fillId="2" borderId="2" xfId="0" applyFont="1" applyFill="1" applyBorder="1" applyAlignment="1">
      <alignment horizontal="center" vertical="center"/>
    </xf>
    <xf numFmtId="0" fontId="4" fillId="0" borderId="0" xfId="0" applyFont="1"/>
    <xf numFmtId="0" fontId="5" fillId="0" borderId="0" xfId="0" applyFont="1"/>
    <xf numFmtId="0" fontId="6" fillId="0" borderId="2" xfId="0" applyFont="1" applyBorder="1"/>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vertical="top" wrapText="1"/>
    </xf>
    <xf numFmtId="0" fontId="4" fillId="3" borderId="3" xfId="0" applyFont="1" applyFill="1" applyBorder="1" applyAlignment="1">
      <alignment vertical="top" wrapText="1"/>
    </xf>
    <xf numFmtId="0" fontId="3" fillId="3" borderId="3" xfId="1" applyFont="1" applyFill="1" applyBorder="1" applyAlignment="1">
      <alignment vertical="top" wrapText="1"/>
    </xf>
    <xf numFmtId="0" fontId="4" fillId="3" borderId="3" xfId="1" applyFont="1" applyFill="1" applyBorder="1" applyAlignment="1">
      <alignment vertical="top" wrapText="1"/>
    </xf>
    <xf numFmtId="0" fontId="4" fillId="2" borderId="3" xfId="0" applyFont="1" applyFill="1" applyBorder="1" applyAlignment="1">
      <alignment vertical="center"/>
    </xf>
    <xf numFmtId="0" fontId="4" fillId="2" borderId="3" xfId="0" applyFont="1" applyFill="1" applyBorder="1" applyAlignment="1">
      <alignment horizontal="center" vertical="center"/>
    </xf>
    <xf numFmtId="0" fontId="4" fillId="0" borderId="4" xfId="0" applyFont="1" applyBorder="1"/>
    <xf numFmtId="0" fontId="4" fillId="0" borderId="4" xfId="0" applyFont="1" applyBorder="1" applyAlignment="1">
      <alignment horizontal="center" vertical="center"/>
    </xf>
    <xf numFmtId="0" fontId="4" fillId="0" borderId="2" xfId="0" applyFont="1" applyBorder="1" applyAlignment="1" applyProtection="1">
      <alignment vertical="top" wrapText="1"/>
      <protection locked="0"/>
    </xf>
    <xf numFmtId="0" fontId="4" fillId="2" borderId="2" xfId="0" applyFont="1" applyFill="1" applyBorder="1" applyAlignment="1">
      <alignment vertical="center"/>
    </xf>
    <xf numFmtId="0" fontId="8" fillId="0" borderId="2" xfId="0" applyFont="1" applyBorder="1" applyAlignment="1">
      <alignment horizontal="center" vertical="center"/>
    </xf>
    <xf numFmtId="0" fontId="4" fillId="2" borderId="5" xfId="0" applyFont="1" applyFill="1" applyBorder="1" applyAlignment="1">
      <alignment vertical="center"/>
    </xf>
    <xf numFmtId="0" fontId="6" fillId="2" borderId="5" xfId="0" applyFont="1" applyFill="1" applyBorder="1" applyAlignment="1">
      <alignment horizontal="center" vertical="center"/>
    </xf>
    <xf numFmtId="0" fontId="9" fillId="0" borderId="0" xfId="0" applyFont="1"/>
    <xf numFmtId="0" fontId="7"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ardenplaza.de/artikeldetail/nachhaltige-holzmoebel-liegen-im-upcycling-trend" TargetMode="External"/><Relationship Id="rId2" Type="http://schemas.openxmlformats.org/officeDocument/2006/relationships/hyperlink" Target="https://www.thoxan.com/kontakt/" TargetMode="External"/><Relationship Id="rId1" Type="http://schemas.openxmlformats.org/officeDocument/2006/relationships/hyperlink" Target="http://www.wittekind-moebel.de/" TargetMode="External"/><Relationship Id="rId5" Type="http://schemas.openxmlformats.org/officeDocument/2006/relationships/hyperlink" Target="https://immoelite.net/wittekind-holz-outdoor-oasen/" TargetMode="External"/><Relationship Id="rId4" Type="http://schemas.openxmlformats.org/officeDocument/2006/relationships/hyperlink" Target="https://www.bauen.com/artikel/3/19/5951/aussenanlagen/Maximierung-kleiner-Terrassenflaech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B6B2-93F3-CE4C-8911-D911DD0EC223}">
  <dimension ref="A1:B991"/>
  <sheetViews>
    <sheetView tabSelected="1" zoomScale="150" zoomScaleNormal="150" workbookViewId="0">
      <pane ySplit="4" topLeftCell="A5" activePane="bottomLeft" state="frozen"/>
      <selection pane="bottomLeft" activeCell="E7" sqref="E7"/>
    </sheetView>
  </sheetViews>
  <sheetFormatPr baseColWidth="10" defaultColWidth="11.1640625" defaultRowHeight="15" customHeight="1" x14ac:dyDescent="0.2"/>
  <cols>
    <col min="1" max="1" width="57.5" customWidth="1"/>
    <col min="2" max="2" width="24.6640625" customWidth="1"/>
  </cols>
  <sheetData>
    <row r="1" spans="1:2" ht="21" customHeight="1" x14ac:dyDescent="0.2">
      <c r="A1" s="1" t="s">
        <v>0</v>
      </c>
      <c r="B1" s="2" t="s">
        <v>1</v>
      </c>
    </row>
    <row r="2" spans="1:2" ht="15.75" customHeight="1" x14ac:dyDescent="0.2">
      <c r="A2" s="4" t="s">
        <v>2</v>
      </c>
      <c r="B2" s="5" t="s">
        <v>3</v>
      </c>
    </row>
    <row r="3" spans="1:2" ht="15.75" customHeight="1" x14ac:dyDescent="0.2">
      <c r="A3" s="6"/>
      <c r="B3" s="7"/>
    </row>
    <row r="4" spans="1:2" s="10" customFormat="1" ht="28" customHeight="1" x14ac:dyDescent="0.2">
      <c r="A4" s="8"/>
      <c r="B4" s="8" t="s">
        <v>4</v>
      </c>
    </row>
    <row r="5" spans="1:2" s="10" customFormat="1" ht="15.75" customHeight="1" x14ac:dyDescent="0.2">
      <c r="A5" s="11" t="s">
        <v>5</v>
      </c>
      <c r="B5" s="12"/>
    </row>
    <row r="6" spans="1:2" s="10" customFormat="1" ht="42" x14ac:dyDescent="0.2">
      <c r="A6" s="14" t="s">
        <v>6</v>
      </c>
      <c r="B6" s="12">
        <v>2.5</v>
      </c>
    </row>
    <row r="7" spans="1:2" s="10" customFormat="1" ht="42" x14ac:dyDescent="0.2">
      <c r="A7" s="14" t="s">
        <v>7</v>
      </c>
      <c r="B7" s="12">
        <v>3</v>
      </c>
    </row>
    <row r="8" spans="1:2" s="10" customFormat="1" ht="42" x14ac:dyDescent="0.2">
      <c r="A8" s="14" t="s">
        <v>8</v>
      </c>
      <c r="B8" s="12">
        <v>3</v>
      </c>
    </row>
    <row r="9" spans="1:2" s="10" customFormat="1" ht="42" x14ac:dyDescent="0.2">
      <c r="A9" s="14" t="s">
        <v>9</v>
      </c>
      <c r="B9" s="12">
        <v>3.25</v>
      </c>
    </row>
    <row r="10" spans="1:2" s="10" customFormat="1" ht="56" x14ac:dyDescent="0.2">
      <c r="A10" s="15" t="s">
        <v>10</v>
      </c>
      <c r="B10" s="13">
        <v>2</v>
      </c>
    </row>
    <row r="11" spans="1:2" s="10" customFormat="1" ht="28" x14ac:dyDescent="0.2">
      <c r="A11" s="16" t="s">
        <v>11</v>
      </c>
      <c r="B11" s="13"/>
    </row>
    <row r="12" spans="1:2" s="10" customFormat="1" ht="14" x14ac:dyDescent="0.2">
      <c r="A12" s="16" t="s">
        <v>12</v>
      </c>
      <c r="B12" s="13"/>
    </row>
    <row r="13" spans="1:2" s="10" customFormat="1" ht="28" x14ac:dyDescent="0.2">
      <c r="A13" s="16" t="s">
        <v>13</v>
      </c>
      <c r="B13" s="13"/>
    </row>
    <row r="14" spans="1:2" s="10" customFormat="1" ht="14" x14ac:dyDescent="0.2">
      <c r="A14" s="17" t="s">
        <v>14</v>
      </c>
      <c r="B14" s="13" t="s">
        <v>15</v>
      </c>
    </row>
    <row r="15" spans="1:2" s="10" customFormat="1" ht="28" x14ac:dyDescent="0.2">
      <c r="A15" s="15" t="s">
        <v>16</v>
      </c>
      <c r="B15" s="13">
        <v>0.75</v>
      </c>
    </row>
    <row r="16" spans="1:2" s="10" customFormat="1" ht="15.75" customHeight="1" x14ac:dyDescent="0.2">
      <c r="A16" s="18" t="s">
        <v>4</v>
      </c>
      <c r="B16" s="19">
        <f>SUM(B6:B15)</f>
        <v>14.5</v>
      </c>
    </row>
    <row r="17" spans="1:2" s="10" customFormat="1" ht="15.75" customHeight="1" x14ac:dyDescent="0.2">
      <c r="A17" s="20"/>
      <c r="B17" s="21"/>
    </row>
    <row r="18" spans="1:2" s="10" customFormat="1" ht="15.75" customHeight="1" x14ac:dyDescent="0.2">
      <c r="A18" s="11" t="s">
        <v>17</v>
      </c>
      <c r="B18" s="12"/>
    </row>
    <row r="19" spans="1:2" s="10" customFormat="1" ht="42" x14ac:dyDescent="0.2">
      <c r="A19" s="22" t="s">
        <v>18</v>
      </c>
      <c r="B19" s="12">
        <v>0.75</v>
      </c>
    </row>
    <row r="20" spans="1:2" s="10" customFormat="1" ht="28" x14ac:dyDescent="0.2">
      <c r="A20" s="22" t="s">
        <v>19</v>
      </c>
      <c r="B20" s="12">
        <v>0.25</v>
      </c>
    </row>
    <row r="21" spans="1:2" s="10" customFormat="1" ht="28" x14ac:dyDescent="0.2">
      <c r="A21" s="22" t="s">
        <v>20</v>
      </c>
      <c r="B21" s="12">
        <v>1</v>
      </c>
    </row>
    <row r="22" spans="1:2" s="10" customFormat="1" ht="70" x14ac:dyDescent="0.2">
      <c r="A22" s="22" t="s">
        <v>21</v>
      </c>
      <c r="B22" s="12">
        <v>3.5</v>
      </c>
    </row>
    <row r="23" spans="1:2" s="10" customFormat="1" ht="56" x14ac:dyDescent="0.2">
      <c r="A23" s="22" t="s">
        <v>22</v>
      </c>
      <c r="B23" s="12">
        <v>4</v>
      </c>
    </row>
    <row r="24" spans="1:2" s="10" customFormat="1" ht="28" x14ac:dyDescent="0.2">
      <c r="A24" s="22" t="s">
        <v>23</v>
      </c>
      <c r="B24" s="12">
        <v>0.75</v>
      </c>
    </row>
    <row r="25" spans="1:2" s="10" customFormat="1" ht="28" x14ac:dyDescent="0.2">
      <c r="A25" s="22" t="s">
        <v>24</v>
      </c>
      <c r="B25" s="12">
        <v>0</v>
      </c>
    </row>
    <row r="26" spans="1:2" s="10" customFormat="1" ht="42" x14ac:dyDescent="0.2">
      <c r="A26" s="22" t="s">
        <v>25</v>
      </c>
      <c r="B26" s="12">
        <v>0.75</v>
      </c>
    </row>
    <row r="27" spans="1:2" s="10" customFormat="1" ht="28" x14ac:dyDescent="0.2">
      <c r="A27" s="22" t="s">
        <v>26</v>
      </c>
      <c r="B27" s="12">
        <v>0</v>
      </c>
    </row>
    <row r="28" spans="1:2" s="10" customFormat="1" ht="42" x14ac:dyDescent="0.2">
      <c r="A28" s="22" t="s">
        <v>27</v>
      </c>
      <c r="B28" s="12">
        <v>1</v>
      </c>
    </row>
    <row r="29" spans="1:2" s="10" customFormat="1" ht="56" x14ac:dyDescent="0.2">
      <c r="A29" s="22" t="s">
        <v>28</v>
      </c>
      <c r="B29" s="12">
        <v>2</v>
      </c>
    </row>
    <row r="30" spans="1:2" s="10" customFormat="1" ht="42" x14ac:dyDescent="0.2">
      <c r="A30" s="22" t="s">
        <v>29</v>
      </c>
      <c r="B30" s="12">
        <v>0.75</v>
      </c>
    </row>
    <row r="31" spans="1:2" s="10" customFormat="1" ht="15.75" customHeight="1" x14ac:dyDescent="0.2">
      <c r="A31" s="23" t="s">
        <v>4</v>
      </c>
      <c r="B31" s="8">
        <f>SUM(B19:B30)</f>
        <v>14.75</v>
      </c>
    </row>
    <row r="32" spans="1:2" s="10" customFormat="1" ht="15.75" customHeight="1" x14ac:dyDescent="0.2">
      <c r="A32" s="14"/>
      <c r="B32" s="12"/>
    </row>
    <row r="33" spans="1:2" s="10" customFormat="1" ht="15.75" customHeight="1" x14ac:dyDescent="0.2">
      <c r="A33" s="11" t="s">
        <v>30</v>
      </c>
      <c r="B33" s="12"/>
    </row>
    <row r="34" spans="1:2" s="10" customFormat="1" ht="84" x14ac:dyDescent="0.2">
      <c r="A34" s="14" t="s">
        <v>31</v>
      </c>
      <c r="B34" s="12">
        <v>5</v>
      </c>
    </row>
    <row r="35" spans="1:2" s="10" customFormat="1" ht="112" x14ac:dyDescent="0.2">
      <c r="A35" s="14" t="s">
        <v>32</v>
      </c>
      <c r="B35" s="12">
        <v>5.5</v>
      </c>
    </row>
    <row r="36" spans="1:2" s="10" customFormat="1" ht="84" x14ac:dyDescent="0.2">
      <c r="A36" s="14" t="s">
        <v>33</v>
      </c>
      <c r="B36" s="12">
        <v>4</v>
      </c>
    </row>
    <row r="37" spans="1:2" s="10" customFormat="1" ht="42" x14ac:dyDescent="0.2">
      <c r="A37" s="14" t="s">
        <v>34</v>
      </c>
      <c r="B37" s="12">
        <v>1</v>
      </c>
    </row>
    <row r="38" spans="1:2" s="10" customFormat="1" ht="84" x14ac:dyDescent="0.2">
      <c r="A38" s="14" t="s">
        <v>35</v>
      </c>
      <c r="B38" s="12">
        <v>3.5</v>
      </c>
    </row>
    <row r="39" spans="1:2" s="10" customFormat="1" ht="15.75" customHeight="1" x14ac:dyDescent="0.2">
      <c r="A39" s="23" t="s">
        <v>4</v>
      </c>
      <c r="B39" s="8">
        <f>SUM(B34:B38)</f>
        <v>19</v>
      </c>
    </row>
    <row r="40" spans="1:2" s="10" customFormat="1" ht="15.75" customHeight="1" x14ac:dyDescent="0.2">
      <c r="A40" s="11"/>
      <c r="B40" s="12"/>
    </row>
    <row r="41" spans="1:2" s="10" customFormat="1" ht="15.75" customHeight="1" x14ac:dyDescent="0.2">
      <c r="A41" s="11" t="s">
        <v>36</v>
      </c>
      <c r="B41" s="12"/>
    </row>
    <row r="42" spans="1:2" s="10" customFormat="1" ht="42" x14ac:dyDescent="0.2">
      <c r="A42" s="14" t="s">
        <v>37</v>
      </c>
      <c r="B42" s="12">
        <v>3</v>
      </c>
    </row>
    <row r="43" spans="1:2" s="10" customFormat="1" ht="15.75" customHeight="1" x14ac:dyDescent="0.2">
      <c r="A43" s="23" t="s">
        <v>4</v>
      </c>
      <c r="B43" s="8">
        <f>SUM(B42)</f>
        <v>3</v>
      </c>
    </row>
    <row r="44" spans="1:2" s="10" customFormat="1" ht="15.75" customHeight="1" x14ac:dyDescent="0.2">
      <c r="A44" s="14"/>
      <c r="B44" s="24"/>
    </row>
    <row r="45" spans="1:2" s="10" customFormat="1" ht="16.5" customHeight="1" thickBot="1" x14ac:dyDescent="0.25">
      <c r="A45" s="25" t="s">
        <v>38</v>
      </c>
      <c r="B45" s="26">
        <f>SUM(B16+B31+B39+B43)</f>
        <v>51.25</v>
      </c>
    </row>
    <row r="46" spans="1:2" s="10" customFormat="1" ht="16.5" customHeight="1" thickBot="1" x14ac:dyDescent="0.25">
      <c r="A46" s="25" t="s">
        <v>39</v>
      </c>
      <c r="B46" s="26">
        <v>6</v>
      </c>
    </row>
    <row r="47" spans="1:2" ht="15.75" customHeight="1" x14ac:dyDescent="0.2">
      <c r="A47" s="9"/>
      <c r="B47" s="9"/>
    </row>
    <row r="48" spans="1:2" ht="15.75" customHeight="1" x14ac:dyDescent="0.2">
      <c r="A48" s="27" t="s">
        <v>40</v>
      </c>
      <c r="B48" s="9"/>
    </row>
    <row r="50" spans="1:2" ht="15.75" customHeight="1" x14ac:dyDescent="0.2">
      <c r="A50" s="9"/>
      <c r="B50" s="9"/>
    </row>
    <row r="51" spans="1:2" ht="15.75" customHeight="1" x14ac:dyDescent="0.2">
      <c r="A51" s="9"/>
      <c r="B51" s="9"/>
    </row>
    <row r="52" spans="1:2" ht="15.75" customHeight="1" x14ac:dyDescent="0.2">
      <c r="A52" s="9"/>
      <c r="B52" s="9"/>
    </row>
    <row r="53" spans="1:2" ht="15.75" customHeight="1" x14ac:dyDescent="0.2">
      <c r="A53" s="9"/>
      <c r="B53" s="28"/>
    </row>
    <row r="54" spans="1:2" ht="15.75" customHeight="1" x14ac:dyDescent="0.2">
      <c r="A54" s="9"/>
      <c r="B54" s="9"/>
    </row>
    <row r="55" spans="1:2" ht="15.75" customHeight="1" x14ac:dyDescent="0.2">
      <c r="A55" s="9"/>
      <c r="B55" s="9"/>
    </row>
    <row r="56" spans="1:2" ht="15.75" customHeight="1" x14ac:dyDescent="0.2">
      <c r="A56" s="9"/>
      <c r="B56" s="9"/>
    </row>
    <row r="57" spans="1:2" ht="15.75" customHeight="1" x14ac:dyDescent="0.2">
      <c r="A57" s="9"/>
      <c r="B57" s="9"/>
    </row>
    <row r="58" spans="1:2" ht="15.75" customHeight="1" x14ac:dyDescent="0.2">
      <c r="A58" s="9"/>
      <c r="B58" s="9"/>
    </row>
    <row r="59" spans="1:2" ht="15.75" customHeight="1" x14ac:dyDescent="0.2">
      <c r="A59" s="9"/>
      <c r="B59" s="9"/>
    </row>
    <row r="60" spans="1:2" ht="15.75" customHeight="1" x14ac:dyDescent="0.2">
      <c r="A60" s="9"/>
      <c r="B60" s="9"/>
    </row>
    <row r="61" spans="1:2" ht="15.75" customHeight="1" x14ac:dyDescent="0.2">
      <c r="A61" s="9"/>
      <c r="B61" s="9"/>
    </row>
    <row r="62" spans="1:2" ht="15.75" customHeight="1" x14ac:dyDescent="0.2">
      <c r="A62" s="9"/>
      <c r="B62" s="9"/>
    </row>
    <row r="63" spans="1:2" ht="15.75" customHeight="1" x14ac:dyDescent="0.2">
      <c r="A63" s="9"/>
      <c r="B63" s="9"/>
    </row>
    <row r="64" spans="1:2" ht="15.75" customHeight="1" x14ac:dyDescent="0.2">
      <c r="A64" s="9"/>
      <c r="B64" s="9"/>
    </row>
    <row r="65" spans="1:2" ht="15.75" customHeight="1" x14ac:dyDescent="0.2">
      <c r="A65" s="9"/>
      <c r="B65" s="9"/>
    </row>
    <row r="66" spans="1:2" ht="15.75" customHeight="1" x14ac:dyDescent="0.2">
      <c r="A66" s="9"/>
      <c r="B66" s="9"/>
    </row>
    <row r="67" spans="1:2" ht="15.75" customHeight="1" x14ac:dyDescent="0.2">
      <c r="A67" s="9"/>
      <c r="B67" s="9"/>
    </row>
    <row r="68" spans="1:2" ht="15.75" customHeight="1" x14ac:dyDescent="0.2">
      <c r="A68" s="9"/>
      <c r="B68" s="9"/>
    </row>
    <row r="69" spans="1:2" ht="15.75" customHeight="1" x14ac:dyDescent="0.2">
      <c r="A69" s="9"/>
      <c r="B69" s="9"/>
    </row>
    <row r="70" spans="1:2" ht="15.75" customHeight="1" x14ac:dyDescent="0.2">
      <c r="A70" s="9"/>
      <c r="B70" s="9"/>
    </row>
    <row r="71" spans="1:2" ht="15.75" customHeight="1" x14ac:dyDescent="0.2">
      <c r="A71" s="9"/>
      <c r="B71" s="9"/>
    </row>
    <row r="72" spans="1:2" ht="15.75" customHeight="1" x14ac:dyDescent="0.2">
      <c r="A72" s="9"/>
      <c r="B72" s="9"/>
    </row>
    <row r="73" spans="1:2" ht="15.75" customHeight="1" x14ac:dyDescent="0.2">
      <c r="A73" s="9"/>
      <c r="B73" s="9"/>
    </row>
    <row r="74" spans="1:2" ht="15.75" customHeight="1" x14ac:dyDescent="0.2">
      <c r="A74" s="9"/>
      <c r="B74" s="9"/>
    </row>
    <row r="75" spans="1:2" ht="15.75" customHeight="1" x14ac:dyDescent="0.2">
      <c r="A75" s="9"/>
      <c r="B75" s="9"/>
    </row>
    <row r="76" spans="1:2" ht="15.75" customHeight="1" x14ac:dyDescent="0.2">
      <c r="A76" s="9"/>
      <c r="B76" s="9"/>
    </row>
    <row r="77" spans="1:2" ht="15.75" customHeight="1" x14ac:dyDescent="0.2">
      <c r="A77" s="9"/>
      <c r="B77" s="9"/>
    </row>
    <row r="78" spans="1:2" ht="15.75" customHeight="1" x14ac:dyDescent="0.2">
      <c r="A78" s="9"/>
      <c r="B78" s="9"/>
    </row>
    <row r="79" spans="1:2" ht="15.75" customHeight="1" x14ac:dyDescent="0.2">
      <c r="A79" s="9"/>
      <c r="B79" s="9"/>
    </row>
    <row r="80" spans="1:2" ht="15.75" customHeight="1" x14ac:dyDescent="0.2">
      <c r="A80" s="9"/>
      <c r="B80" s="9"/>
    </row>
    <row r="81" spans="1:2" ht="15.75" customHeight="1" x14ac:dyDescent="0.2">
      <c r="A81" s="9"/>
      <c r="B81" s="9"/>
    </row>
    <row r="82" spans="1:2" ht="15.75" customHeight="1" x14ac:dyDescent="0.2">
      <c r="A82" s="9"/>
      <c r="B82" s="9"/>
    </row>
    <row r="83" spans="1:2" ht="15.75" customHeight="1" x14ac:dyDescent="0.2">
      <c r="A83" s="9"/>
      <c r="B83" s="9"/>
    </row>
    <row r="84" spans="1:2" ht="15.75" customHeight="1" x14ac:dyDescent="0.2">
      <c r="A84" s="9"/>
      <c r="B84" s="9"/>
    </row>
    <row r="85" spans="1:2" ht="15.75" customHeight="1" x14ac:dyDescent="0.2">
      <c r="A85" s="9"/>
      <c r="B85" s="9"/>
    </row>
    <row r="86" spans="1:2" ht="15.75" customHeight="1" x14ac:dyDescent="0.2">
      <c r="A86" s="9"/>
      <c r="B86" s="9"/>
    </row>
    <row r="87" spans="1:2" ht="15.75" customHeight="1" x14ac:dyDescent="0.2">
      <c r="A87" s="9"/>
      <c r="B87" s="9"/>
    </row>
    <row r="88" spans="1:2" ht="15.75" customHeight="1" x14ac:dyDescent="0.2">
      <c r="A88" s="9"/>
      <c r="B88" s="9"/>
    </row>
    <row r="89" spans="1:2" ht="15.75" customHeight="1" x14ac:dyDescent="0.2">
      <c r="A89" s="9"/>
      <c r="B89" s="9"/>
    </row>
    <row r="90" spans="1:2" ht="15.75" customHeight="1" x14ac:dyDescent="0.2">
      <c r="A90" s="9"/>
      <c r="B90" s="9"/>
    </row>
    <row r="91" spans="1:2" ht="15.75" customHeight="1" x14ac:dyDescent="0.2">
      <c r="A91" s="9"/>
      <c r="B91" s="9"/>
    </row>
    <row r="92" spans="1:2" ht="15.75" customHeight="1" x14ac:dyDescent="0.2">
      <c r="A92" s="9"/>
      <c r="B92" s="9"/>
    </row>
    <row r="93" spans="1:2" ht="15.75" customHeight="1" x14ac:dyDescent="0.2">
      <c r="A93" s="9"/>
      <c r="B93" s="9"/>
    </row>
    <row r="94" spans="1:2" ht="15.75" customHeight="1" x14ac:dyDescent="0.2">
      <c r="A94" s="9"/>
      <c r="B94" s="9"/>
    </row>
    <row r="95" spans="1:2" ht="15.75" customHeight="1" x14ac:dyDescent="0.2">
      <c r="A95" s="9"/>
      <c r="B95" s="9"/>
    </row>
    <row r="96" spans="1:2" ht="15.75" customHeight="1" x14ac:dyDescent="0.2">
      <c r="A96" s="9"/>
      <c r="B96" s="9"/>
    </row>
    <row r="97" spans="1:2" ht="15.75" customHeight="1" x14ac:dyDescent="0.2">
      <c r="A97" s="9"/>
      <c r="B97" s="9"/>
    </row>
    <row r="98" spans="1:2" ht="15.75" customHeight="1" x14ac:dyDescent="0.2">
      <c r="A98" s="9"/>
      <c r="B98" s="9"/>
    </row>
    <row r="99" spans="1:2" ht="15.75" customHeight="1" x14ac:dyDescent="0.2">
      <c r="A99" s="9"/>
      <c r="B99" s="9"/>
    </row>
    <row r="100" spans="1:2" ht="15.75" customHeight="1" x14ac:dyDescent="0.2">
      <c r="A100" s="9"/>
      <c r="B100" s="9"/>
    </row>
    <row r="101" spans="1:2" ht="15.75" customHeight="1" x14ac:dyDescent="0.2">
      <c r="A101" s="9"/>
      <c r="B101" s="9"/>
    </row>
    <row r="102" spans="1:2" ht="15.75" customHeight="1" x14ac:dyDescent="0.2">
      <c r="A102" s="9"/>
      <c r="B102" s="9"/>
    </row>
    <row r="103" spans="1:2" ht="15.75" customHeight="1" x14ac:dyDescent="0.2">
      <c r="A103" s="9"/>
      <c r="B103" s="9"/>
    </row>
    <row r="104" spans="1:2" ht="15.75" customHeight="1" x14ac:dyDescent="0.2">
      <c r="A104" s="9"/>
      <c r="B104" s="9"/>
    </row>
    <row r="105" spans="1:2" ht="15.75" customHeight="1" x14ac:dyDescent="0.2">
      <c r="A105" s="9"/>
      <c r="B105" s="9"/>
    </row>
    <row r="106" spans="1:2" ht="15.75" customHeight="1" x14ac:dyDescent="0.2">
      <c r="A106" s="9"/>
      <c r="B106" s="9"/>
    </row>
    <row r="107" spans="1:2" ht="15.75" customHeight="1" x14ac:dyDescent="0.2">
      <c r="A107" s="9"/>
      <c r="B107" s="9"/>
    </row>
    <row r="108" spans="1:2" ht="15.75" customHeight="1" x14ac:dyDescent="0.2">
      <c r="A108" s="9"/>
      <c r="B108" s="9"/>
    </row>
    <row r="109" spans="1:2" ht="15.75" customHeight="1" x14ac:dyDescent="0.2">
      <c r="A109" s="9"/>
      <c r="B109" s="9"/>
    </row>
    <row r="110" spans="1:2" ht="15.75" customHeight="1" x14ac:dyDescent="0.2">
      <c r="A110" s="9"/>
      <c r="B110" s="9"/>
    </row>
    <row r="111" spans="1:2" ht="15.75" customHeight="1" x14ac:dyDescent="0.2">
      <c r="A111" s="9"/>
      <c r="B111" s="9"/>
    </row>
    <row r="112" spans="1:2" ht="15.75" customHeight="1" x14ac:dyDescent="0.2">
      <c r="A112" s="9"/>
      <c r="B112" s="9"/>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sheetData>
  <hyperlinks>
    <hyperlink ref="A2" r:id="rId1" xr:uid="{6B8092BE-EDF3-C04B-A4A6-EC44A2D03158}"/>
    <hyperlink ref="A48" r:id="rId2" display="https://www.thoxan.com/kontakt/" xr:uid="{1B229F3C-7903-5343-B608-C26AF7258F20}"/>
    <hyperlink ref="A11" r:id="rId3" xr:uid="{FDEA96C5-5440-6746-8994-150ADD7657EF}"/>
    <hyperlink ref="A13" r:id="rId4" xr:uid="{960D0B04-E18F-9B4C-B62F-B55A74264F2C}"/>
    <hyperlink ref="A12" r:id="rId5" xr:uid="{BED0FDB1-41B0-494E-B8E2-9B5AB258C71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WIT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2023-06-25T06:35:33Z</dcterms:created>
  <dcterms:modified xsi:type="dcterms:W3CDTF">2023-06-25T06:36:49Z</dcterms:modified>
</cp:coreProperties>
</file>