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6/"/>
    </mc:Choice>
  </mc:AlternateContent>
  <xr:revisionPtr revIDLastSave="0" documentId="13_ncr:1_{40C172D1-2E12-F940-A353-72147F2DA252}" xr6:coauthVersionLast="47" xr6:coauthVersionMax="47" xr10:uidLastSave="{00000000-0000-0000-0000-000000000000}"/>
  <bookViews>
    <workbookView xWindow="12160" yWindow="500" windowWidth="37680" windowHeight="27040" xr2:uid="{4B0C395D-D509-354A-89FA-2F007E22C422}"/>
  </bookViews>
  <sheets>
    <sheet name="N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51" i="1"/>
  <c r="B45" i="1"/>
  <c r="B38" i="1"/>
  <c r="B25" i="1"/>
  <c r="B18" i="1"/>
  <c r="B60" i="1" l="1"/>
</calcChain>
</file>

<file path=xl/sharedStrings.xml><?xml version="1.0" encoding="utf-8"?>
<sst xmlns="http://schemas.openxmlformats.org/spreadsheetml/2006/main" count="60" uniqueCount="54">
  <si>
    <t>NIC Systemhaus GmbH</t>
  </si>
  <si>
    <t>2. Quartal 2023</t>
  </si>
  <si>
    <t>www.nic-team.com</t>
  </si>
  <si>
    <t>Monatliche Optimierung</t>
  </si>
  <si>
    <t>Aufwand ca. in Std.</t>
  </si>
  <si>
    <t>1. Linkaufbau, Linkabbau, Online-PR</t>
  </si>
  <si>
    <t>Textarbeiten Gastartikel: Briefing und Recherche, Texterstellung für Gastbeitrag auf economag.de, Lektorat, Abstimmung und Vorbereitung zur Veröffentlichung (12.04., EXT, TKI)</t>
  </si>
  <si>
    <t>Textarbeiten Gastartikel: Briefing und Recherche, Texterstellung für Gastbeitrag auf jobkralle.de, Lektorat, Abstimmung und Vorbereitung zur Veröffentlichung (15.05., EXT, TKI)</t>
  </si>
  <si>
    <t>Textarbeiten Gastartikel: Briefing und Recherche, Texterstellung für Gastbeitrag auf was-ist-malware.de, Lektorat, Abstimmung und Vorbereitung zur Veröffentlichung (12.06., EXT, TKI)</t>
  </si>
  <si>
    <t>Textarbeiten Gastartikel: Briefing und Recherche, Texterstellung für Gastbeitrag auf agile-unternehmen.de, Lektorat, Abstimmung und Vorbereitung zur Veröffentlichung (21.06., EXT, TKI)</t>
  </si>
  <si>
    <t>Textarbeiten Gastartikel: Briefing und Recherche, Texterstellung für Gastbeitrag auf business-on.de, Lektorat, Abstimmung und Vorbereitung zur Veröffentlichung (22.06., EXT, TKI)</t>
  </si>
  <si>
    <t>Linkaufbau-Organisation: Abstimmung mit den Seitenbetreibern zur Veröffentlichung der vorbereiteten Gastartikel, ggf. letzte Textanpassungen, Prüfung der Link-Integration, Abrechnung der Linkaufbau-Auslagen, Abstimmung und Dokumentation (11.04.-25.06., TKI)</t>
  </si>
  <si>
    <t>https://www.economag.de/berufe-mit-zukunft-karriere-in-der-it/</t>
  </si>
  <si>
    <t>https://www.jobkralle.de/blog/post/ausbildungen-im-bereich-it-und-edv-welche-optionen-gibt-es</t>
  </si>
  <si>
    <t>was-ist-malware.de</t>
  </si>
  <si>
    <t>(Wartet auf Veröffentlichung)</t>
  </si>
  <si>
    <t>agile-unternehmen.de</t>
  </si>
  <si>
    <t>(Geplant für Juli)</t>
  </si>
  <si>
    <t>business-on.de</t>
  </si>
  <si>
    <t>(Geplant für August)</t>
  </si>
  <si>
    <t>Link-Monitoring: Neue Verlinkungen aus Link-Tools der letzten 30 Tage überprüft, einzeln bewertet (monatlich 0,25 Std., TKI)</t>
  </si>
  <si>
    <t>2. Redaktionelle Arbeiten</t>
  </si>
  <si>
    <r>
      <rPr>
        <b/>
        <sz val="10"/>
        <color theme="1"/>
        <rFont val="Arial"/>
        <family val="2"/>
      </rPr>
      <t xml:space="preserve">Storys April: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(11., 18.04., 25., 27., GBO, TKI)</t>
    </r>
  </si>
  <si>
    <r>
      <rPr>
        <b/>
        <sz val="10"/>
        <color theme="1"/>
        <rFont val="Arial"/>
        <family val="2"/>
      </rPr>
      <t xml:space="preserve">Storys Mai: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(03., 04., 08., 09.05., GBO, TKI)</t>
    </r>
  </si>
  <si>
    <r>
      <rPr>
        <b/>
        <sz val="10"/>
        <color theme="1"/>
        <rFont val="Arial"/>
        <family val="2"/>
      </rPr>
      <t xml:space="preserve">Storys Juni: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(06.06., GBO, TKI)</t>
    </r>
  </si>
  <si>
    <r>
      <rPr>
        <b/>
        <sz val="10"/>
        <color theme="1"/>
        <rFont val="Arial"/>
        <family val="2"/>
      </rPr>
      <t>Landingpage Referenzen</t>
    </r>
    <r>
      <rPr>
        <sz val="10"/>
        <color theme="1"/>
        <rFont val="Arial"/>
        <family val="2"/>
      </rPr>
      <t>: Textarbeiten inkl. Abstimmung, Texterstellung, Lektorat und finale Bearbeitung, Versand an Kunden und Dokumentation 
(06.- 07.06. GBO, TKI)</t>
    </r>
  </si>
  <si>
    <t>3. Website-Pflege</t>
  </si>
  <si>
    <t>Einpflegen Managed Network: Finale Textkorrektur nach Freigabe,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(28.03., RBO, TKI)</t>
  </si>
  <si>
    <r>
      <t xml:space="preserve">Redaktionelle Pflege </t>
    </r>
    <r>
      <rPr>
        <b/>
        <sz val="10"/>
        <color theme="1"/>
        <rFont val="Arial"/>
        <family val="2"/>
      </rPr>
      <t>Storys März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(25.-31.03., GBO, VKO)</t>
    </r>
  </si>
  <si>
    <t>Austauschen von mehreren Fotos auf der Website lt. Kundenwunsch, Dokumentation per Video (Anleitung), Terminplanung für Calls, kl. Anpassungen Website, Abstimmung und Tickets aktualisieren, Dokumentation (04.04., TKI)</t>
  </si>
  <si>
    <t>Änderung der Telefonnummer von Cem auf der Website, Recherche und Anpassung verschiedene Stellen, Abstimmung und Dokumentation (04.05., TKI)</t>
  </si>
  <si>
    <t>Interne Verlinkung nachrüsten lt. Pflege-Ticket von Vicky (langfristige Aufgabe), Asana-Schulungsvideo aufnehmen, Ticket-Hygiene, Dokumentation und Abstimmung (04.05., TKI)</t>
  </si>
  <si>
    <r>
      <t xml:space="preserve">Redaktionelle Pflege </t>
    </r>
    <r>
      <rPr>
        <b/>
        <sz val="10"/>
        <color theme="1"/>
        <rFont val="Arial"/>
        <family val="2"/>
      </rPr>
      <t>Storys April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(11.05., GBO, VKO)</t>
    </r>
  </si>
  <si>
    <t>Asana-Management, Anleitung Storys für Nicole per Video, kl. Anpassungen und Abstimmung, Aufbau einer Backstage-Unterseite mit Grid für alle Storys, kl. Texterstellung, Verlinkung im Menü und auf der Startseite, Dokumentation (26.05., TKI)</t>
  </si>
  <si>
    <r>
      <t xml:space="preserve">Redaktionelle Pflege </t>
    </r>
    <r>
      <rPr>
        <b/>
        <sz val="10"/>
        <color theme="1"/>
        <rFont val="Arial"/>
        <family val="2"/>
      </rPr>
      <t>Storys Mai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(14., 22., 23.06., GBO, VKO)</t>
    </r>
  </si>
  <si>
    <r>
      <rPr>
        <b/>
        <sz val="10"/>
        <color theme="1"/>
        <rFont val="Arial"/>
        <family val="2"/>
      </rPr>
      <t xml:space="preserve">Einpflegen Unterseite Referenzen: </t>
    </r>
    <r>
      <rPr>
        <sz val="10"/>
        <color theme="1"/>
        <rFont val="Arial"/>
        <family val="2"/>
      </rPr>
      <t>Finale Textkorrektur nach Freigabe,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(22.06., GBO, RBO, TKI)</t>
    </r>
  </si>
  <si>
    <t>Anpassung der Erfahrung auf "rund 20 Jahre" auf diversen Seiten der Website (22.06., GBO)</t>
  </si>
  <si>
    <t>4. Technische Arbeiten, Programmierung</t>
  </si>
  <si>
    <t>Kontaktformular-Spam prüfen und aussortieren, Dokumentation und Abstimmung (03.04., TKI)</t>
  </si>
  <si>
    <t>Einrichtung, Integration und Anpassung der Bewertungssiegel und des Widgets von ProvenExpert auf der Website, Abstimmung und Dokumentation, Prüfung der Rich Snippets (19.05., BKO, TKI)</t>
  </si>
  <si>
    <t>Videos auf der Karriereseite austauschen und optimieren (19.05., BKO)</t>
  </si>
  <si>
    <t>Integration und Anpassung von neuer Bewerbungsplattform recruitee auf Website, div. Abstimmungen, Dokumentation (08.-31.05., 19.06., BKO)</t>
  </si>
  <si>
    <t>5. Google Ads, Monitoring</t>
  </si>
  <si>
    <t>Google Ads-Monitoring April: Monatliches Monitoring der Kampagnen, kl. Anpassungen, fortlaufendes Ausschließen und Ergänzen von Keywords, ausführliche Auswertung am Monatsende (01.-30.04., TKI, DHE)</t>
  </si>
  <si>
    <t>Google Ads-Monitoring Mai: Monatliches Monitoring der Kampagnen, kl. Anpassungen, fortlaufendes Ausschließen und Ergänzen von Keywords, ausführliche Auswertung am Monatsende (01.-31.05., TKI, DHE)</t>
  </si>
  <si>
    <t>Google Ads-Monitoring Juni: Monatliches Monitoring der Kampagnen, kl. Anpassungen, fortlaufendes Ausschließen und Ergänzen von Keywords, ausführliche Auswertung am Monatsende (01.-30.06., TKI, DHE)</t>
  </si>
  <si>
    <t>6. Beratung &amp; Sonstiges</t>
  </si>
  <si>
    <t>Vorbereitung und telefonische / virtuelle Abstimmung zur aktuellen Zusammenarbeit, Linkaufbau, Google Ads, Workshops, Klärung von div. Fragen, anschließend Dokumentation und interne Abstimmung für die nächsten Maßnahmen, 15-16 Uhr (19.04., TKI)</t>
  </si>
  <si>
    <t>Kurze Vorbereitung und telefonische / virtuelle Abstimmung zur aktuellen Zusammenarbeit, Linkaufbau, Google Ads, Workshops, Klärung von div. Fragen, anschließend Dokumentation und interne Abstimmung für die nächsten Maßnahmen, 10-10.45 Uhr (08.05., TKI)</t>
  </si>
  <si>
    <t>Kurze Vorbereitung und telefonische / virtuelle Abstimmung zur aktuellen Zusammenarbeit, Linkaufbau, Google Ads, Workshops, Klärung von div. Fragen (10-10.20 Uhr), anschließend Dokumentation und interne Abstimmung für die nächsten Maßnahmen, Conversion-Tracking prüfen (19.06.,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</si>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</sst>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3" fillId="0" borderId="3" xfId="1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4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3" xfId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nomag.de/berufe-mit-zukunft-karriere-in-der-it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Relationship Id="rId4" Type="http://schemas.openxmlformats.org/officeDocument/2006/relationships/hyperlink" Target="https://www.jobkralle.de/blog/post/ausbildungen-im-bereich-it-und-edv-welche-optionen-gibt-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321C-B881-DE4E-9040-7E7DA7710502}">
  <dimension ref="A1:B1016"/>
  <sheetViews>
    <sheetView tabSelected="1" zoomScale="150" zoomScaleNormal="150" workbookViewId="0">
      <pane ySplit="4" topLeftCell="A5" activePane="bottomLeft" state="frozen"/>
      <selection pane="bottomLeft" activeCell="B14" sqref="B1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42" x14ac:dyDescent="0.2">
      <c r="A6" s="13" t="s">
        <v>6</v>
      </c>
      <c r="B6" s="14">
        <v>3</v>
      </c>
    </row>
    <row r="7" spans="1:2" s="11" customFormat="1" ht="42" x14ac:dyDescent="0.2">
      <c r="A7" s="13" t="s">
        <v>7</v>
      </c>
      <c r="B7" s="14">
        <v>3</v>
      </c>
    </row>
    <row r="8" spans="1:2" s="11" customFormat="1" ht="42" x14ac:dyDescent="0.2">
      <c r="A8" s="13" t="s">
        <v>8</v>
      </c>
      <c r="B8" s="14">
        <v>3</v>
      </c>
    </row>
    <row r="9" spans="1:2" s="11" customFormat="1" ht="42" x14ac:dyDescent="0.2">
      <c r="A9" s="13" t="s">
        <v>9</v>
      </c>
      <c r="B9" s="14">
        <v>3</v>
      </c>
    </row>
    <row r="10" spans="1:2" s="11" customFormat="1" ht="42" x14ac:dyDescent="0.2">
      <c r="A10" s="13" t="s">
        <v>10</v>
      </c>
      <c r="B10" s="14">
        <v>3</v>
      </c>
    </row>
    <row r="11" spans="1:2" s="11" customFormat="1" ht="56" customHeight="1" x14ac:dyDescent="0.2">
      <c r="A11" s="13" t="s">
        <v>11</v>
      </c>
      <c r="B11" s="14">
        <v>2.5</v>
      </c>
    </row>
    <row r="12" spans="1:2" s="11" customFormat="1" ht="14" x14ac:dyDescent="0.2">
      <c r="A12" s="15" t="s">
        <v>12</v>
      </c>
      <c r="B12" s="14"/>
    </row>
    <row r="13" spans="1:2" s="11" customFormat="1" ht="28" x14ac:dyDescent="0.2">
      <c r="A13" s="15" t="s">
        <v>13</v>
      </c>
      <c r="B13" s="14"/>
    </row>
    <row r="14" spans="1:2" s="11" customFormat="1" ht="14" x14ac:dyDescent="0.2">
      <c r="A14" s="31" t="s">
        <v>14</v>
      </c>
      <c r="B14" s="14" t="s">
        <v>15</v>
      </c>
    </row>
    <row r="15" spans="1:2" s="11" customFormat="1" ht="14" x14ac:dyDescent="0.2">
      <c r="A15" s="31" t="s">
        <v>16</v>
      </c>
      <c r="B15" s="14" t="s">
        <v>17</v>
      </c>
    </row>
    <row r="16" spans="1:2" s="11" customFormat="1" ht="14" x14ac:dyDescent="0.2">
      <c r="A16" s="31" t="s">
        <v>18</v>
      </c>
      <c r="B16" s="14" t="s">
        <v>19</v>
      </c>
    </row>
    <row r="17" spans="1:2" s="11" customFormat="1" ht="31" customHeight="1" x14ac:dyDescent="0.2">
      <c r="A17" s="13" t="s">
        <v>20</v>
      </c>
      <c r="B17" s="14">
        <v>0.75</v>
      </c>
    </row>
    <row r="18" spans="1:2" s="11" customFormat="1" ht="15.75" customHeight="1" x14ac:dyDescent="0.2">
      <c r="A18" s="16" t="s">
        <v>4</v>
      </c>
      <c r="B18" s="17">
        <f>SUM(B5:B17)</f>
        <v>18.25</v>
      </c>
    </row>
    <row r="19" spans="1:2" s="11" customFormat="1" ht="15.75" customHeight="1" x14ac:dyDescent="0.2">
      <c r="A19" s="19"/>
      <c r="B19" s="14"/>
    </row>
    <row r="20" spans="1:2" s="11" customFormat="1" ht="15.75" customHeight="1" x14ac:dyDescent="0.2">
      <c r="A20" s="20" t="s">
        <v>21</v>
      </c>
      <c r="B20" s="14"/>
    </row>
    <row r="21" spans="1:2" s="11" customFormat="1" ht="42" x14ac:dyDescent="0.2">
      <c r="A21" s="13" t="s">
        <v>22</v>
      </c>
      <c r="B21" s="14">
        <v>4.75</v>
      </c>
    </row>
    <row r="22" spans="1:2" s="11" customFormat="1" ht="42" x14ac:dyDescent="0.2">
      <c r="A22" s="13" t="s">
        <v>23</v>
      </c>
      <c r="B22" s="14">
        <v>4.5</v>
      </c>
    </row>
    <row r="23" spans="1:2" s="11" customFormat="1" ht="42" x14ac:dyDescent="0.2">
      <c r="A23" s="13" t="s">
        <v>24</v>
      </c>
      <c r="B23" s="14">
        <v>3.5</v>
      </c>
    </row>
    <row r="24" spans="1:2" s="11" customFormat="1" ht="56" x14ac:dyDescent="0.2">
      <c r="A24" s="13" t="s">
        <v>25</v>
      </c>
      <c r="B24" s="14">
        <v>3</v>
      </c>
    </row>
    <row r="25" spans="1:2" s="11" customFormat="1" ht="15.75" customHeight="1" x14ac:dyDescent="0.2">
      <c r="A25" s="16" t="s">
        <v>4</v>
      </c>
      <c r="B25" s="22">
        <f>SUM(B21:B24)</f>
        <v>15.75</v>
      </c>
    </row>
    <row r="26" spans="1:2" s="11" customFormat="1" ht="15.75" customHeight="1" x14ac:dyDescent="0.2">
      <c r="A26" s="23"/>
      <c r="B26" s="14"/>
    </row>
    <row r="27" spans="1:2" s="11" customFormat="1" ht="15.75" customHeight="1" x14ac:dyDescent="0.2">
      <c r="A27" s="20" t="s">
        <v>26</v>
      </c>
      <c r="B27" s="14"/>
    </row>
    <row r="28" spans="1:2" s="11" customFormat="1" ht="84" x14ac:dyDescent="0.2">
      <c r="A28" s="24" t="s">
        <v>27</v>
      </c>
      <c r="B28" s="14">
        <v>2</v>
      </c>
    </row>
    <row r="29" spans="1:2" s="11" customFormat="1" ht="57" customHeight="1" x14ac:dyDescent="0.2">
      <c r="A29" s="24" t="s">
        <v>28</v>
      </c>
      <c r="B29" s="14">
        <v>1.5</v>
      </c>
    </row>
    <row r="30" spans="1:2" s="11" customFormat="1" ht="57" customHeight="1" x14ac:dyDescent="0.2">
      <c r="A30" s="24" t="s">
        <v>29</v>
      </c>
      <c r="B30" s="14">
        <v>0.5</v>
      </c>
    </row>
    <row r="31" spans="1:2" s="11" customFormat="1" ht="42" x14ac:dyDescent="0.2">
      <c r="A31" s="24" t="s">
        <v>30</v>
      </c>
      <c r="B31" s="14">
        <v>0.25</v>
      </c>
    </row>
    <row r="32" spans="1:2" s="11" customFormat="1" ht="42" x14ac:dyDescent="0.2">
      <c r="A32" s="24" t="s">
        <v>31</v>
      </c>
      <c r="B32" s="14">
        <v>0.5</v>
      </c>
    </row>
    <row r="33" spans="1:2" s="11" customFormat="1" ht="56" x14ac:dyDescent="0.2">
      <c r="A33" s="24" t="s">
        <v>32</v>
      </c>
      <c r="B33" s="14">
        <v>1.5</v>
      </c>
    </row>
    <row r="34" spans="1:2" s="11" customFormat="1" ht="56" x14ac:dyDescent="0.2">
      <c r="A34" s="24" t="s">
        <v>33</v>
      </c>
      <c r="B34" s="14">
        <v>0.75</v>
      </c>
    </row>
    <row r="35" spans="1:2" s="11" customFormat="1" ht="56" x14ac:dyDescent="0.2">
      <c r="A35" s="24" t="s">
        <v>34</v>
      </c>
      <c r="B35" s="14">
        <v>2.25</v>
      </c>
    </row>
    <row r="36" spans="1:2" s="11" customFormat="1" ht="98" x14ac:dyDescent="0.2">
      <c r="A36" s="24" t="s">
        <v>35</v>
      </c>
      <c r="B36" s="14">
        <v>2</v>
      </c>
    </row>
    <row r="37" spans="1:2" s="11" customFormat="1" ht="28" x14ac:dyDescent="0.2">
      <c r="A37" s="24" t="s">
        <v>36</v>
      </c>
      <c r="B37" s="14">
        <v>0.5</v>
      </c>
    </row>
    <row r="38" spans="1:2" s="11" customFormat="1" ht="15.75" customHeight="1" x14ac:dyDescent="0.2">
      <c r="A38" s="16" t="s">
        <v>4</v>
      </c>
      <c r="B38" s="17">
        <f>SUM(B28:B37)</f>
        <v>11.75</v>
      </c>
    </row>
    <row r="39" spans="1:2" s="11" customFormat="1" ht="15.75" customHeight="1" x14ac:dyDescent="0.2">
      <c r="A39" s="23"/>
      <c r="B39" s="14"/>
    </row>
    <row r="40" spans="1:2" s="11" customFormat="1" ht="15.75" customHeight="1" x14ac:dyDescent="0.2">
      <c r="A40" s="20" t="s">
        <v>37</v>
      </c>
      <c r="B40" s="14"/>
    </row>
    <row r="41" spans="1:2" s="11" customFormat="1" ht="28" x14ac:dyDescent="0.2">
      <c r="A41" s="24" t="s">
        <v>38</v>
      </c>
      <c r="B41" s="14">
        <v>0.5</v>
      </c>
    </row>
    <row r="42" spans="1:2" s="11" customFormat="1" ht="42" x14ac:dyDescent="0.2">
      <c r="A42" s="24" t="s">
        <v>39</v>
      </c>
      <c r="B42" s="14">
        <v>1.75</v>
      </c>
    </row>
    <row r="43" spans="1:2" s="11" customFormat="1" ht="14" x14ac:dyDescent="0.2">
      <c r="A43" s="24" t="s">
        <v>40</v>
      </c>
      <c r="B43" s="14">
        <v>1.25</v>
      </c>
    </row>
    <row r="44" spans="1:2" s="11" customFormat="1" ht="42" x14ac:dyDescent="0.2">
      <c r="A44" s="24" t="s">
        <v>41</v>
      </c>
      <c r="B44" s="14">
        <v>2.5</v>
      </c>
    </row>
    <row r="45" spans="1:2" s="11" customFormat="1" ht="15.75" customHeight="1" x14ac:dyDescent="0.2">
      <c r="A45" s="16" t="s">
        <v>4</v>
      </c>
      <c r="B45" s="17">
        <f>SUM(B41:B44)</f>
        <v>6</v>
      </c>
    </row>
    <row r="46" spans="1:2" s="11" customFormat="1" ht="15.75" customHeight="1" x14ac:dyDescent="0.2">
      <c r="A46" s="23"/>
      <c r="B46" s="14"/>
    </row>
    <row r="47" spans="1:2" s="11" customFormat="1" ht="15.75" customHeight="1" x14ac:dyDescent="0.2">
      <c r="A47" s="20" t="s">
        <v>42</v>
      </c>
      <c r="B47" s="14"/>
    </row>
    <row r="48" spans="1:2" s="11" customFormat="1" ht="54" customHeight="1" x14ac:dyDescent="0.2">
      <c r="A48" s="13" t="s">
        <v>43</v>
      </c>
      <c r="B48" s="21">
        <v>0.5</v>
      </c>
    </row>
    <row r="49" spans="1:2" s="11" customFormat="1" ht="56" x14ac:dyDescent="0.2">
      <c r="A49" s="13" t="s">
        <v>44</v>
      </c>
      <c r="B49" s="21">
        <v>0.5</v>
      </c>
    </row>
    <row r="50" spans="1:2" s="11" customFormat="1" ht="56" x14ac:dyDescent="0.2">
      <c r="A50" s="13" t="s">
        <v>45</v>
      </c>
      <c r="B50" s="21">
        <v>0.5</v>
      </c>
    </row>
    <row r="51" spans="1:2" s="11" customFormat="1" ht="15.75" customHeight="1" x14ac:dyDescent="0.2">
      <c r="A51" s="16" t="s">
        <v>4</v>
      </c>
      <c r="B51" s="17">
        <f>SUM(B48:B50)</f>
        <v>1.5</v>
      </c>
    </row>
    <row r="52" spans="1:2" s="11" customFormat="1" ht="15.75" customHeight="1" x14ac:dyDescent="0.2">
      <c r="A52" s="23"/>
      <c r="B52" s="14"/>
    </row>
    <row r="53" spans="1:2" s="11" customFormat="1" ht="15.75" customHeight="1" x14ac:dyDescent="0.2">
      <c r="A53" s="25" t="s">
        <v>46</v>
      </c>
      <c r="B53" s="14"/>
    </row>
    <row r="54" spans="1:2" s="11" customFormat="1" ht="56" x14ac:dyDescent="0.2">
      <c r="A54" s="13" t="s">
        <v>47</v>
      </c>
      <c r="B54" s="14">
        <v>1.5</v>
      </c>
    </row>
    <row r="55" spans="1:2" s="11" customFormat="1" ht="56" x14ac:dyDescent="0.2">
      <c r="A55" s="13" t="s">
        <v>48</v>
      </c>
      <c r="B55" s="14">
        <v>1</v>
      </c>
    </row>
    <row r="56" spans="1:2" s="11" customFormat="1" ht="70" x14ac:dyDescent="0.2">
      <c r="A56" s="13" t="s">
        <v>49</v>
      </c>
      <c r="B56" s="14">
        <v>0.75</v>
      </c>
    </row>
    <row r="57" spans="1:2" s="11" customFormat="1" ht="35" customHeight="1" x14ac:dyDescent="0.2">
      <c r="A57" s="13" t="s">
        <v>50</v>
      </c>
      <c r="B57" s="14">
        <v>3.5</v>
      </c>
    </row>
    <row r="58" spans="1:2" s="11" customFormat="1" ht="15.75" customHeight="1" x14ac:dyDescent="0.2">
      <c r="A58" s="16" t="s">
        <v>4</v>
      </c>
      <c r="B58" s="18">
        <f>SUM(B54:B57)</f>
        <v>6.75</v>
      </c>
    </row>
    <row r="59" spans="1:2" s="11" customFormat="1" ht="15.75" customHeight="1" x14ac:dyDescent="0.2">
      <c r="A59" s="23"/>
      <c r="B59" s="14"/>
    </row>
    <row r="60" spans="1:2" s="11" customFormat="1" ht="16.5" customHeight="1" thickBot="1" x14ac:dyDescent="0.25">
      <c r="A60" s="26" t="s">
        <v>51</v>
      </c>
      <c r="B60" s="27">
        <f>SUM(B18+B25+B38+B45+B51+B58)</f>
        <v>60</v>
      </c>
    </row>
    <row r="61" spans="1:2" s="11" customFormat="1" ht="16.5" customHeight="1" thickBot="1" x14ac:dyDescent="0.25">
      <c r="A61" s="28" t="s">
        <v>52</v>
      </c>
      <c r="B61" s="29">
        <v>7</v>
      </c>
    </row>
    <row r="62" spans="1:2" ht="15.75" customHeight="1" x14ac:dyDescent="0.2">
      <c r="A62" s="10"/>
      <c r="B62" s="10"/>
    </row>
    <row r="63" spans="1:2" ht="15.75" customHeight="1" x14ac:dyDescent="0.2">
      <c r="A63" s="30" t="s">
        <v>53</v>
      </c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>
      <c r="A117" s="10"/>
      <c r="B117" s="10"/>
    </row>
    <row r="118" spans="1:2" ht="15.75" customHeight="1" x14ac:dyDescent="0.2">
      <c r="A118" s="10"/>
      <c r="B118" s="10"/>
    </row>
    <row r="119" spans="1:2" ht="15.75" customHeight="1" x14ac:dyDescent="0.2">
      <c r="A119" s="10"/>
      <c r="B119" s="10"/>
    </row>
    <row r="120" spans="1:2" ht="15.75" customHeight="1" x14ac:dyDescent="0.2">
      <c r="A120" s="10"/>
      <c r="B120" s="10"/>
    </row>
    <row r="121" spans="1:2" ht="15.75" customHeight="1" x14ac:dyDescent="0.2">
      <c r="A121" s="10"/>
      <c r="B121" s="10"/>
    </row>
    <row r="122" spans="1:2" ht="15.75" customHeight="1" x14ac:dyDescent="0.2">
      <c r="A122" s="10"/>
      <c r="B122" s="10"/>
    </row>
    <row r="123" spans="1:2" ht="15.75" customHeight="1" x14ac:dyDescent="0.2">
      <c r="A123" s="10"/>
      <c r="B123" s="10"/>
    </row>
    <row r="124" spans="1:2" ht="15.75" customHeight="1" x14ac:dyDescent="0.2">
      <c r="A124" s="10"/>
      <c r="B124" s="10"/>
    </row>
    <row r="125" spans="1:2" ht="15.75" customHeight="1" x14ac:dyDescent="0.2">
      <c r="A125" s="10"/>
      <c r="B125" s="10"/>
    </row>
    <row r="126" spans="1:2" ht="15.75" customHeight="1" x14ac:dyDescent="0.2">
      <c r="A126" s="10"/>
      <c r="B126" s="10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  <row r="1008" spans="1:2" ht="15.75" customHeight="1" x14ac:dyDescent="0.2">
      <c r="A1008" s="3"/>
      <c r="B1008" s="3"/>
    </row>
    <row r="1009" spans="1:2" ht="15.75" customHeight="1" x14ac:dyDescent="0.2">
      <c r="A1009" s="3"/>
      <c r="B1009" s="3"/>
    </row>
    <row r="1010" spans="1:2" ht="15.75" customHeight="1" x14ac:dyDescent="0.2">
      <c r="A1010" s="3"/>
      <c r="B1010" s="3"/>
    </row>
    <row r="1011" spans="1:2" ht="15.75" customHeight="1" x14ac:dyDescent="0.2">
      <c r="A1011" s="3"/>
      <c r="B1011" s="3"/>
    </row>
    <row r="1012" spans="1:2" ht="15.75" customHeight="1" x14ac:dyDescent="0.2">
      <c r="A1012" s="3"/>
      <c r="B1012" s="3"/>
    </row>
    <row r="1013" spans="1:2" ht="15.75" customHeight="1" x14ac:dyDescent="0.2">
      <c r="A1013" s="3"/>
      <c r="B1013" s="3"/>
    </row>
    <row r="1014" spans="1:2" ht="15.75" customHeight="1" x14ac:dyDescent="0.2">
      <c r="A1014" s="3"/>
      <c r="B1014" s="3"/>
    </row>
    <row r="1015" spans="1:2" ht="15.75" customHeight="1" x14ac:dyDescent="0.2">
      <c r="A1015" s="3"/>
      <c r="B1015" s="3"/>
    </row>
    <row r="1016" spans="1:2" ht="15.75" customHeight="1" x14ac:dyDescent="0.2">
      <c r="A1016" s="3"/>
      <c r="B1016" s="3"/>
    </row>
  </sheetData>
  <hyperlinks>
    <hyperlink ref="A2" r:id="rId1" xr:uid="{E4757F9C-0695-D240-B978-C19A719CB488}"/>
    <hyperlink ref="A63" r:id="rId2" display="https://www.thoxan.com/kontakt/" xr:uid="{2917A2F1-D0F1-534F-A160-34FA730D591D}"/>
    <hyperlink ref="A12" r:id="rId3" xr:uid="{5F6E0916-4FD1-2A4B-B062-F7B634FCD12F}"/>
    <hyperlink ref="A13" r:id="rId4" xr:uid="{8BCCF3A7-CCBC-BA42-BAA3-E8A9F35F970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2023-06-25T13:37:06Z</dcterms:created>
  <dcterms:modified xsi:type="dcterms:W3CDTF">2023-06-25T13:39:27Z</dcterms:modified>
</cp:coreProperties>
</file>