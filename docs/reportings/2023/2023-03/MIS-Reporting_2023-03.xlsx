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Volumes/Zoho WorkDrive (thoxan)/THOXAN GMBH/REPORTINGS/2023-03/"/>
    </mc:Choice>
  </mc:AlternateContent>
  <xr:revisionPtr revIDLastSave="0" documentId="8_{EC307268-9AC7-9A41-BAC2-B1B78FE0AB2D}" xr6:coauthVersionLast="47" xr6:coauthVersionMax="47" xr10:uidLastSave="{00000000-0000-0000-0000-000000000000}"/>
  <bookViews>
    <workbookView xWindow="4280" yWindow="3280" windowWidth="36600" windowHeight="23380" xr2:uid="{04545938-C0C9-2F4A-851C-87A50CDF3C15}"/>
  </bookViews>
  <sheets>
    <sheet name="MI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 l="1"/>
  <c r="B48" i="1" s="1"/>
  <c r="B40" i="1"/>
  <c r="B36" i="1"/>
  <c r="B20" i="1"/>
  <c r="B15" i="1"/>
  <c r="B8" i="1"/>
</calcChain>
</file>

<file path=xl/sharedStrings.xml><?xml version="1.0" encoding="utf-8"?>
<sst xmlns="http://schemas.openxmlformats.org/spreadsheetml/2006/main" count="44" uniqueCount="38">
  <si>
    <t>Mischioff AG</t>
  </si>
  <si>
    <t>1. Quartal 2023</t>
  </si>
  <si>
    <t>www.mischioff.com</t>
  </si>
  <si>
    <t>Monatliche Optimierung</t>
  </si>
  <si>
    <t>Aufwand ca. in Std.</t>
  </si>
  <si>
    <t>1. Linkaufbau, Linkabbau, Online-PR</t>
  </si>
  <si>
    <t>Link-Monitoring: Neue Verlinkungen aus Link-Tools der letzten 30 Tage überprüft, einzeln bewertet (monatlich 0,25 Std., TKI)</t>
  </si>
  <si>
    <t>2. Rubrik "Inspiration" (ehem. "Teppich des Monats")</t>
  </si>
  <si>
    <t>Textarbeiten Inspiration "Nilanda_NI45": Abstimmung, Briefing und inhaltliche Konzeption, Recherche und Zusammentragen der Informationen, Texterstellung, Keyword-Optimierung nach WDF*IDF, Ergänzungen und kl. Anpassungen, Lektorat und finale Bearbeitung, Versand an Kunden und Dokumentation (30.01., SWO, TKI)</t>
  </si>
  <si>
    <t>Textarbeiten Inspiration "Sichouk_SI53": Abstimmung, Briefing und inhaltliche Konzeption, Recherche und Zusammentragen der Informationen, Texterstellung, Keyword-Optimierung nach WDF*IDF, Ergänzungen und kl. Anpassungen, Lektorat und finale Bearbeitung, Versand an Kunden und Dokumentation (31.01., SWO, TKI)</t>
  </si>
  <si>
    <t>Textarbeiten Inspiration "Tibey_TB40": Abstimmung, Briefing und inhaltliche Konzeption, Recherche und Zusammentragen der Informationen, Texterstellung, Keyword-Optimierung nach WDF*IDF, Ergänzungen und kl. Anpassungen, Lektorat und finale Bearbeitung, Versand an Kunden und Dokumentation (31.01., SWO, TKI)</t>
  </si>
  <si>
    <t>Textarbeiten Inspiration "Circlism": Abstimmung, Briefing und inhaltliche Konzeption, Recherche und Zusammentragen der Informationen, Texterstellung, Keyword-Optimierung nach WDF*IDF, Ergänzungen und kl. Anpassungen, Lektorat und finale Bearbeitung, Versand an Kunden und Dokumentation (31.01., SWO, TKI)</t>
  </si>
  <si>
    <t>3. Redaktionelle Arbeiten</t>
  </si>
  <si>
    <t>Textarbeiten Referenz "Town-House Montreal": Abstimmung, Briefing und inhaltliche Konzeption, Recherche und Zusammentragen der Informationen, Texterstellung, Keyword-Optimierung nach WDF*IDF, Ergänzungen und kl. Anpassungen, Lektorat und finale Bearbeitung, Versand an Kunden und Dokumentation (30.01., SWO, TKI)</t>
  </si>
  <si>
    <t>Textarbeiten Unterseite "Altbauwohnung_Altstadt_Zürich": Abstimmung, Briefing und inhaltliche Konzeption, Recherche und Zusammentragen der Informationen, Texterstellung, Keyword-Optimierung nach WDF*IDF, Ergänzungen und kl. Anpassungen, Lektorat und finale Bearbeitung, Versand an Kunden und Dokumentation (30.01., SWO, TKI)</t>
  </si>
  <si>
    <t>PDF-Flipbook Integration: Einbindung und Prüfung der benötigten Scripte inkl. Lifetime Lizenz für Library im Wert von 100 Euro, Programmierung eines speziellen Elements für die Ausgabe von PDFs inkl. Optionen, Anleitung zur Nutzung per Video, Dokumentation und Abstimmung (06.01., BKO, TKI)</t>
  </si>
  <si>
    <t>Aufbau einer Kollektionsseite (Tibey) mit abwechslungsreichen Seitenelementen, Videodokumentation, Anpassung der Seite, Integration eines Kollektionsabhängigen Grids für Inspirationen, Anleitung zur Kategorisierung, kl. Anpassungen Farben und Details (09.-13.02., TKI, BKO)</t>
  </si>
  <si>
    <t>Aktualisieren der Inspirations- und Referenz-Templates als Vorlagen für neue Beiträge (14.02., TKI)</t>
  </si>
  <si>
    <t>Anleitung Menüanpassungen, Dokumentation (27.02., TKI)</t>
  </si>
  <si>
    <t>Fehlersuche, Anpassung Inspirationen-Unterseite, Video-Dokumentation (27.02., TKI)</t>
  </si>
  <si>
    <t>Bearbeitung der Inspirationsgrids, kurze Anleitungsvideos, Abstimmung und Dokumentation (28.02.-12.03., TKI)</t>
  </si>
  <si>
    <t>Einrichtung einer Calendly Terminbuchung inkl. Google Calender Integration und Gestaltung einer Dankes-Seite mit individuellem weiterführende Besucherformular: Abstimmung via Zoom/Asana, Nachbearbeitung und Dokumentation (10.02.-27.02.., RBO)</t>
  </si>
  <si>
    <t>Notwendige Anpassungen an Formularen und am Template zur Integration der gewünschten Calendly-Funktionen auf der Website (20.-21.02., BKO)</t>
  </si>
  <si>
    <t>Einrichtung von Kategorien für Inspirations, Pods bearbeiten, Columns-Bearbeitung aktiviert, erste Inspirations testweise zugeordnet, Grid aufgebaut, Video-Dokumentation und Abstimmung (12.03., TKI)</t>
  </si>
  <si>
    <t>Anpassung Normform-Formulare um nebeneinanderliegende Felder (anteilige Beteiligung), Programmierung, Dokumentation (15.03., BKO)</t>
  </si>
  <si>
    <t>Durchsicht der Website, telefonische Abstimmung zu offenen Arbeiten vor dem Online-Gang, Feedback zur bisherigen Umsetzung, Planung weiterer Maßnahmen, Klären div. Fragen (22.03., TKI)</t>
  </si>
  <si>
    <t>Designanpassungen im Header, Abstände, Größen, etc., Merkliste mittig – Abstimmung und Dokumentation (22.-23.03., TKI)</t>
  </si>
  <si>
    <t>Integration Google Maps auf Anfahrt, kl. Anpassungen, Abstimmung (28.03., BKO)</t>
  </si>
  <si>
    <t>5. Google Ads</t>
  </si>
  <si>
    <t>Google Ads Monitoring: Fortlaufendes Monitoring des AdWords-Kontos, kl. Anpassungen, Gebote anpassen, Keywords ausrichten, Überwachung des Remarktings, kurze Durchsicht und Auswertung zum Monats- bzw. Quartalsende (monatlich, DHE, TKI)</t>
  </si>
  <si>
    <t>SEO Auswertung und Keyword-Monitoring: Kurze Durchsicht und entsprechende Screenshots für ausgewählte Keywords in google.de bei XOVI sowie Sistrix-Veränderungen gegenüber dem vorherigen Quartal erstellt (29.03., TKI)</t>
  </si>
  <si>
    <t>Server-Monitoring: Dauerhafte automatisierte Überwachung der Erreichbarkeit der 10 wichtigsten Zielseiten, Protokollierung und Dokumentation (monatlich,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</si>
  <si>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</si>
  <si>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</si>
  <si>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</si>
  <si>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</si>
  <si>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6. Beratung &amp; Sonstiges</t>
  </si>
  <si>
    <t>4. Technische Arbeiten, Programmierung, Website-Pflege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</si>
</sst>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0"/>
      <color rgb="FF0000FF"/>
      <name val="Arial"/>
      <family val="2"/>
    </font>
    <font>
      <sz val="10"/>
      <color theme="1"/>
      <name val="Arial"/>
      <family val="2"/>
    </font>
    <font>
      <sz val="10"/>
      <color rgb="FF000000"/>
      <name val="Arial"/>
      <family val="2"/>
    </font>
    <font>
      <b/>
      <sz val="10"/>
      <color theme="1"/>
      <name val="Arial"/>
      <family val="2"/>
    </font>
    <font>
      <sz val="10"/>
      <color theme="1"/>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34">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left"/>
    </xf>
    <xf numFmtId="49" fontId="4" fillId="0" borderId="0" xfId="0" applyNumberFormat="1" applyFont="1" applyAlignment="1">
      <alignment horizontal="right"/>
    </xf>
    <xf numFmtId="49" fontId="4"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4" fillId="0" borderId="0" xfId="0" applyFont="1"/>
    <xf numFmtId="0" fontId="7" fillId="0" borderId="0" xfId="0" applyFont="1"/>
    <xf numFmtId="0" fontId="6" fillId="0" borderId="1" xfId="0" applyFont="1" applyBorder="1" applyAlignment="1">
      <alignment horizontal="center" vertical="center"/>
    </xf>
    <xf numFmtId="0" fontId="4" fillId="0" borderId="1" xfId="0" applyFont="1" applyBorder="1"/>
    <xf numFmtId="0" fontId="4" fillId="0" borderId="1" xfId="0" applyFont="1" applyBorder="1" applyAlignment="1">
      <alignment vertical="top" wrapText="1"/>
    </xf>
    <xf numFmtId="0" fontId="4" fillId="0" borderId="1" xfId="0" applyFont="1" applyBorder="1" applyAlignment="1">
      <alignment horizontal="center" vertical="center"/>
    </xf>
    <xf numFmtId="0" fontId="4" fillId="2" borderId="1" xfId="0" applyFont="1" applyFill="1" applyBorder="1" applyAlignment="1">
      <alignment vertical="center"/>
    </xf>
    <xf numFmtId="0" fontId="4" fillId="2" borderId="2" xfId="0" applyFont="1" applyFill="1" applyBorder="1" applyAlignment="1">
      <alignment horizontal="center" vertical="center"/>
    </xf>
    <xf numFmtId="0" fontId="4" fillId="2" borderId="4" xfId="0" applyFont="1" applyFill="1" applyBorder="1" applyAlignment="1">
      <alignment vertical="center"/>
    </xf>
    <xf numFmtId="0" fontId="4" fillId="2" borderId="3" xfId="0" applyFont="1" applyFill="1" applyBorder="1" applyAlignment="1">
      <alignment horizontal="center" vertical="center"/>
    </xf>
    <xf numFmtId="0" fontId="4" fillId="0" borderId="1" xfId="0" applyFont="1" applyBorder="1" applyAlignment="1">
      <alignmen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2" borderId="1" xfId="0" applyFont="1" applyFill="1" applyBorder="1" applyAlignment="1">
      <alignment horizontal="center" vertical="center"/>
    </xf>
    <xf numFmtId="0" fontId="6" fillId="0" borderId="1" xfId="0" applyFont="1" applyBorder="1" applyAlignment="1">
      <alignment wrapText="1"/>
    </xf>
    <xf numFmtId="0" fontId="4" fillId="0" borderId="1" xfId="0" quotePrefix="1" applyFont="1" applyBorder="1" applyAlignment="1">
      <alignment vertical="top" wrapText="1"/>
    </xf>
    <xf numFmtId="0" fontId="4" fillId="3" borderId="1" xfId="0" applyFont="1" applyFill="1" applyBorder="1" applyAlignment="1">
      <alignment horizontal="center" vertical="center"/>
    </xf>
    <xf numFmtId="0" fontId="5" fillId="0" borderId="1" xfId="0" applyFont="1" applyBorder="1" applyAlignment="1" applyProtection="1">
      <alignment vertical="top" wrapText="1"/>
      <protection locked="0"/>
    </xf>
    <xf numFmtId="0" fontId="4" fillId="2" borderId="7" xfId="0" applyFont="1" applyFill="1" applyBorder="1" applyAlignment="1">
      <alignment horizontal="center" vertical="center"/>
    </xf>
    <xf numFmtId="0" fontId="4" fillId="2" borderId="8" xfId="0" applyFont="1" applyFill="1" applyBorder="1" applyAlignment="1">
      <alignment vertical="center"/>
    </xf>
    <xf numFmtId="0" fontId="6" fillId="2" borderId="8" xfId="0" applyFont="1" applyFill="1" applyBorder="1" applyAlignment="1">
      <alignment horizontal="center" vertical="center"/>
    </xf>
    <xf numFmtId="0" fontId="4" fillId="2" borderId="9" xfId="0" applyFont="1" applyFill="1" applyBorder="1" applyAlignment="1">
      <alignment vertical="center"/>
    </xf>
    <xf numFmtId="0" fontId="6" fillId="2" borderId="9" xfId="0" applyFont="1" applyFill="1" applyBorder="1" applyAlignment="1">
      <alignment horizontal="center" vertical="center"/>
    </xf>
    <xf numFmtId="0" fontId="8"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mischioff.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35988-AE6B-384F-8A29-6AF3FD5113C3}">
  <dimension ref="A1:B991"/>
  <sheetViews>
    <sheetView tabSelected="1" zoomScale="150" zoomScaleNormal="150" workbookViewId="0">
      <pane ySplit="5" topLeftCell="A34" activePane="bottomLeft" state="frozen"/>
      <selection pane="bottomLeft" activeCell="B44" sqref="B44"/>
    </sheetView>
  </sheetViews>
  <sheetFormatPr baseColWidth="10" defaultColWidth="11.1640625" defaultRowHeight="15" customHeight="1" x14ac:dyDescent="0.2"/>
  <cols>
    <col min="1" max="1" width="57.5" customWidth="1"/>
    <col min="2" max="2" width="23" customWidth="1"/>
  </cols>
  <sheetData>
    <row r="1" spans="1:2" ht="21" customHeight="1" x14ac:dyDescent="0.2">
      <c r="A1" s="1" t="s">
        <v>0</v>
      </c>
      <c r="B1" s="2" t="s">
        <v>1</v>
      </c>
    </row>
    <row r="2" spans="1:2" ht="15.75" customHeight="1" x14ac:dyDescent="0.2">
      <c r="A2" s="4" t="s">
        <v>2</v>
      </c>
      <c r="B2" s="5" t="s">
        <v>3</v>
      </c>
    </row>
    <row r="3" spans="1:2" ht="15.75" customHeight="1" x14ac:dyDescent="0.2">
      <c r="A3" s="6"/>
      <c r="B3" s="6"/>
    </row>
    <row r="4" spans="1:2" ht="15.75" customHeight="1" x14ac:dyDescent="0.2">
      <c r="A4" s="7"/>
      <c r="B4" s="6"/>
    </row>
    <row r="5" spans="1:2" s="11" customFormat="1" ht="15.75" customHeight="1" x14ac:dyDescent="0.2">
      <c r="A5" s="8"/>
      <c r="B5" s="9" t="s">
        <v>4</v>
      </c>
    </row>
    <row r="6" spans="1:2" s="11" customFormat="1" ht="15.75" customHeight="1" x14ac:dyDescent="0.2">
      <c r="A6" s="8" t="s">
        <v>5</v>
      </c>
      <c r="B6" s="12"/>
    </row>
    <row r="7" spans="1:2" s="11" customFormat="1" ht="28" x14ac:dyDescent="0.2">
      <c r="A7" s="14" t="s">
        <v>6</v>
      </c>
      <c r="B7" s="15">
        <v>0.75</v>
      </c>
    </row>
    <row r="8" spans="1:2" s="11" customFormat="1" ht="15.75" customHeight="1" x14ac:dyDescent="0.2">
      <c r="A8" s="16" t="s">
        <v>4</v>
      </c>
      <c r="B8" s="17">
        <f>SUM(B7:B7)</f>
        <v>0.75</v>
      </c>
    </row>
    <row r="9" spans="1:2" s="11" customFormat="1" ht="15.75" customHeight="1" x14ac:dyDescent="0.2">
      <c r="A9" s="13"/>
      <c r="B9" s="15"/>
    </row>
    <row r="10" spans="1:2" s="11" customFormat="1" ht="15.75" customHeight="1" x14ac:dyDescent="0.2">
      <c r="A10" s="8" t="s">
        <v>7</v>
      </c>
      <c r="B10" s="15"/>
    </row>
    <row r="11" spans="1:2" s="11" customFormat="1" ht="70" x14ac:dyDescent="0.2">
      <c r="A11" s="14" t="s">
        <v>8</v>
      </c>
      <c r="B11" s="15">
        <v>2</v>
      </c>
    </row>
    <row r="12" spans="1:2" s="11" customFormat="1" ht="70" x14ac:dyDescent="0.2">
      <c r="A12" s="14" t="s">
        <v>9</v>
      </c>
      <c r="B12" s="15">
        <v>2</v>
      </c>
    </row>
    <row r="13" spans="1:2" s="11" customFormat="1" ht="70" x14ac:dyDescent="0.2">
      <c r="A13" s="14" t="s">
        <v>10</v>
      </c>
      <c r="B13" s="15">
        <v>2.25</v>
      </c>
    </row>
    <row r="14" spans="1:2" s="11" customFormat="1" ht="70" x14ac:dyDescent="0.2">
      <c r="A14" s="14" t="s">
        <v>11</v>
      </c>
      <c r="B14" s="15">
        <v>2.25</v>
      </c>
    </row>
    <row r="15" spans="1:2" s="11" customFormat="1" ht="15.75" customHeight="1" x14ac:dyDescent="0.2">
      <c r="A15" s="18" t="s">
        <v>4</v>
      </c>
      <c r="B15" s="19">
        <f>SUM(B11:B14)</f>
        <v>8.5</v>
      </c>
    </row>
    <row r="16" spans="1:2" s="11" customFormat="1" ht="15.75" customHeight="1" x14ac:dyDescent="0.2">
      <c r="A16" s="20"/>
      <c r="B16" s="15"/>
    </row>
    <row r="17" spans="1:2" s="11" customFormat="1" ht="15.75" customHeight="1" x14ac:dyDescent="0.2">
      <c r="A17" s="8" t="s">
        <v>12</v>
      </c>
      <c r="B17" s="15"/>
    </row>
    <row r="18" spans="1:2" s="11" customFormat="1" ht="70" x14ac:dyDescent="0.2">
      <c r="A18" s="14" t="s">
        <v>13</v>
      </c>
      <c r="B18" s="21">
        <v>1.75</v>
      </c>
    </row>
    <row r="19" spans="1:2" s="11" customFormat="1" ht="70" x14ac:dyDescent="0.2">
      <c r="A19" s="14" t="s">
        <v>14</v>
      </c>
      <c r="B19" s="22">
        <v>1.75</v>
      </c>
    </row>
    <row r="20" spans="1:2" s="11" customFormat="1" ht="15.75" customHeight="1" x14ac:dyDescent="0.2">
      <c r="A20" s="16" t="s">
        <v>4</v>
      </c>
      <c r="B20" s="23">
        <f>SUM(B17:B19)</f>
        <v>3.5</v>
      </c>
    </row>
    <row r="21" spans="1:2" s="11" customFormat="1" ht="14" x14ac:dyDescent="0.2">
      <c r="A21" s="14"/>
      <c r="B21" s="15"/>
    </row>
    <row r="22" spans="1:2" s="11" customFormat="1" ht="15.75" customHeight="1" x14ac:dyDescent="0.2">
      <c r="A22" s="24" t="s">
        <v>37</v>
      </c>
      <c r="B22" s="15"/>
    </row>
    <row r="23" spans="1:2" s="11" customFormat="1" ht="70" x14ac:dyDescent="0.2">
      <c r="A23" s="25" t="s">
        <v>15</v>
      </c>
      <c r="B23" s="26">
        <v>4</v>
      </c>
    </row>
    <row r="24" spans="1:2" s="11" customFormat="1" ht="70" x14ac:dyDescent="0.2">
      <c r="A24" s="25" t="s">
        <v>16</v>
      </c>
      <c r="B24" s="26">
        <v>3.5</v>
      </c>
    </row>
    <row r="25" spans="1:2" s="11" customFormat="1" ht="28" x14ac:dyDescent="0.2">
      <c r="A25" s="25" t="s">
        <v>17</v>
      </c>
      <c r="B25" s="26">
        <v>0.5</v>
      </c>
    </row>
    <row r="26" spans="1:2" s="11" customFormat="1" ht="14" x14ac:dyDescent="0.2">
      <c r="A26" s="25" t="s">
        <v>18</v>
      </c>
      <c r="B26" s="26">
        <v>0.25</v>
      </c>
    </row>
    <row r="27" spans="1:2" s="11" customFormat="1" ht="28" x14ac:dyDescent="0.2">
      <c r="A27" s="25" t="s">
        <v>19</v>
      </c>
      <c r="B27" s="26">
        <v>0.25</v>
      </c>
    </row>
    <row r="28" spans="1:2" s="11" customFormat="1" ht="28" x14ac:dyDescent="0.2">
      <c r="A28" s="25" t="s">
        <v>20</v>
      </c>
      <c r="B28" s="26">
        <v>1.5</v>
      </c>
    </row>
    <row r="29" spans="1:2" s="11" customFormat="1" ht="56" x14ac:dyDescent="0.2">
      <c r="A29" s="27" t="s">
        <v>21</v>
      </c>
      <c r="B29" s="15">
        <v>10</v>
      </c>
    </row>
    <row r="30" spans="1:2" s="11" customFormat="1" ht="42" x14ac:dyDescent="0.2">
      <c r="A30" s="27" t="s">
        <v>22</v>
      </c>
      <c r="B30" s="15">
        <v>1</v>
      </c>
    </row>
    <row r="31" spans="1:2" s="11" customFormat="1" ht="42" x14ac:dyDescent="0.2">
      <c r="A31" s="27" t="s">
        <v>23</v>
      </c>
      <c r="B31" s="15">
        <v>1.5</v>
      </c>
    </row>
    <row r="32" spans="1:2" s="11" customFormat="1" ht="28" x14ac:dyDescent="0.2">
      <c r="A32" s="27" t="s">
        <v>24</v>
      </c>
      <c r="B32" s="15">
        <v>0.5</v>
      </c>
    </row>
    <row r="33" spans="1:2" s="11" customFormat="1" ht="42" x14ac:dyDescent="0.2">
      <c r="A33" s="27" t="s">
        <v>25</v>
      </c>
      <c r="B33" s="15">
        <v>0.75</v>
      </c>
    </row>
    <row r="34" spans="1:2" s="11" customFormat="1" ht="28" x14ac:dyDescent="0.2">
      <c r="A34" s="27" t="s">
        <v>26</v>
      </c>
      <c r="B34" s="15">
        <v>0.5</v>
      </c>
    </row>
    <row r="35" spans="1:2" s="11" customFormat="1" ht="28" x14ac:dyDescent="0.2">
      <c r="A35" s="27" t="s">
        <v>27</v>
      </c>
      <c r="B35" s="15">
        <v>0.5</v>
      </c>
    </row>
    <row r="36" spans="1:2" s="11" customFormat="1" ht="15.75" customHeight="1" x14ac:dyDescent="0.2">
      <c r="A36" s="16" t="s">
        <v>4</v>
      </c>
      <c r="B36" s="23">
        <f>SUM(B22:B35)</f>
        <v>24.75</v>
      </c>
    </row>
    <row r="37" spans="1:2" s="11" customFormat="1" ht="15.75" customHeight="1" x14ac:dyDescent="0.2">
      <c r="A37" s="20"/>
      <c r="B37" s="15"/>
    </row>
    <row r="38" spans="1:2" s="11" customFormat="1" ht="15.75" customHeight="1" x14ac:dyDescent="0.2">
      <c r="A38" s="8" t="s">
        <v>28</v>
      </c>
      <c r="B38" s="15"/>
    </row>
    <row r="39" spans="1:2" s="11" customFormat="1" ht="56" x14ac:dyDescent="0.2">
      <c r="A39" s="14" t="s">
        <v>29</v>
      </c>
      <c r="B39" s="15">
        <v>1.5</v>
      </c>
    </row>
    <row r="40" spans="1:2" s="11" customFormat="1" ht="15.75" customHeight="1" x14ac:dyDescent="0.2">
      <c r="A40" s="18" t="s">
        <v>4</v>
      </c>
      <c r="B40" s="28">
        <f>SUM(B39:B39)</f>
        <v>1.5</v>
      </c>
    </row>
    <row r="41" spans="1:2" s="11" customFormat="1" ht="15.75" customHeight="1" x14ac:dyDescent="0.2">
      <c r="A41" s="20"/>
      <c r="B41" s="15"/>
    </row>
    <row r="42" spans="1:2" s="11" customFormat="1" ht="15.75" customHeight="1" x14ac:dyDescent="0.2">
      <c r="A42" s="8" t="s">
        <v>36</v>
      </c>
      <c r="B42" s="15"/>
    </row>
    <row r="43" spans="1:2" s="11" customFormat="1" ht="56" x14ac:dyDescent="0.2">
      <c r="A43" s="14" t="s">
        <v>30</v>
      </c>
      <c r="B43" s="15">
        <v>0.25</v>
      </c>
    </row>
    <row r="44" spans="1:2" s="11" customFormat="1" ht="42" x14ac:dyDescent="0.2">
      <c r="A44" s="14" t="s">
        <v>31</v>
      </c>
      <c r="B44" s="15">
        <v>0.75</v>
      </c>
    </row>
    <row r="45" spans="1:2" s="11" customFormat="1" ht="36" customHeight="1" x14ac:dyDescent="0.2">
      <c r="A45" s="14" t="s">
        <v>32</v>
      </c>
      <c r="B45" s="15">
        <v>2.5</v>
      </c>
    </row>
    <row r="46" spans="1:2" s="11" customFormat="1" ht="15.75" customHeight="1" x14ac:dyDescent="0.2">
      <c r="A46" s="16" t="s">
        <v>4</v>
      </c>
      <c r="B46" s="17">
        <f>SUM(B43:B45)</f>
        <v>3.5</v>
      </c>
    </row>
    <row r="47" spans="1:2" s="11" customFormat="1" ht="15.75" customHeight="1" x14ac:dyDescent="0.2">
      <c r="A47" s="20"/>
      <c r="B47" s="15"/>
    </row>
    <row r="48" spans="1:2" s="11" customFormat="1" ht="16.5" customHeight="1" thickBot="1" x14ac:dyDescent="0.25">
      <c r="A48" s="29" t="s">
        <v>33</v>
      </c>
      <c r="B48" s="30">
        <f>SUM(B8+B15+B20+B40+B36+B46)</f>
        <v>42.5</v>
      </c>
    </row>
    <row r="49" spans="1:2" s="11" customFormat="1" ht="16.5" customHeight="1" thickBot="1" x14ac:dyDescent="0.25">
      <c r="A49" s="31" t="s">
        <v>34</v>
      </c>
      <c r="B49" s="32">
        <v>5</v>
      </c>
    </row>
    <row r="50" spans="1:2" ht="15.75" customHeight="1" x14ac:dyDescent="0.2">
      <c r="A50" s="10"/>
      <c r="B50" s="10"/>
    </row>
    <row r="51" spans="1:2" ht="15.75" customHeight="1" x14ac:dyDescent="0.2">
      <c r="A51" s="33" t="s">
        <v>35</v>
      </c>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sheetData>
  <hyperlinks>
    <hyperlink ref="A2" r:id="rId1" xr:uid="{77D9E58F-C955-4F4F-86AA-3F8AD832081B}"/>
    <hyperlink ref="A51" r:id="rId2" display="https://www.thoxan.com/kontakt/" xr:uid="{EC8E609A-5ED9-204E-9A80-DE4F09AB775A}"/>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2023-03-29T12:45:27Z</dcterms:created>
  <dcterms:modified xsi:type="dcterms:W3CDTF">2023-03-29T12:46:51Z</dcterms:modified>
</cp:coreProperties>
</file>