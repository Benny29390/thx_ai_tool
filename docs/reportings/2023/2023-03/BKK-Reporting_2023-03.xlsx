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Volumes/Zoho WorkDrive (thoxan)/THOXAN GMBH/REPORTINGS/2023-03/"/>
    </mc:Choice>
  </mc:AlternateContent>
  <xr:revisionPtr revIDLastSave="0" documentId="13_ncr:1_{A87B44F0-11C8-0440-973A-0B337D5582AB}" xr6:coauthVersionLast="47" xr6:coauthVersionMax="47" xr10:uidLastSave="{00000000-0000-0000-0000-000000000000}"/>
  <bookViews>
    <workbookView xWindow="54940" yWindow="2780" windowWidth="32740" windowHeight="24720" xr2:uid="{DCEF6D23-48AF-884D-9FFB-96A691C8DA2C}"/>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8" i="1"/>
  <c r="B32" i="1"/>
  <c r="B26" i="1"/>
  <c r="B22" i="1"/>
  <c r="B14" i="1"/>
</calcChain>
</file>

<file path=xl/sharedStrings.xml><?xml version="1.0" encoding="utf-8"?>
<sst xmlns="http://schemas.openxmlformats.org/spreadsheetml/2006/main" count="38" uniqueCount="33">
  <si>
    <t>BKK GILDEMEISTER SEIDENSTICKER</t>
  </si>
  <si>
    <t>März 2023</t>
  </si>
  <si>
    <t>www.bkkgs.de</t>
  </si>
  <si>
    <t>Monatliche Optimierung</t>
  </si>
  <si>
    <t>Aufwand ca. in Std.</t>
  </si>
  <si>
    <t>1. Linkaufbau, Online-PR</t>
  </si>
  <si>
    <t>Textarbeiten ganzwunderbar.com: Briefing und Recherche, Texterstellung für Gastbeitrag auf lamommy.de, Lektorat, Abstimmung und Vorbereitung zur Veröffentlichung (04.03., EXT, TKI)</t>
  </si>
  <si>
    <t>Textarbeiten fit-trotz-family.de: Briefing und Recherche, Texterstellung für Gastbeitrag auf meinwegausderangst.de, Lektorat, Abstimmung und Vorbereitung zur Veröffentlichung (10.03., EXT, TKI)</t>
  </si>
  <si>
    <t>Textarbeiten ellisa.de: Briefing und Recherche, Texterstellung für Gastbeitrag auf meinwegausderangst.de, Lektorat, Abstimmung und Vorbereitung zur Veröffentlichung (24.03., EXT, TKI)</t>
  </si>
  <si>
    <t>Linkaufbau-Organisation und Abstimmung mit den Seitenbetreibern zur Veröffentlichung der vorbereiteten Gastartikel, Prüfung der Link-Integration, Abrechnung der Linkaufbau-Auslagen, Abstimmung und Dokumentation
(01.-28.03., TKI)</t>
  </si>
  <si>
    <t>https://www.ganzwunderbar.com/happy-yogini-im-fruehling-mit-yoga-aufbluehen-heilen-und-loslassen/</t>
  </si>
  <si>
    <t>https://www.fit-trotz-family.de/praeventionskurse-krankenkasse-beihilfe/</t>
  </si>
  <si>
    <t>https://www.ellisa.de/die-4-saeulen-eines-gesunden-lifestyles-ernaehrung-bewegung-entspannung-schlaf/</t>
  </si>
  <si>
    <t>Link-Monitoring: Neue Verlinkungen aus Link-Tools der letzten 30 Tage überprüft, einzeln bewertet (monatlich ca. 0,25 Std., TKI)</t>
  </si>
  <si>
    <t>2. Website- und Redaktionelle Arbeiten</t>
  </si>
  <si>
    <t>Textarbeiten "Ausbildung/Karriere": Abstimmung, Briefing und inhaltliche Konzeption, Recherche und Zusammentragen der Informationen, Texterstellung, Keyword-Optimierung nach WDF*IDF, Ergänzungen und kl. Anpassungen, Lektorat und finale Bearbeitung, Versand an Kunden und Dokumentation (04.-07.03., GBO, TKI)</t>
  </si>
  <si>
    <t>Textkorrektur "Aktivwoche": Abstimmung und Durchsicht der Änderungswünsche, Inhaltliche Bearbeitung des Textes inkl. Umsetzung möglicher Ergänzungen (ggf. Umstrukturierung oder Texterweiterung), Durchsicht der Texte und finale Bearbeitung, Vorbereitung und Übergabe zum Einpflegen auf der Website (13.03., GBO, TKI)</t>
  </si>
  <si>
    <t>Textkorrektur "Ausbildung/Karriere": Abstimmung und Durchsicht der Änderungswünsche, Inhaltliche Bearbeitung des Textes inkl. Umsetzung möglicher Ergänzungen (ggf. Umstrukturierung oder Texterweiterung), Durchsicht der Texte und finale Bearbeitung, Vorbereitung und Übergabe zum Einpflegen auf der Website (16.03., GBO, TKI)</t>
  </si>
  <si>
    <t>Textarbeiten "Coronavirus": Abstimmung, Briefing und inhaltliche Konzeption, Recherche und Zusammentragen der Informationen, Texterstellung, Keyword-Optimierung nach WDF*IDF, Ergänzungen und kl. Anpassungen, Lektorat und finale Bearbeitung, Versand an Kunden und Dokumentation (09.02., 16.-27.03. GBO, TKI)</t>
  </si>
  <si>
    <t>Interne Verlinkung Journalbeiträge (Runde 6  überarbeiten): Abstimmung, Recherche und Zusammenstellen der relevanten Keywords für die interne Verlinkung, Integration von internen Links an verschiedenen Stellen auf der Website nach definierter Vorgabe auf thematisch passenden Unterseiten, Vorschlag für sinnvolle Texterweiterungen und kl. Anpassungen, Dokumentation und Abstimmung (01.03., VKO, TKI)</t>
  </si>
  <si>
    <t>3. Technische Arbeiten, Onpage-Optimierung, ggf. Programmierung</t>
  </si>
  <si>
    <t>Weitere Abstimmung und Überprüfung der Maßnahmen und der technischen Anpassungen von move:elevator, siehe Ticket-Dokumentation // außerdem Abstimmung zum Server-Monitoring wg. nächtlicher Unerreichbarkeit (01.-31.03., TKI)</t>
  </si>
  <si>
    <t>4. Google Ads, Monitoring</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</si>
  <si>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(01.-31.03., DHE, TKI)</t>
  </si>
  <si>
    <t>Erweitertes Tracking Online-Mitgliedserklärung, Recherche, Abstimmung mit m:e wegen Parametern, Dokumentation (01.-31.03., DHE, TKI)</t>
  </si>
  <si>
    <t>GA4 Konfiguration + Google Datastudio Implementierung, kl. Anpassungen und Dokumentation (09.-14.03., DHE, TKI)</t>
  </si>
  <si>
    <t>Abstimmung, kurze Vorbereitung und Zoom-Call mit Thomas Stumptner und Marketing-Team zur Präsentation laufender Maßnahmen, Vorgehensweise, klären von Fragen, etc. (21.03., TK)</t>
  </si>
  <si>
    <t>Planung und Terminabstimmung für Jahresauswertung, Online-PR-Workshop, Budgetplanung Linkaufbau, erste Vorbereitungsarbeiten (13.-20.03.,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</si>
  <si>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</si>
  <si>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</si>
  <si>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</si>
  <si>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</si>
  <si>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5. Beratung &amp; 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</si>
</sst>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
      <color theme="3"/>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3" borderId="1" xfId="0" applyFont="1" applyFill="1" applyBorder="1" applyAlignment="1">
      <alignment horizontal="center" vertic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0" borderId="3" xfId="0" applyFont="1" applyBorder="1" applyAlignment="1">
      <alignment horizontal="center" vertical="center"/>
    </xf>
    <xf numFmtId="0" fontId="8" fillId="0" borderId="1" xfId="0" applyFont="1" applyBorder="1" applyAlignment="1">
      <alignment horizontal="center" vertical="center"/>
    </xf>
    <xf numFmtId="0" fontId="8" fillId="0" borderId="0" xfId="0" applyFont="1"/>
    <xf numFmtId="0" fontId="5" fillId="2" borderId="4" xfId="0" applyFont="1" applyFill="1" applyBorder="1" applyAlignment="1">
      <alignment vertical="center"/>
    </xf>
    <xf numFmtId="0" fontId="5" fillId="0" borderId="4" xfId="0" applyFont="1" applyBorder="1" applyAlignment="1">
      <alignment vertical="center"/>
    </xf>
    <xf numFmtId="0" fontId="3" fillId="0" borderId="4" xfId="0" applyFont="1" applyBorder="1"/>
    <xf numFmtId="0" fontId="5" fillId="0" borderId="0" xfId="0" applyFont="1" applyAlignment="1">
      <alignment vertical="top" wrapText="1"/>
    </xf>
    <xf numFmtId="0" fontId="5" fillId="0" borderId="2" xfId="0" applyFont="1" applyBorder="1" applyAlignment="1">
      <alignment vertical="center"/>
    </xf>
    <xf numFmtId="0" fontId="5" fillId="3" borderId="1" xfId="0" applyFont="1" applyFill="1" applyBorder="1" applyAlignment="1">
      <alignment vertical="top" wrapText="1"/>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5" xfId="0" applyFont="1" applyFill="1" applyBorder="1" applyAlignment="1">
      <alignment horizontal="center" vertical="center"/>
    </xf>
    <xf numFmtId="0" fontId="5" fillId="2" borderId="6" xfId="0" applyFont="1" applyFill="1" applyBorder="1" applyAlignment="1">
      <alignment vertical="center"/>
    </xf>
    <xf numFmtId="0" fontId="3" fillId="2" borderId="7" xfId="0" applyFont="1" applyFill="1" applyBorder="1" applyAlignment="1">
      <alignment horizontal="center" vertical="center"/>
    </xf>
    <xf numFmtId="0" fontId="7" fillId="0" borderId="0" xfId="1" applyFont="1"/>
    <xf numFmtId="0" fontId="9" fillId="0" borderId="0" xfId="0" applyFont="1"/>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anzwunderbar.com/happy-yogini-im-fruehling-mit-yoga-aufbluehen-heilen-und-loslassen/"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5" Type="http://schemas.openxmlformats.org/officeDocument/2006/relationships/hyperlink" Target="https://www.fit-trotz-family.de/praeventionskurse-krankenkasse-beihilfe/" TargetMode="External"/><Relationship Id="rId4" Type="http://schemas.openxmlformats.org/officeDocument/2006/relationships/hyperlink" Target="https://www.ellisa.de/die-4-saeulen-eines-gesunden-lifestyles-ernaehrung-bewegung-entspannung-schla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C9CC-5B81-1541-AC66-6CC3B412168D}">
  <dimension ref="A1:B999"/>
  <sheetViews>
    <sheetView tabSelected="1" zoomScale="150" zoomScaleNormal="150" workbookViewId="0">
      <pane ySplit="4" topLeftCell="A5" activePane="bottomLeft" state="frozen"/>
      <selection pane="bottomLeft" activeCell="F30" sqref="F30"/>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3" t="s">
        <v>6</v>
      </c>
      <c r="B6" s="14">
        <v>3</v>
      </c>
    </row>
    <row r="7" spans="1:2" ht="42" x14ac:dyDescent="0.2">
      <c r="A7" s="13" t="s">
        <v>7</v>
      </c>
      <c r="B7" s="14">
        <v>3</v>
      </c>
    </row>
    <row r="8" spans="1:2" ht="42" x14ac:dyDescent="0.2">
      <c r="A8" s="13" t="s">
        <v>8</v>
      </c>
      <c r="B8" s="14">
        <v>3</v>
      </c>
    </row>
    <row r="9" spans="1:2" s="6" customFormat="1" ht="70" x14ac:dyDescent="0.15">
      <c r="A9" s="13" t="s">
        <v>9</v>
      </c>
      <c r="B9" s="14">
        <v>2</v>
      </c>
    </row>
    <row r="10" spans="1:2" s="6" customFormat="1" ht="28" x14ac:dyDescent="0.15">
      <c r="A10" s="15" t="s">
        <v>10</v>
      </c>
      <c r="B10" s="14"/>
    </row>
    <row r="11" spans="1:2" s="6" customFormat="1" ht="14" x14ac:dyDescent="0.15">
      <c r="A11" s="15" t="s">
        <v>11</v>
      </c>
      <c r="B11" s="14"/>
    </row>
    <row r="12" spans="1:2" s="6" customFormat="1" ht="28" x14ac:dyDescent="0.15">
      <c r="A12" s="15" t="s">
        <v>12</v>
      </c>
      <c r="B12" s="14"/>
    </row>
    <row r="13" spans="1:2" s="6" customFormat="1" ht="27.75" customHeight="1" x14ac:dyDescent="0.15">
      <c r="A13" s="13" t="s">
        <v>13</v>
      </c>
      <c r="B13" s="14">
        <v>0.25</v>
      </c>
    </row>
    <row r="14" spans="1:2" s="6" customFormat="1" ht="15.75" customHeight="1" x14ac:dyDescent="0.15">
      <c r="A14" s="8" t="s">
        <v>4</v>
      </c>
      <c r="B14" s="9">
        <f>SUM(B6:B13)</f>
        <v>11.25</v>
      </c>
    </row>
    <row r="15" spans="1:2" s="6" customFormat="1" ht="15.75" customHeight="1" x14ac:dyDescent="0.15">
      <c r="A15" s="7"/>
      <c r="B15" s="14"/>
    </row>
    <row r="16" spans="1:2" s="6" customFormat="1" ht="15.75" customHeight="1" x14ac:dyDescent="0.15">
      <c r="A16" s="10" t="s">
        <v>14</v>
      </c>
      <c r="B16" s="14"/>
    </row>
    <row r="17" spans="1:2" s="6" customFormat="1" ht="76" customHeight="1" x14ac:dyDescent="0.15">
      <c r="A17" s="13" t="s">
        <v>15</v>
      </c>
      <c r="B17" s="12">
        <v>7.5</v>
      </c>
    </row>
    <row r="18" spans="1:2" s="6" customFormat="1" ht="84" x14ac:dyDescent="0.15">
      <c r="A18" s="13" t="s">
        <v>16</v>
      </c>
      <c r="B18" s="14">
        <v>0.75</v>
      </c>
    </row>
    <row r="19" spans="1:2" s="6" customFormat="1" ht="84" x14ac:dyDescent="0.15">
      <c r="A19" s="13" t="s">
        <v>17</v>
      </c>
      <c r="B19" s="14">
        <v>0.5</v>
      </c>
    </row>
    <row r="20" spans="1:2" s="6" customFormat="1" ht="77" customHeight="1" x14ac:dyDescent="0.15">
      <c r="A20" s="13" t="s">
        <v>18</v>
      </c>
      <c r="B20" s="12">
        <v>10</v>
      </c>
    </row>
    <row r="21" spans="1:2" s="18" customFormat="1" ht="98" x14ac:dyDescent="0.15">
      <c r="A21" s="13" t="s">
        <v>19</v>
      </c>
      <c r="B21" s="17">
        <v>0.75</v>
      </c>
    </row>
    <row r="22" spans="1:2" s="6" customFormat="1" ht="15.75" customHeight="1" x14ac:dyDescent="0.15">
      <c r="A22" s="19" t="s">
        <v>4</v>
      </c>
      <c r="B22" s="9">
        <f>SUM(B17:B21)</f>
        <v>19.5</v>
      </c>
    </row>
    <row r="23" spans="1:2" s="6" customFormat="1" ht="15.75" customHeight="1" x14ac:dyDescent="0.15">
      <c r="A23" s="20"/>
      <c r="B23" s="14"/>
    </row>
    <row r="24" spans="1:2" s="6" customFormat="1" ht="15.75" customHeight="1" x14ac:dyDescent="0.15">
      <c r="A24" s="21" t="s">
        <v>20</v>
      </c>
      <c r="B24" s="14"/>
    </row>
    <row r="25" spans="1:2" s="6" customFormat="1" ht="56" x14ac:dyDescent="0.15">
      <c r="A25" s="22" t="s">
        <v>21</v>
      </c>
      <c r="B25" s="14">
        <v>1</v>
      </c>
    </row>
    <row r="26" spans="1:2" s="6" customFormat="1" ht="15.75" customHeight="1" x14ac:dyDescent="0.15">
      <c r="A26" s="19" t="s">
        <v>4</v>
      </c>
      <c r="B26" s="9">
        <f>SUM(B25:B25)</f>
        <v>1</v>
      </c>
    </row>
    <row r="27" spans="1:2" s="6" customFormat="1" ht="15.75" customHeight="1" x14ac:dyDescent="0.15">
      <c r="A27" s="20"/>
      <c r="B27" s="14"/>
    </row>
    <row r="28" spans="1:2" s="6" customFormat="1" ht="15.75" customHeight="1" x14ac:dyDescent="0.15">
      <c r="A28" s="10" t="s">
        <v>22</v>
      </c>
      <c r="B28" s="14"/>
    </row>
    <row r="29" spans="1:2" s="6" customFormat="1" ht="71" customHeight="1" x14ac:dyDescent="0.15">
      <c r="A29" s="13" t="s">
        <v>23</v>
      </c>
      <c r="B29" s="14">
        <v>5.25</v>
      </c>
    </row>
    <row r="30" spans="1:2" s="6" customFormat="1" ht="28" x14ac:dyDescent="0.15">
      <c r="A30" s="13" t="s">
        <v>24</v>
      </c>
      <c r="B30" s="14">
        <v>1.25</v>
      </c>
    </row>
    <row r="31" spans="1:2" s="6" customFormat="1" ht="28" x14ac:dyDescent="0.15">
      <c r="A31" s="13" t="s">
        <v>25</v>
      </c>
      <c r="B31" s="14">
        <v>4</v>
      </c>
    </row>
    <row r="32" spans="1:2" s="6" customFormat="1" ht="15.75" customHeight="1" x14ac:dyDescent="0.15">
      <c r="A32" s="8" t="s">
        <v>4</v>
      </c>
      <c r="B32" s="9">
        <f>SUM(B29:B31)</f>
        <v>10.5</v>
      </c>
    </row>
    <row r="33" spans="1:2" s="6" customFormat="1" ht="15.75" customHeight="1" x14ac:dyDescent="0.15">
      <c r="A33" s="23"/>
      <c r="B33" s="16"/>
    </row>
    <row r="34" spans="1:2" s="6" customFormat="1" ht="15.75" customHeight="1" x14ac:dyDescent="0.15">
      <c r="A34" s="10" t="s">
        <v>32</v>
      </c>
      <c r="B34" s="14"/>
    </row>
    <row r="35" spans="1:2" s="6" customFormat="1" ht="42" x14ac:dyDescent="0.15">
      <c r="A35" s="24" t="s">
        <v>26</v>
      </c>
      <c r="B35" s="14">
        <v>0.75</v>
      </c>
    </row>
    <row r="36" spans="1:2" s="6" customFormat="1" ht="42" x14ac:dyDescent="0.15">
      <c r="A36" s="24" t="s">
        <v>27</v>
      </c>
      <c r="B36" s="14">
        <v>0.75</v>
      </c>
    </row>
    <row r="37" spans="1:2" s="6" customFormat="1" ht="28" x14ac:dyDescent="0.15">
      <c r="A37" s="24" t="s">
        <v>28</v>
      </c>
      <c r="B37" s="14">
        <v>2.75</v>
      </c>
    </row>
    <row r="38" spans="1:2" s="6" customFormat="1" ht="15.75" customHeight="1" x14ac:dyDescent="0.15">
      <c r="A38" s="8" t="s">
        <v>4</v>
      </c>
      <c r="B38" s="9">
        <f>SUM(B35:B37)</f>
        <v>4.25</v>
      </c>
    </row>
    <row r="39" spans="1:2" s="6" customFormat="1" ht="16.5" customHeight="1" x14ac:dyDescent="0.15">
      <c r="A39" s="25"/>
      <c r="B39" s="26"/>
    </row>
    <row r="40" spans="1:2" s="6" customFormat="1" ht="16.5" customHeight="1" thickBot="1" x14ac:dyDescent="0.2">
      <c r="A40" s="27" t="s">
        <v>29</v>
      </c>
      <c r="B40" s="28">
        <f>SUM(B38+B32+B26+B22+B14)</f>
        <v>46.5</v>
      </c>
    </row>
    <row r="41" spans="1:2" s="6" customFormat="1" ht="16.5" customHeight="1" thickBot="1" x14ac:dyDescent="0.2">
      <c r="A41" s="29" t="s">
        <v>30</v>
      </c>
      <c r="B41" s="30">
        <v>5.5</v>
      </c>
    </row>
    <row r="42" spans="1:2" ht="15.75" customHeight="1" x14ac:dyDescent="0.2">
      <c r="A42" s="6"/>
      <c r="B42" s="6"/>
    </row>
    <row r="43" spans="1:2" s="33" customFormat="1" ht="15.75" customHeight="1" x14ac:dyDescent="0.2">
      <c r="A43" s="31" t="s">
        <v>31</v>
      </c>
      <c r="B43" s="32"/>
    </row>
    <row r="44" spans="1:2" ht="15.75" customHeight="1" x14ac:dyDescent="0.2">
      <c r="A44" s="6"/>
      <c r="B44" s="6"/>
    </row>
    <row r="45" spans="1:2" ht="15.75" customHeight="1" x14ac:dyDescent="0.2">
      <c r="A45" s="6"/>
      <c r="B45" s="6"/>
    </row>
    <row r="46" spans="1:2" ht="15.75" customHeight="1" x14ac:dyDescent="0.2">
      <c r="B46" s="6"/>
    </row>
    <row r="47" spans="1:2" ht="15.75" customHeight="1" x14ac:dyDescent="0.2">
      <c r="A47" s="6"/>
      <c r="B47" s="6"/>
    </row>
    <row r="48" spans="1:2" ht="15.75" customHeight="1" x14ac:dyDescent="0.2">
      <c r="A48" s="6"/>
      <c r="B48" s="6"/>
    </row>
    <row r="49" spans="1:2" ht="15.75" customHeight="1" x14ac:dyDescent="0.2">
      <c r="A49" s="6"/>
      <c r="B49" s="6"/>
    </row>
    <row r="50" spans="1:2" ht="15.75" customHeight="1" x14ac:dyDescent="0.2">
      <c r="A50" s="6"/>
      <c r="B50" s="6"/>
    </row>
    <row r="51" spans="1:2" ht="15.75" customHeight="1" x14ac:dyDescent="0.2">
      <c r="A51" s="6"/>
      <c r="B51" s="6"/>
    </row>
    <row r="52" spans="1:2" ht="15.75" customHeight="1" x14ac:dyDescent="0.2">
      <c r="A52" s="6"/>
      <c r="B52" s="6"/>
    </row>
    <row r="53" spans="1:2" ht="15.75" customHeight="1" x14ac:dyDescent="0.2">
      <c r="A53" s="6"/>
      <c r="B53" s="6"/>
    </row>
    <row r="54" spans="1:2" ht="15.75" customHeight="1" x14ac:dyDescent="0.2">
      <c r="A54" s="6"/>
      <c r="B54" s="6"/>
    </row>
    <row r="55" spans="1:2" ht="15.75" customHeight="1" x14ac:dyDescent="0.2">
      <c r="A55" s="6"/>
      <c r="B55" s="6"/>
    </row>
    <row r="56" spans="1:2" ht="15.75" customHeight="1" x14ac:dyDescent="0.2">
      <c r="A56" s="6"/>
      <c r="B56" s="6"/>
    </row>
    <row r="57" spans="1:2" ht="15.75" customHeight="1" x14ac:dyDescent="0.2">
      <c r="A57" s="6"/>
      <c r="B57" s="6"/>
    </row>
    <row r="58" spans="1:2" ht="15.75" customHeight="1" x14ac:dyDescent="0.2">
      <c r="A58" s="6"/>
      <c r="B58" s="6"/>
    </row>
    <row r="59" spans="1:2" ht="15.75" customHeight="1" x14ac:dyDescent="0.2">
      <c r="A59" s="6"/>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sheetData>
  <hyperlinks>
    <hyperlink ref="A2" r:id="rId1" xr:uid="{86981A00-F7E5-624A-8E6B-EB053A480AA8}"/>
    <hyperlink ref="A43" r:id="rId2" display="https://www.thoxan.com/kontakt/" xr:uid="{556E5CF7-2A4B-4B49-AE9D-7B230C54E217}"/>
    <hyperlink ref="A10" r:id="rId3" xr:uid="{ACBC9B04-F5EE-5B45-8CB5-90F7BB91071A}"/>
    <hyperlink ref="A12" r:id="rId4" xr:uid="{B76CE12F-A1C0-9F40-BD89-19F1182E9578}"/>
    <hyperlink ref="A11" r:id="rId5" xr:uid="{77926C5E-866E-004C-8355-C7CA2F5EF16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2023-03-29T10:11:07Z</dcterms:created>
  <dcterms:modified xsi:type="dcterms:W3CDTF">2023-03-29T10:23:36Z</dcterms:modified>
</cp:coreProperties>
</file>