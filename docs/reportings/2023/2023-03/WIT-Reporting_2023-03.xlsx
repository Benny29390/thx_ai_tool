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Zoho WorkDrive (thoxan)/THOXAN GMBH/REPORTINGS/2023-03/"/>
    </mc:Choice>
  </mc:AlternateContent>
  <xr:revisionPtr revIDLastSave="0" documentId="8_{C76407AE-0FDC-914A-934F-67D360070CC5}" xr6:coauthVersionLast="47" xr6:coauthVersionMax="47" xr10:uidLastSave="{00000000-0000-0000-0000-000000000000}"/>
  <bookViews>
    <workbookView xWindow="10980" yWindow="980" windowWidth="34220" windowHeight="22220" xr2:uid="{E1A02E03-B345-1E42-A5A5-72420CA82650}"/>
  </bookViews>
  <sheets>
    <sheet name="WI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4" i="1"/>
  <c r="B36" i="1"/>
  <c r="B19" i="1"/>
  <c r="B10" i="1"/>
  <c r="B50" i="1" l="1"/>
</calcChain>
</file>

<file path=xl/sharedStrings.xml><?xml version="1.0" encoding="utf-8"?>
<sst xmlns="http://schemas.openxmlformats.org/spreadsheetml/2006/main" count="48" uniqueCount="43">
  <si>
    <t>WITTEKIND</t>
  </si>
  <si>
    <t>1. Quartal 2023</t>
  </si>
  <si>
    <t>www.wittekind-moebel.de</t>
  </si>
  <si>
    <t>Monatliche Optimierung</t>
  </si>
  <si>
    <t>Aufwand ca. in Std.</t>
  </si>
  <si>
    <t>1. Linkaufbau &amp; externe Veröffentlichungen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</si>
  <si>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(16.-30.01.,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</si>
  <si>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(24.01.-21.02., TKI)</t>
  </si>
  <si>
    <t>Telefonische Abstimmung mit Herrn Astarita, Zusammenstellen von Bildmaterial, Texterstellung für redaktionellen Bericht im Biomagazin.at (15.03., TKI)</t>
  </si>
  <si>
    <t>Link-Monitoring: Neue Verlinkungen aus Link-Tools der letzten 30 Tage überprüft, einzeln bewertet (monatlich 0,25 Std., TKI)</t>
  </si>
  <si>
    <t>2. Redaktionelle Arbeiten, Texterstellung</t>
  </si>
  <si>
    <t>Textoptimierung Lounge Sofa U-Form XXL: Abstimmung, Recherche und Textoptimierung für bestehende Unterseite, Überarbeitung des Bestandstexts und Texterweiterung, Keyword-Optimierung nach WDF*IDF, Ergänzungen und kl. Anpassungen, Lektorat und finale Bearbeitung, Versand an Kunden und Dokumentation (17.-23.01., SWO, TKI)</t>
  </si>
  <si>
    <t>Textoptimierung 4er Gastro Set: Abstimmung, Recherche und Textoptimierung für bestehende Unterseite, Überarbeitung des Bestandstexts und Texterweiterung, Keyword-Optimierung nach WDF*IDF, Ergänzungen und kl. Anpassungen, Lektorat und finale Bearbeitung, Versand an Kunden und Dokumentation (17.-23.01., SWO, TKI)</t>
  </si>
  <si>
    <t>Textoptimierung Lounge Feuertisch: Abstimmung, Recherche und Textoptimierung für bestehende Unterseite, Überarbeitung des Bestandstexts und Texterweiterung, Keyword-Optimierung nach WDF*IDF, Ergänzungen und kl. Anpassungen, Lektorat und finale Bearbeitung, Versand an Kunden und Dokumentation (17.-23.01., SWO, TKI)</t>
  </si>
  <si>
    <t>Textoptimierung Lounge Sonnenliege: Abstimmung, Recherche und Textoptimierung für bestehende Unterseite, Überarbeitung des Bestandstexts und Texterweiterung, Keyword-Optimierung nach WDF*IDF, Ergänzungen und kl. Anpassungen, Lektorat und finale Bearbeitung, Versand an Kunden und Dokumentation (17.-23.01., SWO, TKI)</t>
  </si>
  <si>
    <t>Textoptimierung Esstisch 4+2: Abstimmung, Recherche und Textoptimierung für bestehende Unterseite, Überarbeitung des Bestandstexts und Texterweiterung, Keyword-Optimierung nach WDF*IDF, Ergänzungen und kl. Anpassungen, Lektorat und finale Bearbeitung, Versand an Kunden und Dokumentation (17.-23.01., SWO, TKI)</t>
  </si>
  <si>
    <t>Textoptimierung 4er Sitzbank mit Rückenlehne: Abstimmung, Recherche und Textoptimierung für bestehende Unterseite, Überarbeitung des Bestandstexts und Texterweiterung, Keyword-Optimierung nach WDF*IDF, Ergänzungen und kl. Anpassungen, Lektorat und finale Bearbeitung, Versand an Kunden und Dokumentation (17.-23.01., SWO, TKI)</t>
  </si>
  <si>
    <t>3. Website-Pflege (zusätzlich zum Relaunch)</t>
  </si>
  <si>
    <t>Hinweis Weihnachtspause deaktivieren, kl. Anpassungen (09.01., TKI)</t>
  </si>
  <si>
    <t>Einpflegen von optimierten Texten auf sechs Unterseiten: Finale Textkorrektur nach Freigabe, Interne Abstimmung und Einpflegen der neuen Texte auf der Website, Strukturierung der Absätze und einheitliche Formatierung der Inhalte, Bildbearbeitung und -integration, kl. Anpassungen und Dokumentation (24.01., TKI)</t>
  </si>
  <si>
    <t>Umformulieren von Texten auf allen Unterseiten von Sie auf Du (parallel zum Einpflegen), 0,25 Std. pro Seite (15.12.-12.02., MGO, TKI)</t>
  </si>
  <si>
    <t>Umformulieren des Katalog-Versand Anschreibens von Sie auf Du bzw. neutral, Abstimmung (11.01., TKI)</t>
  </si>
  <si>
    <t>Recherche nach emotionalen Headerbildern für 37 Produkte, Bildbearbeitung und Hochladen ins System (0,25 Std. pro Bild), kl. Anpassungen (01.-20.01., TKI)</t>
  </si>
  <si>
    <t>Sortieren der Referenzbilder von 2014 bis 2022 in 53 Unterordnern, Ermitteln der Orte und Rubriken, Dokumentation (13.01., TKI)</t>
  </si>
  <si>
    <t>Sortieren und Bearbeiten von fünf Galerien zur Landpartie (2015-2019), Rückblick-Sektion aufbauen, Textanpassungen für Landpartie 2023 (23.-26.01., TKI)</t>
  </si>
  <si>
    <t>Textkorrekturen von Bestandstexten (v.a. FAQ-Anpassungen, Änderungs-wünsche von Nina) auf der neuen Website, ca. 50 Unterseiten á 0,25 Std. (23.01.-12.02., TKI)</t>
  </si>
  <si>
    <t>Aufbau ebay-Kleinanzeigen-Konto, Anlegen Unternehmensseite, Telefonat Kundenservice, Paket-Buchung, Einrichten der ersten zehn Anzeigen, Bilder aus Fertigung recherchieren, bearbeiten und mit Bauchbinde-Text versehen, Bildergalerien aufbauen, Textanpassungen und Onlineschalten (31.01.-12.02., TKI)</t>
  </si>
  <si>
    <t>Interne Verlinkung von .html-Struktur auf Ordnerstruktur im Zuge des Relaunches umgestellt, überall interne Links umbauen (beispielsweise /loungemoebel.html in /loungemoebel/), Crawling-Prüfung mit Screamingfrog, kl. Anpassungen, Dokumentation (12.02., TKI)</t>
  </si>
  <si>
    <t>404-Fehler und 301-Weiterleitungen: Erste Anpassungen nach Relaunch, Einrichten von Weiterleitungen für wiederholende 404-Fehler und "Broken Links" zur durchgängigen Erreichbarkeit der Inhalte (30.01.-12.02., TKI)</t>
  </si>
  <si>
    <t>Newsletter: Wittekind-Mailing zum Website-Relaunch. Interne Abstimmung, Aufbereitung der Empfängerdaten, sowie Gestaltung, Versand und Überwachung des Mailings (13.02.-20.02., RBO, TKI)</t>
  </si>
  <si>
    <t>Weiteres Einpflegen von Anzeigen in ebay-Kleinanzeigen nach Vorlage von Nina, Bilder raussuchen, kl. Anpassungen (24.02.-20.03., TKI) / in Arbeit</t>
  </si>
  <si>
    <t>Anpassungen an E-Mail-Codierung für Darstellung in Ninas Macbook / Mac-Version, mehrfache Abstimmung und Programmierung (10.-14.03., BKO, TKI)</t>
  </si>
  <si>
    <t>Google Ads &amp; Social Ads Monitoring (Januar): 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(01.- 31.01., DHE, TKI)</t>
  </si>
  <si>
    <t>Conversion-Tracking (Anpassung zum Relaunch): Abstimmung und Website-Recherche, technische Einrichtung des Conversion-Trackings mittels Google Tag Manager zur Messung verschiedener Conversion-Ziele lt. Konzeption und Absprache, Verbindung zu Google Analytics herstellen, kl. Anpassungen auf der Website, Funktionsprüfung und Dokumentation (30.-31.01., DHE, TKI)</t>
  </si>
  <si>
    <t>Google Ads Monitoring (Februar): 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(01.- 28.02., DHE, TKI)</t>
  </si>
  <si>
    <t>Finale Anpassungen des Conversion-Trackings nach erneuter Prüfung (16.02., DHE, TKI)</t>
  </si>
  <si>
    <t>Google Ads Monitoring (März): 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(01.- 31.03., DHE, TKI)</t>
  </si>
  <si>
    <t>Projektmanagement: 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</si>
  <si>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</si>
  <si>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</si>
  <si>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</si>
  <si>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4. Google Ads, Social Ads, etc.</t>
  </si>
  <si>
    <t>5. Beratung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</si>
</sst>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rgb="FFBFBFBF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2" borderId="2" xfId="0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wittekind-moebel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8B9A-4C19-4045-88B7-167553FFEA01}">
  <dimension ref="A1:B996"/>
  <sheetViews>
    <sheetView tabSelected="1" zoomScale="150" zoomScaleNormal="150" workbookViewId="0">
      <pane ySplit="4" topLeftCell="A5" activePane="bottomLeft" state="frozen"/>
      <selection pane="bottomLeft" activeCell="A53" sqref="A53"/>
    </sheetView>
  </sheetViews>
  <sheetFormatPr baseColWidth="10" defaultColWidth="11.1640625" defaultRowHeight="15" customHeight="1" x14ac:dyDescent="0.2"/>
  <cols>
    <col min="1" max="1" width="57.5" customWidth="1"/>
    <col min="2" max="2" width="24.66406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0" customFormat="1" ht="15.75" customHeight="1" x14ac:dyDescent="0.2">
      <c r="A4" s="8"/>
      <c r="B4" s="8" t="s">
        <v>4</v>
      </c>
    </row>
    <row r="5" spans="1:2" s="10" customFormat="1" ht="15.75" customHeight="1" x14ac:dyDescent="0.2">
      <c r="A5" s="11" t="s">
        <v>5</v>
      </c>
      <c r="B5" s="12"/>
    </row>
    <row r="6" spans="1:2" s="10" customFormat="1" ht="70" x14ac:dyDescent="0.2">
      <c r="A6" s="14" t="s">
        <v>6</v>
      </c>
      <c r="B6" s="12">
        <v>3</v>
      </c>
    </row>
    <row r="7" spans="1:2" s="10" customFormat="1" ht="70" x14ac:dyDescent="0.2">
      <c r="A7" s="16" t="s">
        <v>7</v>
      </c>
      <c r="B7" s="12">
        <v>4.5</v>
      </c>
    </row>
    <row r="8" spans="1:2" s="10" customFormat="1" ht="42" x14ac:dyDescent="0.2">
      <c r="A8" s="16" t="s">
        <v>8</v>
      </c>
      <c r="B8" s="12">
        <v>1.25</v>
      </c>
    </row>
    <row r="9" spans="1:2" s="10" customFormat="1" ht="28" x14ac:dyDescent="0.2">
      <c r="A9" s="17" t="s">
        <v>9</v>
      </c>
      <c r="B9" s="13">
        <v>0.75</v>
      </c>
    </row>
    <row r="10" spans="1:2" s="10" customFormat="1" ht="15.75" customHeight="1" x14ac:dyDescent="0.2">
      <c r="A10" s="18" t="s">
        <v>4</v>
      </c>
      <c r="B10" s="19">
        <f>SUM(B6:B9)</f>
        <v>9.5</v>
      </c>
    </row>
    <row r="11" spans="1:2" s="10" customFormat="1" ht="15.75" customHeight="1" x14ac:dyDescent="0.2">
      <c r="A11" s="20"/>
      <c r="B11" s="15"/>
    </row>
    <row r="12" spans="1:2" s="10" customFormat="1" ht="15.75" customHeight="1" x14ac:dyDescent="0.2">
      <c r="A12" s="11" t="s">
        <v>10</v>
      </c>
      <c r="B12" s="12"/>
    </row>
    <row r="13" spans="1:2" s="10" customFormat="1" ht="84" x14ac:dyDescent="0.2">
      <c r="A13" s="14" t="s">
        <v>11</v>
      </c>
      <c r="B13" s="12">
        <v>2.5</v>
      </c>
    </row>
    <row r="14" spans="1:2" s="10" customFormat="1" ht="84" x14ac:dyDescent="0.2">
      <c r="A14" s="14" t="s">
        <v>12</v>
      </c>
      <c r="B14" s="12">
        <v>2.5</v>
      </c>
    </row>
    <row r="15" spans="1:2" s="10" customFormat="1" ht="84" x14ac:dyDescent="0.2">
      <c r="A15" s="14" t="s">
        <v>13</v>
      </c>
      <c r="B15" s="12">
        <v>2.5</v>
      </c>
    </row>
    <row r="16" spans="1:2" s="10" customFormat="1" ht="84" x14ac:dyDescent="0.2">
      <c r="A16" s="14" t="s">
        <v>14</v>
      </c>
      <c r="B16" s="12">
        <v>2.5</v>
      </c>
    </row>
    <row r="17" spans="1:2" s="10" customFormat="1" ht="84" x14ac:dyDescent="0.2">
      <c r="A17" s="14" t="s">
        <v>15</v>
      </c>
      <c r="B17" s="12">
        <v>2.5</v>
      </c>
    </row>
    <row r="18" spans="1:2" s="10" customFormat="1" ht="84" x14ac:dyDescent="0.2">
      <c r="A18" s="14" t="s">
        <v>16</v>
      </c>
      <c r="B18" s="12">
        <v>2.5</v>
      </c>
    </row>
    <row r="19" spans="1:2" s="10" customFormat="1" ht="15.75" customHeight="1" x14ac:dyDescent="0.2">
      <c r="A19" s="21" t="s">
        <v>4</v>
      </c>
      <c r="B19" s="8">
        <f>SUM(B13:B18)</f>
        <v>15</v>
      </c>
    </row>
    <row r="20" spans="1:2" s="10" customFormat="1" ht="15.75" customHeight="1" x14ac:dyDescent="0.2">
      <c r="A20" s="11"/>
      <c r="B20" s="12"/>
    </row>
    <row r="21" spans="1:2" s="10" customFormat="1" ht="15.75" customHeight="1" x14ac:dyDescent="0.2">
      <c r="A21" s="11" t="s">
        <v>17</v>
      </c>
      <c r="B21" s="12"/>
    </row>
    <row r="22" spans="1:2" s="10" customFormat="1" ht="14" x14ac:dyDescent="0.2">
      <c r="A22" s="14" t="s">
        <v>18</v>
      </c>
      <c r="B22" s="12">
        <v>0.25</v>
      </c>
    </row>
    <row r="23" spans="1:2" s="10" customFormat="1" ht="70" x14ac:dyDescent="0.2">
      <c r="A23" s="14" t="s">
        <v>19</v>
      </c>
      <c r="B23" s="12">
        <v>2</v>
      </c>
    </row>
    <row r="24" spans="1:2" s="10" customFormat="1" ht="28" x14ac:dyDescent="0.2">
      <c r="A24" s="14" t="s">
        <v>20</v>
      </c>
      <c r="B24" s="12">
        <v>25</v>
      </c>
    </row>
    <row r="25" spans="1:2" s="10" customFormat="1" ht="28" x14ac:dyDescent="0.2">
      <c r="A25" s="14" t="s">
        <v>21</v>
      </c>
      <c r="B25" s="12">
        <v>0.5</v>
      </c>
    </row>
    <row r="26" spans="1:2" s="10" customFormat="1" ht="42" x14ac:dyDescent="0.2">
      <c r="A26" s="14" t="s">
        <v>22</v>
      </c>
      <c r="B26" s="12">
        <v>9</v>
      </c>
    </row>
    <row r="27" spans="1:2" s="10" customFormat="1" ht="28" x14ac:dyDescent="0.2">
      <c r="A27" s="14" t="s">
        <v>23</v>
      </c>
      <c r="B27" s="12">
        <v>4</v>
      </c>
    </row>
    <row r="28" spans="1:2" s="10" customFormat="1" ht="42" x14ac:dyDescent="0.2">
      <c r="A28" s="14" t="s">
        <v>24</v>
      </c>
      <c r="B28" s="12">
        <v>2.5</v>
      </c>
    </row>
    <row r="29" spans="1:2" s="10" customFormat="1" ht="42" x14ac:dyDescent="0.2">
      <c r="A29" s="14" t="s">
        <v>25</v>
      </c>
      <c r="B29" s="12">
        <v>12.5</v>
      </c>
    </row>
    <row r="30" spans="1:2" s="10" customFormat="1" ht="70" x14ac:dyDescent="0.2">
      <c r="A30" s="14" t="s">
        <v>26</v>
      </c>
      <c r="B30" s="12">
        <v>6</v>
      </c>
    </row>
    <row r="31" spans="1:2" s="10" customFormat="1" ht="56" x14ac:dyDescent="0.2">
      <c r="A31" s="14" t="s">
        <v>27</v>
      </c>
      <c r="B31" s="12">
        <v>2</v>
      </c>
    </row>
    <row r="32" spans="1:2" s="10" customFormat="1" ht="56" x14ac:dyDescent="0.2">
      <c r="A32" s="14" t="s">
        <v>28</v>
      </c>
      <c r="B32" s="12">
        <v>1</v>
      </c>
    </row>
    <row r="33" spans="1:2" s="10" customFormat="1" ht="42" x14ac:dyDescent="0.2">
      <c r="A33" s="14" t="s">
        <v>29</v>
      </c>
      <c r="B33" s="12">
        <v>3.5</v>
      </c>
    </row>
    <row r="34" spans="1:2" s="10" customFormat="1" ht="42" x14ac:dyDescent="0.2">
      <c r="A34" s="14" t="s">
        <v>30</v>
      </c>
      <c r="B34" s="12">
        <v>3</v>
      </c>
    </row>
    <row r="35" spans="1:2" s="10" customFormat="1" ht="42" x14ac:dyDescent="0.2">
      <c r="A35" s="14" t="s">
        <v>31</v>
      </c>
      <c r="B35" s="12">
        <v>3</v>
      </c>
    </row>
    <row r="36" spans="1:2" s="10" customFormat="1" ht="15.75" customHeight="1" x14ac:dyDescent="0.2">
      <c r="A36" s="21" t="s">
        <v>4</v>
      </c>
      <c r="B36" s="8">
        <f>SUM(B22:B35)</f>
        <v>74.25</v>
      </c>
    </row>
    <row r="37" spans="1:2" s="10" customFormat="1" ht="15.75" customHeight="1" x14ac:dyDescent="0.2">
      <c r="A37" s="14"/>
      <c r="B37" s="12"/>
    </row>
    <row r="38" spans="1:2" s="10" customFormat="1" ht="15.75" customHeight="1" x14ac:dyDescent="0.2">
      <c r="A38" s="11" t="s">
        <v>41</v>
      </c>
      <c r="B38" s="12"/>
    </row>
    <row r="39" spans="1:2" s="10" customFormat="1" ht="84" x14ac:dyDescent="0.2">
      <c r="A39" s="14" t="s">
        <v>32</v>
      </c>
      <c r="B39" s="12">
        <v>4</v>
      </c>
    </row>
    <row r="40" spans="1:2" s="10" customFormat="1" ht="84" x14ac:dyDescent="0.2">
      <c r="A40" s="14" t="s">
        <v>33</v>
      </c>
      <c r="B40" s="12">
        <v>4.5</v>
      </c>
    </row>
    <row r="41" spans="1:2" s="10" customFormat="1" ht="84" x14ac:dyDescent="0.2">
      <c r="A41" s="14" t="s">
        <v>34</v>
      </c>
      <c r="B41" s="12">
        <v>6.75</v>
      </c>
    </row>
    <row r="42" spans="1:2" s="10" customFormat="1" ht="28" x14ac:dyDescent="0.2">
      <c r="A42" s="14" t="s">
        <v>35</v>
      </c>
      <c r="B42" s="12">
        <v>1.75</v>
      </c>
    </row>
    <row r="43" spans="1:2" s="10" customFormat="1" ht="84" x14ac:dyDescent="0.2">
      <c r="A43" s="14" t="s">
        <v>36</v>
      </c>
      <c r="B43" s="12">
        <v>4</v>
      </c>
    </row>
    <row r="44" spans="1:2" s="10" customFormat="1" ht="15.75" customHeight="1" x14ac:dyDescent="0.2">
      <c r="A44" s="21" t="s">
        <v>4</v>
      </c>
      <c r="B44" s="8">
        <f>SUM(B39:B43)</f>
        <v>21</v>
      </c>
    </row>
    <row r="45" spans="1:2" s="10" customFormat="1" ht="15.75" customHeight="1" x14ac:dyDescent="0.2">
      <c r="A45" s="11"/>
      <c r="B45" s="12"/>
    </row>
    <row r="46" spans="1:2" s="10" customFormat="1" ht="15.75" customHeight="1" x14ac:dyDescent="0.2">
      <c r="A46" s="11" t="s">
        <v>42</v>
      </c>
      <c r="B46" s="12"/>
    </row>
    <row r="47" spans="1:2" s="10" customFormat="1" ht="42" x14ac:dyDescent="0.2">
      <c r="A47" s="14" t="s">
        <v>37</v>
      </c>
      <c r="B47" s="12">
        <v>7.5</v>
      </c>
    </row>
    <row r="48" spans="1:2" s="10" customFormat="1" ht="15.75" customHeight="1" x14ac:dyDescent="0.2">
      <c r="A48" s="21" t="s">
        <v>4</v>
      </c>
      <c r="B48" s="8">
        <f>SUM(B47)</f>
        <v>7.5</v>
      </c>
    </row>
    <row r="49" spans="1:2" s="10" customFormat="1" ht="15.75" customHeight="1" x14ac:dyDescent="0.2">
      <c r="A49" s="14"/>
      <c r="B49" s="22"/>
    </row>
    <row r="50" spans="1:2" s="10" customFormat="1" ht="16.5" customHeight="1" thickBot="1" x14ac:dyDescent="0.25">
      <c r="A50" s="23" t="s">
        <v>38</v>
      </c>
      <c r="B50" s="24">
        <f>SUM(B10+B19+B36+B44+B48)</f>
        <v>127.25</v>
      </c>
    </row>
    <row r="51" spans="1:2" s="10" customFormat="1" ht="16.5" customHeight="1" thickBot="1" x14ac:dyDescent="0.25">
      <c r="A51" s="23" t="s">
        <v>39</v>
      </c>
      <c r="B51" s="24">
        <v>15</v>
      </c>
    </row>
    <row r="52" spans="1:2" ht="15.75" customHeight="1" x14ac:dyDescent="0.2">
      <c r="A52" s="9"/>
      <c r="B52" s="9"/>
    </row>
    <row r="53" spans="1:2" ht="15.75" customHeight="1" x14ac:dyDescent="0.2">
      <c r="A53" s="25" t="s">
        <v>40</v>
      </c>
      <c r="B53" s="9"/>
    </row>
    <row r="55" spans="1:2" ht="15.75" customHeight="1" x14ac:dyDescent="0.2">
      <c r="A55" s="9"/>
      <c r="B55" s="9"/>
    </row>
    <row r="56" spans="1:2" ht="15.75" customHeight="1" x14ac:dyDescent="0.2">
      <c r="A56" s="9"/>
      <c r="B56" s="9"/>
    </row>
    <row r="57" spans="1:2" ht="15.75" customHeight="1" x14ac:dyDescent="0.2">
      <c r="A57" s="9"/>
      <c r="B57" s="9"/>
    </row>
    <row r="58" spans="1:2" ht="15.75" customHeight="1" x14ac:dyDescent="0.2">
      <c r="A58" s="9"/>
      <c r="B58" s="26"/>
    </row>
    <row r="59" spans="1:2" ht="15.75" customHeight="1" x14ac:dyDescent="0.2">
      <c r="A59" s="9"/>
      <c r="B59" s="9"/>
    </row>
    <row r="60" spans="1:2" ht="15.75" customHeight="1" x14ac:dyDescent="0.2">
      <c r="A60" s="9"/>
      <c r="B60" s="9"/>
    </row>
    <row r="61" spans="1:2" ht="15.75" customHeight="1" x14ac:dyDescent="0.2">
      <c r="A61" s="9"/>
      <c r="B61" s="9"/>
    </row>
    <row r="62" spans="1:2" ht="15.75" customHeight="1" x14ac:dyDescent="0.2">
      <c r="A62" s="9"/>
      <c r="B62" s="9"/>
    </row>
    <row r="63" spans="1:2" ht="15.75" customHeight="1" x14ac:dyDescent="0.2">
      <c r="A63" s="9"/>
      <c r="B63" s="9"/>
    </row>
    <row r="64" spans="1:2" ht="15.75" customHeight="1" x14ac:dyDescent="0.2">
      <c r="A64" s="9"/>
      <c r="B64" s="9"/>
    </row>
    <row r="65" spans="1:2" ht="15.75" customHeight="1" x14ac:dyDescent="0.2">
      <c r="A65" s="9"/>
      <c r="B65" s="9"/>
    </row>
    <row r="66" spans="1:2" ht="15.75" customHeight="1" x14ac:dyDescent="0.2">
      <c r="A66" s="9"/>
      <c r="B66" s="9"/>
    </row>
    <row r="67" spans="1:2" ht="15.75" customHeight="1" x14ac:dyDescent="0.2">
      <c r="A67" s="9"/>
      <c r="B67" s="9"/>
    </row>
    <row r="68" spans="1:2" ht="15.75" customHeight="1" x14ac:dyDescent="0.2">
      <c r="A68" s="9"/>
      <c r="B68" s="9"/>
    </row>
    <row r="69" spans="1:2" ht="15.75" customHeight="1" x14ac:dyDescent="0.2">
      <c r="A69" s="9"/>
      <c r="B69" s="9"/>
    </row>
    <row r="70" spans="1:2" ht="15.75" customHeight="1" x14ac:dyDescent="0.2">
      <c r="A70" s="9"/>
      <c r="B70" s="9"/>
    </row>
    <row r="71" spans="1:2" ht="15.75" customHeight="1" x14ac:dyDescent="0.2">
      <c r="A71" s="9"/>
      <c r="B71" s="9"/>
    </row>
    <row r="72" spans="1:2" ht="15.75" customHeight="1" x14ac:dyDescent="0.2">
      <c r="A72" s="9"/>
      <c r="B72" s="9"/>
    </row>
    <row r="73" spans="1:2" ht="15.75" customHeight="1" x14ac:dyDescent="0.2">
      <c r="A73" s="9"/>
      <c r="B73" s="9"/>
    </row>
    <row r="74" spans="1:2" ht="15.75" customHeight="1" x14ac:dyDescent="0.2">
      <c r="A74" s="9"/>
      <c r="B74" s="9"/>
    </row>
    <row r="75" spans="1:2" ht="15.75" customHeight="1" x14ac:dyDescent="0.2">
      <c r="A75" s="9"/>
      <c r="B75" s="9"/>
    </row>
    <row r="76" spans="1:2" ht="15.75" customHeight="1" x14ac:dyDescent="0.2">
      <c r="A76" s="9"/>
      <c r="B76" s="9"/>
    </row>
    <row r="77" spans="1:2" ht="15.75" customHeight="1" x14ac:dyDescent="0.2">
      <c r="A77" s="9"/>
      <c r="B77" s="9"/>
    </row>
    <row r="78" spans="1:2" ht="15.75" customHeight="1" x14ac:dyDescent="0.2">
      <c r="A78" s="9"/>
      <c r="B78" s="9"/>
    </row>
    <row r="79" spans="1:2" ht="15.75" customHeight="1" x14ac:dyDescent="0.2">
      <c r="A79" s="9"/>
      <c r="B79" s="9"/>
    </row>
    <row r="80" spans="1:2" ht="15.75" customHeight="1" x14ac:dyDescent="0.2">
      <c r="A80" s="9"/>
      <c r="B80" s="9"/>
    </row>
    <row r="81" spans="1:2" ht="15.75" customHeight="1" x14ac:dyDescent="0.2">
      <c r="A81" s="9"/>
      <c r="B81" s="9"/>
    </row>
    <row r="82" spans="1:2" ht="15.75" customHeight="1" x14ac:dyDescent="0.2">
      <c r="A82" s="9"/>
      <c r="B82" s="9"/>
    </row>
    <row r="83" spans="1:2" ht="15.75" customHeight="1" x14ac:dyDescent="0.2">
      <c r="A83" s="9"/>
      <c r="B83" s="9"/>
    </row>
    <row r="84" spans="1:2" ht="15.75" customHeight="1" x14ac:dyDescent="0.2">
      <c r="A84" s="9"/>
      <c r="B84" s="9"/>
    </row>
    <row r="85" spans="1:2" ht="15.75" customHeight="1" x14ac:dyDescent="0.2">
      <c r="A85" s="9"/>
      <c r="B85" s="9"/>
    </row>
    <row r="86" spans="1:2" ht="15.75" customHeight="1" x14ac:dyDescent="0.2">
      <c r="A86" s="9"/>
      <c r="B86" s="9"/>
    </row>
    <row r="87" spans="1:2" ht="15.75" customHeight="1" x14ac:dyDescent="0.2">
      <c r="A87" s="9"/>
      <c r="B87" s="9"/>
    </row>
    <row r="88" spans="1:2" ht="15.75" customHeight="1" x14ac:dyDescent="0.2">
      <c r="A88" s="9"/>
      <c r="B88" s="9"/>
    </row>
    <row r="89" spans="1:2" ht="15.75" customHeight="1" x14ac:dyDescent="0.2">
      <c r="A89" s="9"/>
      <c r="B89" s="9"/>
    </row>
    <row r="90" spans="1:2" ht="15.75" customHeight="1" x14ac:dyDescent="0.2">
      <c r="A90" s="9"/>
      <c r="B90" s="9"/>
    </row>
    <row r="91" spans="1:2" ht="15.75" customHeight="1" x14ac:dyDescent="0.2">
      <c r="A91" s="9"/>
      <c r="B91" s="9"/>
    </row>
    <row r="92" spans="1:2" ht="15.75" customHeight="1" x14ac:dyDescent="0.2">
      <c r="A92" s="9"/>
      <c r="B92" s="9"/>
    </row>
    <row r="93" spans="1:2" ht="15.75" customHeight="1" x14ac:dyDescent="0.2">
      <c r="A93" s="9"/>
      <c r="B93" s="9"/>
    </row>
    <row r="94" spans="1:2" ht="15.75" customHeight="1" x14ac:dyDescent="0.2">
      <c r="A94" s="9"/>
      <c r="B94" s="9"/>
    </row>
    <row r="95" spans="1:2" ht="15.75" customHeight="1" x14ac:dyDescent="0.2">
      <c r="A95" s="9"/>
      <c r="B95" s="9"/>
    </row>
    <row r="96" spans="1:2" ht="15.75" customHeight="1" x14ac:dyDescent="0.2">
      <c r="A96" s="9"/>
      <c r="B96" s="9"/>
    </row>
    <row r="97" spans="1:2" ht="15.75" customHeight="1" x14ac:dyDescent="0.2">
      <c r="A97" s="9"/>
      <c r="B97" s="9"/>
    </row>
    <row r="98" spans="1:2" ht="15.75" customHeight="1" x14ac:dyDescent="0.2">
      <c r="A98" s="9"/>
      <c r="B98" s="9"/>
    </row>
    <row r="99" spans="1:2" ht="15.75" customHeight="1" x14ac:dyDescent="0.2">
      <c r="A99" s="9"/>
      <c r="B99" s="9"/>
    </row>
    <row r="100" spans="1:2" ht="15.75" customHeight="1" x14ac:dyDescent="0.2">
      <c r="A100" s="9"/>
      <c r="B100" s="9"/>
    </row>
    <row r="101" spans="1:2" ht="15.75" customHeight="1" x14ac:dyDescent="0.2">
      <c r="A101" s="9"/>
      <c r="B101" s="9"/>
    </row>
    <row r="102" spans="1:2" ht="15.75" customHeight="1" x14ac:dyDescent="0.2">
      <c r="A102" s="9"/>
      <c r="B102" s="9"/>
    </row>
    <row r="103" spans="1:2" ht="15.75" customHeight="1" x14ac:dyDescent="0.2">
      <c r="A103" s="9"/>
      <c r="B103" s="9"/>
    </row>
    <row r="104" spans="1:2" ht="15.75" customHeight="1" x14ac:dyDescent="0.2">
      <c r="A104" s="9"/>
      <c r="B104" s="9"/>
    </row>
    <row r="105" spans="1:2" ht="15.75" customHeight="1" x14ac:dyDescent="0.2">
      <c r="A105" s="9"/>
      <c r="B105" s="9"/>
    </row>
    <row r="106" spans="1:2" ht="15.75" customHeight="1" x14ac:dyDescent="0.2">
      <c r="A106" s="9"/>
      <c r="B106" s="9"/>
    </row>
    <row r="107" spans="1:2" ht="15.75" customHeight="1" x14ac:dyDescent="0.2">
      <c r="A107" s="9"/>
      <c r="B107" s="9"/>
    </row>
    <row r="108" spans="1:2" ht="15.75" customHeight="1" x14ac:dyDescent="0.2">
      <c r="A108" s="9"/>
      <c r="B108" s="9"/>
    </row>
    <row r="109" spans="1:2" ht="15.75" customHeight="1" x14ac:dyDescent="0.2">
      <c r="A109" s="9"/>
      <c r="B109" s="9"/>
    </row>
    <row r="110" spans="1:2" ht="15.75" customHeight="1" x14ac:dyDescent="0.2">
      <c r="A110" s="9"/>
      <c r="B110" s="9"/>
    </row>
    <row r="111" spans="1:2" ht="15.75" customHeight="1" x14ac:dyDescent="0.2">
      <c r="A111" s="9"/>
      <c r="B111" s="9"/>
    </row>
    <row r="112" spans="1:2" ht="15.75" customHeight="1" x14ac:dyDescent="0.2">
      <c r="A112" s="9"/>
      <c r="B112" s="9"/>
    </row>
    <row r="113" spans="1:2" ht="15.75" customHeight="1" x14ac:dyDescent="0.2">
      <c r="A113" s="9"/>
      <c r="B113" s="9"/>
    </row>
    <row r="114" spans="1:2" ht="15.75" customHeight="1" x14ac:dyDescent="0.2">
      <c r="A114" s="9"/>
      <c r="B114" s="9"/>
    </row>
    <row r="115" spans="1:2" ht="15.75" customHeight="1" x14ac:dyDescent="0.2">
      <c r="A115" s="9"/>
      <c r="B115" s="9"/>
    </row>
    <row r="116" spans="1:2" ht="15.75" customHeight="1" x14ac:dyDescent="0.2">
      <c r="A116" s="9"/>
      <c r="B116" s="9"/>
    </row>
    <row r="117" spans="1:2" ht="15.75" customHeight="1" x14ac:dyDescent="0.2">
      <c r="A117" s="9"/>
      <c r="B117" s="9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</sheetData>
  <hyperlinks>
    <hyperlink ref="A2" r:id="rId1" xr:uid="{5E957D07-604C-8B40-A5CC-AF8E40E42130}"/>
    <hyperlink ref="A53" r:id="rId2" display="https://www.thoxan.com/kontakt/" xr:uid="{052F9FCC-E644-7A47-A297-B2AA36EF893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2023-03-29T13:52:53Z</dcterms:created>
  <dcterms:modified xsi:type="dcterms:W3CDTF">2023-03-29T13:53:40Z</dcterms:modified>
</cp:coreProperties>
</file>