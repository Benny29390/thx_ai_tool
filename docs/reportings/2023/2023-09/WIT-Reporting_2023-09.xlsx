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Volumes/G-RAID Studio/Zoho WorkDrive (thoxan)/THOXAN GMBH/REPORTINGS/2023-09/"/>
    </mc:Choice>
  </mc:AlternateContent>
  <xr:revisionPtr revIDLastSave="0" documentId="8_{BDEE1EAA-BB37-114A-8FFF-F819FC8484E7}" xr6:coauthVersionLast="47" xr6:coauthVersionMax="47" xr10:uidLastSave="{00000000-0000-0000-0000-000000000000}"/>
  <bookViews>
    <workbookView xWindow="10140" yWindow="1620" windowWidth="36680" windowHeight="25100" xr2:uid="{7F041CEF-0D50-654E-8657-05742130CA51}"/>
  </bookViews>
  <sheets>
    <sheet name="WI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1" l="1"/>
  <c r="B42" i="1"/>
  <c r="B32" i="1"/>
  <c r="B24" i="1"/>
  <c r="B49" i="1" s="1"/>
  <c r="B15" i="1"/>
</calcChain>
</file>

<file path=xl/sharedStrings.xml><?xml version="1.0" encoding="utf-8"?>
<sst xmlns="http://schemas.openxmlformats.org/spreadsheetml/2006/main" count="50" uniqueCount="44">
  <si>
    <t>WITTEKIND</t>
  </si>
  <si>
    <t>3. Quartal 2023</t>
  </si>
  <si>
    <t>www.wittekind-moebel.de</t>
  </si>
  <si>
    <t>Monatliche Optimierung</t>
  </si>
  <si>
    <t>Aufwand ca. in Std.</t>
  </si>
  <si>
    <t>1. Linkaufbau &amp; externe Veröffentlichungen</t>
  </si>
  <si>
    <t>Linkquellen-Recherche (Gastartikel): Thematisch passende Linkquellen zur Veröffentlichung von Gastbeiträgen recherchiert, nach Duplikatskontrolle anhand kurzer Sichtprüfung und SEO-Kennzahlen dokumentiert, Aussortieren unpassender Websites, erste Kontaktdaten ermittelt (01.08.-15.09., TKI)</t>
  </si>
  <si>
    <t>Linkakquise (Gastartikel): Kontaktaufnahme mit Seitenbetreibern aus der Linkquellen-Recherche sowie innerhalb des eigenen Netzwerks per E-Mail / Social Media / Telefon, Dokumentation der Preise und Konditionen, Auswahl und Zusammenstellen sinnvoller Linkoptionen zur Freigabe, Abstimmung (01.-20.09., TKI)</t>
  </si>
  <si>
    <t xml:space="preserve">Textarbeiten (Gastartikel): Briefing und Recherche, Texterstellung für Gastbeitrag auf hausbau.net, Lektorat, Abstimmung und Vorbereitung zur Veröffentlichung (01.07., EXT, TKI) </t>
  </si>
  <si>
    <t xml:space="preserve">Textarbeiten (Gastartikel): Briefing und Recherche, Texterstellung für Gastbeitrag auf homeplaza.de, Lektorat, Abstimmung und Vorbereitung zur Veröffentlichung (11.08., EXT, TKI) </t>
  </si>
  <si>
    <t>Linkaufbau-Organisation und Abstimmung mit den Seitenbetreibern zur Veröffentlichung der vorbereiteten Gastartikel, Artikel zuschicken, Prüfung der Link-Integration, Abrechnung der Linkaufbau-Auslagen, Abstimmung und Dokumentation (01.07.-30.09., TKI)</t>
  </si>
  <si>
    <t>https://www.ajoure.de/lifestyle/wohnen/gartenmoebel-upcycling/</t>
  </si>
  <si>
    <t>(Aus Juni 2023)</t>
  </si>
  <si>
    <t>https://www.hausbau.net/hausbau/aussenanlagen/2/62/576/638/machen-sie-das-beste-aus-ihrer-xxl-terrasse.html</t>
  </si>
  <si>
    <t>https://www.homeplaza.de/artikeldetail/nachhaltige-eleganz-fuer-eine-oekologische-oase</t>
  </si>
  <si>
    <t>Link-Monitoring: Neue Verlinkungen aus Link-Tools der letzten 30 Tage überprüft, einzeln bewertet (monatlich 0,25 Std., TKI)</t>
  </si>
  <si>
    <t>2. Redaktionelle Arbeiten und Website-Pflege</t>
  </si>
  <si>
    <t>Einrichtung eines Custom Post Types für Zubehörteile, um Varianten von Produkten auf passenden Unterseiten ausgeben und auf die Merkliste packen zu können (Beispiel "Holzsäule für Feuertische"), Anlegen erster Elemente, kl. Anpassungen und Dokumentation (15.-16.08., BKO, TKI)</t>
  </si>
  <si>
    <t>Diverse Pflegearbeiten auf der Website: Fotos Landpartie ausgetauscht bzw. ergänzt, Teambilder bearbeitet und ausgetauscht, Jobseite aktualisiert mit Bildern aus der Fertigung, Video vom Laser, etc., Anpassung der Seite Veredelung, kl. Anpassung weiterer Unterseiten (16.08., TKI)</t>
  </si>
  <si>
    <t>Komplette Sicherung aller Texte und Bilder von kleinanzeigen.de, Abstimmung Support, Kündigung des Pakets zum nächstmöglichen Zeitpunkt, kl. Anpassungen und Dokumentation (15.-22.08., TKI)</t>
  </si>
  <si>
    <t>Erster Austausch der Stofffarben, Bildbearbeitung und Abstimmung (22.08., TKI)</t>
  </si>
  <si>
    <t>Fotografien aller 25 Polsterstoffe (neue Muster), Bildbearbeitung und Retusche der Farben, Sättigung, Helligkeit, kl. Anpassungen, Optimieren und Abspeichern in zwei Bildgrößen, Austausch auf der Website unter https://www.wittekind-moebel.de/polster/#alle-polsterfarben, weitere Anpassungen von zwei Farbtönen (03.-04.09., TKI)</t>
  </si>
  <si>
    <t>Optimierung Sonnenliege: Interne Abstimmung und Einpflegen neuer Preise und Informationen auf der Website, Bildbearbeitung und Einbinden neuer Galerien für die Höhenverstellung, KI-Bearbeitung der Fußböden (Retusche), kl. Anpassungen und Dokumentation (01.-19.09., MGO, TKI)</t>
  </si>
  <si>
    <t>3. Google Ads, Social Ads, etc.</t>
  </si>
  <si>
    <t>Google Ads Monitoring (Juli): Fortlaufendes Monitoring der eingerichteten Kampagnen und Anzeigengruppen, Anlegen weiterer Anzeigengruppen mit div. Keywords lt. Cluster-Auswahl, Texten von Anzeigen, Ergänzung und Ausschluss von passenden / unpassenden Keywords, kl. Änderungen, Auswertung jeweils zum Monatsende (01.-31.07., JST, TKI)</t>
  </si>
  <si>
    <t>Google Ads Monitoring (August): Fortlaufendes Monitoring der eingerichteten Kampagnen und Anzeigengruppen, Anlegen weiterer Anzeigengruppen mit div. Keywords lt. Cluster-Auswahl, Texten von Anzeigen, Ergänzung und Ausschluss von passenden / unpassenden Keywords, kl. Änderungen, Auswertung jeweils zum Monatsende (01.-31.07., JST, TKI)</t>
  </si>
  <si>
    <t>Einrichtung von Social Ads für die Bewerbung der Stellenanzeige, regionale Ausrichtung, kl. Anpassungen und Dokumentation (17.08., JST, TKI)</t>
  </si>
  <si>
    <t>Microsoft Ads: Überprüfung &amp; Guthaben Auszahlung (11.08., JST)</t>
  </si>
  <si>
    <t>Google Ads Monitoring (September): Fortlaufendes Monitoring der eingerichteten Kampagnen und Anzeigengruppen, Anlegen weiterer Anzeigengruppen mit div. Keywords lt. Cluster-Auswahl, Texten von Anzeigen, Ergänzung und Ausschluss von passenden / unpassenden Keywords, kl. Änderungen, Auswertung jeweils zum Monatsende (01.-31.07., JST, TKI)</t>
  </si>
  <si>
    <t>4. Taskforce "Ereignisorientierte Vermarktung"</t>
  </si>
  <si>
    <t>Erste Recherche und Austausch zu Ereignissen, die einen Bedarf auslösen, dessen Lösung unser Angebot ist, Brainstorming und Klären der Vorgehensweise (10.08., TKI)</t>
  </si>
  <si>
    <t>Keyword-Analyse: Briefing und Durchführung einer Keyword-Analyse für Ereignisse in sechs Themengebieten, Recherche von passenden Suchbegriffen, Ermitteln des Suchvolumens und des Wettbewerbs, Abstimmung und Aufbereiten der Ergebnisse, Konzeption weiterer Maßnahmen (11.-14.08., JST, TKI)</t>
  </si>
  <si>
    <t>Zusammenstellen eines interdisziplinären Teams zur Erarbeitung einer Strategie, die Bedarfsgruppe "Große Terrassen / Dachterrassen" online zu bewerben (11.08.-04.09., TKI)</t>
  </si>
  <si>
    <t>o. Berechnung</t>
  </si>
  <si>
    <t>Kick-Off Taskforce, Austausch zu bisherigen Planungen, Verteilen der Aufgaben und Rollen im Team, Klären von div. Fragen, 14-15 Uhr mit 6 Personen (06.09., TKI)</t>
  </si>
  <si>
    <t>Aufbau eines Asana-Boards zur Abwicklung des Projekts entlang der Systematik von Karl Kratz ("Dein bestes Angebot"), Abstimmung Projektmanagement (01.-19.09., RBO, JHU, TKI)</t>
  </si>
  <si>
    <t>Konzeption und erste Ausarbeitung der Strategie mithilfe von ChatGPT, Austausch zu ersten Ergebnissen (14.09., JDR, JHU, TKI)</t>
  </si>
  <si>
    <t>5. Beratung &amp; Sonstiges</t>
  </si>
  <si>
    <t>Abstimmung Jan Rolfsmeyer, Übernahme des Amazon-Kontos, Einstellungen ändern, Konto pausieren / deaktivieren (Ruhemodus), kl. Anpassungen und Dokumentation (10.-12.09., TKI)</t>
  </si>
  <si>
    <t>Projektmanagement: Organisation, Planung, Überwachung und Steuerung der Aufgaben und Ressourcen (pro Tagessatz ca. 0,5 Std., TKI)</t>
  </si>
  <si>
    <t>Aufwand ca. insgesamt in Std.</t>
  </si>
  <si>
    <t>Aufwand in Tagessätzen</t>
  </si>
  <si>
    <t>Noch Rückfragen? Kontakt zur Thoxan Communications GmbH unter https://www.thoxan.com/kontakt/</t>
  </si>
  <si>
    <t>Optimierung der Konzeption in zwei Stufen, weiterer Austausch und Themen-planung für ca. 30 Ratgeber im Bereich "Große Terrassen / Dachterrassen", Vorbereitung der Briefings für die Texterstellung (15.-22.09., JDR, 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</si>
</sst>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font>
    <font>
      <b/>
      <sz val="16"/>
      <color theme="1"/>
      <name val="Arial"/>
      <family val="2"/>
    </font>
    <font>
      <sz val="12"/>
      <color theme="1"/>
      <name val="Arial"/>
      <family val="2"/>
    </font>
    <font>
      <u/>
      <sz val="10"/>
      <color theme="10"/>
      <name val="Arial"/>
      <family val="2"/>
    </font>
    <font>
      <sz val="10"/>
      <color theme="1"/>
      <name val="Arial"/>
      <family val="2"/>
    </font>
    <font>
      <sz val="10"/>
      <color theme="1"/>
      <name val="Calibri"/>
      <family val="2"/>
    </font>
    <font>
      <b/>
      <sz val="10"/>
      <color theme="1"/>
      <name val="Arial"/>
      <family val="2"/>
    </font>
    <font>
      <u/>
      <sz val="12"/>
      <color theme="10"/>
      <name val="Calibri"/>
      <family val="2"/>
    </font>
    <font>
      <sz val="10"/>
      <color rgb="FFBFBFBF"/>
      <name val="Arial"/>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bottom style="medium">
        <color rgb="FF000000"/>
      </bottom>
      <diagonal/>
    </border>
  </borders>
  <cellStyleXfs count="2">
    <xf numFmtId="0" fontId="0" fillId="0" borderId="0"/>
    <xf numFmtId="0" fontId="7" fillId="0" borderId="0" applyNumberFormat="0" applyFill="0" applyBorder="0" applyAlignment="0" applyProtection="0"/>
  </cellStyleXfs>
  <cellXfs count="29">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3" fillId="0" borderId="0" xfId="0" applyFont="1"/>
    <xf numFmtId="49" fontId="4" fillId="0" borderId="0" xfId="0" applyNumberFormat="1" applyFont="1" applyAlignment="1">
      <alignment horizontal="right"/>
    </xf>
    <xf numFmtId="0" fontId="3" fillId="0" borderId="1" xfId="0" applyFont="1" applyBorder="1"/>
    <xf numFmtId="0" fontId="4" fillId="0" borderId="1" xfId="0" applyFont="1" applyBorder="1"/>
    <xf numFmtId="0" fontId="4" fillId="2" borderId="2" xfId="0" applyFont="1" applyFill="1" applyBorder="1" applyAlignment="1">
      <alignment horizontal="center" vertical="center"/>
    </xf>
    <xf numFmtId="0" fontId="4" fillId="0" borderId="0" xfId="0" applyFont="1"/>
    <xf numFmtId="0" fontId="5" fillId="0" borderId="0" xfId="0" applyFont="1"/>
    <xf numFmtId="0" fontId="6" fillId="0" borderId="2" xfId="0" applyFont="1" applyBorder="1"/>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vertical="top" wrapText="1"/>
    </xf>
    <xf numFmtId="0" fontId="4" fillId="3" borderId="3" xfId="0" applyFont="1" applyFill="1" applyBorder="1" applyAlignment="1">
      <alignment vertical="top" wrapText="1"/>
    </xf>
    <xf numFmtId="0" fontId="3" fillId="3" borderId="3" xfId="1" applyFont="1" applyFill="1" applyBorder="1" applyAlignment="1">
      <alignment vertical="top" wrapText="1"/>
    </xf>
    <xf numFmtId="0" fontId="4" fillId="2" borderId="3" xfId="0" applyFont="1" applyFill="1" applyBorder="1" applyAlignment="1">
      <alignment vertical="center"/>
    </xf>
    <xf numFmtId="0" fontId="4" fillId="2" borderId="3" xfId="0" applyFont="1" applyFill="1" applyBorder="1" applyAlignment="1">
      <alignment horizontal="center" vertical="center"/>
    </xf>
    <xf numFmtId="0" fontId="4" fillId="0" borderId="4" xfId="0" applyFont="1" applyBorder="1"/>
    <xf numFmtId="0" fontId="4" fillId="0" borderId="4" xfId="0" applyFont="1" applyBorder="1" applyAlignment="1">
      <alignment horizontal="center" vertical="center"/>
    </xf>
    <xf numFmtId="0" fontId="4" fillId="0" borderId="2" xfId="0" applyFont="1" applyBorder="1" applyAlignment="1" applyProtection="1">
      <alignment vertical="top" wrapText="1"/>
      <protection locked="0"/>
    </xf>
    <xf numFmtId="0" fontId="4" fillId="2" borderId="2" xfId="0" applyFont="1" applyFill="1" applyBorder="1" applyAlignment="1">
      <alignment vertical="center"/>
    </xf>
    <xf numFmtId="0" fontId="8" fillId="0" borderId="2" xfId="0" applyFont="1" applyBorder="1" applyAlignment="1">
      <alignment horizontal="center" vertical="center"/>
    </xf>
    <xf numFmtId="0" fontId="4" fillId="2" borderId="5" xfId="0" applyFont="1" applyFill="1" applyBorder="1" applyAlignment="1">
      <alignment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9" fillId="0" borderId="0" xfId="0" applyFont="1"/>
    <xf numFmtId="0" fontId="7" fillId="0" borderId="0" xfId="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joure.de/lifestyle/wohnen/gartenmoebel-upcycling/" TargetMode="External"/><Relationship Id="rId2" Type="http://schemas.openxmlformats.org/officeDocument/2006/relationships/hyperlink" Target="https://www.thoxan.com/kontakt/" TargetMode="External"/><Relationship Id="rId1" Type="http://schemas.openxmlformats.org/officeDocument/2006/relationships/hyperlink" Target="http://www.wittekind-moebel.de/" TargetMode="External"/><Relationship Id="rId5" Type="http://schemas.openxmlformats.org/officeDocument/2006/relationships/hyperlink" Target="https://www.hausbau.net/hausbau/aussenanlagen/2/62/576/638/machen-sie-das-beste-aus-ihrer-xxl-terrasse.html" TargetMode="External"/><Relationship Id="rId4" Type="http://schemas.openxmlformats.org/officeDocument/2006/relationships/hyperlink" Target="https://www.homeplaza.de/artikeldetail/nachhaltige-eleganz-fuer-eine-oekologische-o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F8663-112C-A945-99A7-98110E1810CC}">
  <dimension ref="A1:B995"/>
  <sheetViews>
    <sheetView tabSelected="1" zoomScale="150" zoomScaleNormal="150" workbookViewId="0">
      <pane ySplit="4" topLeftCell="A5" activePane="bottomLeft" state="frozen"/>
      <selection pane="bottomLeft" activeCell="A6" sqref="A6"/>
    </sheetView>
  </sheetViews>
  <sheetFormatPr baseColWidth="10" defaultColWidth="11.1640625" defaultRowHeight="15" customHeight="1" x14ac:dyDescent="0.2"/>
  <cols>
    <col min="1" max="1" width="57.5" customWidth="1"/>
    <col min="2" max="2" width="24.6640625" customWidth="1"/>
  </cols>
  <sheetData>
    <row r="1" spans="1:2" ht="21" customHeight="1" x14ac:dyDescent="0.2">
      <c r="A1" s="1" t="s">
        <v>0</v>
      </c>
      <c r="B1" s="2" t="s">
        <v>1</v>
      </c>
    </row>
    <row r="2" spans="1:2" ht="15.75" customHeight="1" x14ac:dyDescent="0.2">
      <c r="A2" s="4" t="s">
        <v>2</v>
      </c>
      <c r="B2" s="5" t="s">
        <v>3</v>
      </c>
    </row>
    <row r="3" spans="1:2" ht="15.75" customHeight="1" x14ac:dyDescent="0.2">
      <c r="A3" s="6"/>
      <c r="B3" s="7"/>
    </row>
    <row r="4" spans="1:2" s="10" customFormat="1" ht="28" customHeight="1" x14ac:dyDescent="0.2">
      <c r="A4" s="8"/>
      <c r="B4" s="8" t="s">
        <v>4</v>
      </c>
    </row>
    <row r="5" spans="1:2" s="10" customFormat="1" ht="15.75" customHeight="1" x14ac:dyDescent="0.2">
      <c r="A5" s="11" t="s">
        <v>5</v>
      </c>
      <c r="B5" s="12"/>
    </row>
    <row r="6" spans="1:2" s="10" customFormat="1" ht="70" x14ac:dyDescent="0.2">
      <c r="A6" s="14" t="s">
        <v>6</v>
      </c>
      <c r="B6" s="12">
        <v>2</v>
      </c>
    </row>
    <row r="7" spans="1:2" s="10" customFormat="1" ht="70" x14ac:dyDescent="0.2">
      <c r="A7" s="14" t="s">
        <v>7</v>
      </c>
      <c r="B7" s="12">
        <v>4</v>
      </c>
    </row>
    <row r="8" spans="1:2" s="10" customFormat="1" ht="42" x14ac:dyDescent="0.2">
      <c r="A8" s="14" t="s">
        <v>8</v>
      </c>
      <c r="B8" s="12">
        <v>3.5</v>
      </c>
    </row>
    <row r="9" spans="1:2" s="10" customFormat="1" ht="42" x14ac:dyDescent="0.2">
      <c r="A9" s="14" t="s">
        <v>9</v>
      </c>
      <c r="B9" s="12">
        <v>2.75</v>
      </c>
    </row>
    <row r="10" spans="1:2" s="10" customFormat="1" ht="56" x14ac:dyDescent="0.2">
      <c r="A10" s="15" t="s">
        <v>10</v>
      </c>
      <c r="B10" s="13">
        <v>1.5</v>
      </c>
    </row>
    <row r="11" spans="1:2" s="10" customFormat="1" ht="14" x14ac:dyDescent="0.2">
      <c r="A11" s="16" t="s">
        <v>11</v>
      </c>
      <c r="B11" s="13" t="s">
        <v>12</v>
      </c>
    </row>
    <row r="12" spans="1:2" s="10" customFormat="1" ht="28" x14ac:dyDescent="0.2">
      <c r="A12" s="16" t="s">
        <v>13</v>
      </c>
      <c r="B12" s="13"/>
    </row>
    <row r="13" spans="1:2" s="10" customFormat="1" ht="28" x14ac:dyDescent="0.2">
      <c r="A13" s="16" t="s">
        <v>14</v>
      </c>
      <c r="B13" s="13"/>
    </row>
    <row r="14" spans="1:2" s="10" customFormat="1" ht="28" x14ac:dyDescent="0.2">
      <c r="A14" s="15" t="s">
        <v>15</v>
      </c>
      <c r="B14" s="13">
        <v>0.75</v>
      </c>
    </row>
    <row r="15" spans="1:2" s="10" customFormat="1" ht="15.75" customHeight="1" x14ac:dyDescent="0.2">
      <c r="A15" s="17" t="s">
        <v>4</v>
      </c>
      <c r="B15" s="18">
        <f>SUM(B6:B14)</f>
        <v>14.5</v>
      </c>
    </row>
    <row r="16" spans="1:2" s="10" customFormat="1" ht="15.75" customHeight="1" x14ac:dyDescent="0.2">
      <c r="A16" s="19"/>
      <c r="B16" s="20"/>
    </row>
    <row r="17" spans="1:2" s="10" customFormat="1" ht="15.75" customHeight="1" x14ac:dyDescent="0.2">
      <c r="A17" s="11" t="s">
        <v>16</v>
      </c>
      <c r="B17" s="12"/>
    </row>
    <row r="18" spans="1:2" s="10" customFormat="1" ht="70" x14ac:dyDescent="0.2">
      <c r="A18" s="21" t="s">
        <v>17</v>
      </c>
      <c r="B18" s="12">
        <v>2.5</v>
      </c>
    </row>
    <row r="19" spans="1:2" s="10" customFormat="1" ht="70" x14ac:dyDescent="0.2">
      <c r="A19" s="21" t="s">
        <v>18</v>
      </c>
      <c r="B19" s="12">
        <v>2</v>
      </c>
    </row>
    <row r="20" spans="1:2" s="10" customFormat="1" ht="42" x14ac:dyDescent="0.2">
      <c r="A20" s="21" t="s">
        <v>19</v>
      </c>
      <c r="B20" s="12">
        <v>2.5</v>
      </c>
    </row>
    <row r="21" spans="1:2" s="10" customFormat="1" ht="28" x14ac:dyDescent="0.2">
      <c r="A21" s="21" t="s">
        <v>20</v>
      </c>
      <c r="B21" s="12">
        <v>1</v>
      </c>
    </row>
    <row r="22" spans="1:2" s="10" customFormat="1" ht="84" x14ac:dyDescent="0.2">
      <c r="A22" s="21" t="s">
        <v>21</v>
      </c>
      <c r="B22" s="12">
        <v>5</v>
      </c>
    </row>
    <row r="23" spans="1:2" s="10" customFormat="1" ht="70" x14ac:dyDescent="0.2">
      <c r="A23" s="21" t="s">
        <v>22</v>
      </c>
      <c r="B23" s="12">
        <v>2.75</v>
      </c>
    </row>
    <row r="24" spans="1:2" s="10" customFormat="1" ht="15.75" customHeight="1" x14ac:dyDescent="0.2">
      <c r="A24" s="22" t="s">
        <v>4</v>
      </c>
      <c r="B24" s="8">
        <f>SUM(B18:B23)</f>
        <v>15.75</v>
      </c>
    </row>
    <row r="25" spans="1:2" s="10" customFormat="1" ht="15.75" customHeight="1" x14ac:dyDescent="0.2">
      <c r="A25" s="14"/>
      <c r="B25" s="12"/>
    </row>
    <row r="26" spans="1:2" s="10" customFormat="1" ht="15.75" customHeight="1" x14ac:dyDescent="0.2">
      <c r="A26" s="11" t="s">
        <v>23</v>
      </c>
      <c r="B26" s="12"/>
    </row>
    <row r="27" spans="1:2" s="10" customFormat="1" ht="84" x14ac:dyDescent="0.2">
      <c r="A27" s="14" t="s">
        <v>24</v>
      </c>
      <c r="B27" s="12">
        <v>0.75</v>
      </c>
    </row>
    <row r="28" spans="1:2" s="10" customFormat="1" ht="84" x14ac:dyDescent="0.2">
      <c r="A28" s="14" t="s">
        <v>25</v>
      </c>
      <c r="B28" s="12">
        <v>0.75</v>
      </c>
    </row>
    <row r="29" spans="1:2" s="10" customFormat="1" ht="42" x14ac:dyDescent="0.2">
      <c r="A29" s="14" t="s">
        <v>26</v>
      </c>
      <c r="B29" s="12">
        <v>2</v>
      </c>
    </row>
    <row r="30" spans="1:2" s="10" customFormat="1" ht="14" x14ac:dyDescent="0.2">
      <c r="A30" s="14" t="s">
        <v>27</v>
      </c>
      <c r="B30" s="12">
        <v>0.5</v>
      </c>
    </row>
    <row r="31" spans="1:2" s="10" customFormat="1" ht="84" x14ac:dyDescent="0.2">
      <c r="A31" s="14" t="s">
        <v>28</v>
      </c>
      <c r="B31" s="12">
        <v>0.75</v>
      </c>
    </row>
    <row r="32" spans="1:2" s="10" customFormat="1" ht="15.75" customHeight="1" x14ac:dyDescent="0.2">
      <c r="A32" s="22" t="s">
        <v>4</v>
      </c>
      <c r="B32" s="8">
        <f>SUM(B27:B31)</f>
        <v>4.75</v>
      </c>
    </row>
    <row r="33" spans="1:2" s="10" customFormat="1" ht="15.75" customHeight="1" x14ac:dyDescent="0.2">
      <c r="A33" s="11"/>
      <c r="B33" s="12"/>
    </row>
    <row r="34" spans="1:2" s="10" customFormat="1" ht="15.75" customHeight="1" x14ac:dyDescent="0.2">
      <c r="A34" s="11" t="s">
        <v>29</v>
      </c>
      <c r="B34" s="12"/>
    </row>
    <row r="35" spans="1:2" s="10" customFormat="1" ht="42" x14ac:dyDescent="0.2">
      <c r="A35" s="14" t="s">
        <v>30</v>
      </c>
      <c r="B35" s="12">
        <v>2</v>
      </c>
    </row>
    <row r="36" spans="1:2" s="10" customFormat="1" ht="70" x14ac:dyDescent="0.2">
      <c r="A36" s="14" t="s">
        <v>31</v>
      </c>
      <c r="B36" s="12">
        <v>3.5</v>
      </c>
    </row>
    <row r="37" spans="1:2" s="10" customFormat="1" ht="42" x14ac:dyDescent="0.2">
      <c r="A37" s="14" t="s">
        <v>32</v>
      </c>
      <c r="B37" s="12" t="s">
        <v>33</v>
      </c>
    </row>
    <row r="38" spans="1:2" s="10" customFormat="1" ht="42" x14ac:dyDescent="0.2">
      <c r="A38" s="14" t="s">
        <v>34</v>
      </c>
      <c r="B38" s="12">
        <v>6</v>
      </c>
    </row>
    <row r="39" spans="1:2" s="10" customFormat="1" ht="42" x14ac:dyDescent="0.2">
      <c r="A39" s="14" t="s">
        <v>35</v>
      </c>
      <c r="B39" s="12" t="s">
        <v>33</v>
      </c>
    </row>
    <row r="40" spans="1:2" s="10" customFormat="1" ht="28" x14ac:dyDescent="0.2">
      <c r="A40" s="14" t="s">
        <v>36</v>
      </c>
      <c r="B40" s="12">
        <v>4</v>
      </c>
    </row>
    <row r="41" spans="1:2" s="10" customFormat="1" ht="56" x14ac:dyDescent="0.2">
      <c r="A41" s="14" t="s">
        <v>43</v>
      </c>
      <c r="B41" s="12">
        <v>4</v>
      </c>
    </row>
    <row r="42" spans="1:2" s="10" customFormat="1" ht="15.75" customHeight="1" x14ac:dyDescent="0.2">
      <c r="A42" s="22" t="s">
        <v>4</v>
      </c>
      <c r="B42" s="8">
        <f>SUM(B35:B41)</f>
        <v>19.5</v>
      </c>
    </row>
    <row r="43" spans="1:2" s="10" customFormat="1" ht="15.75" customHeight="1" x14ac:dyDescent="0.2">
      <c r="A43" s="14"/>
      <c r="B43" s="23"/>
    </row>
    <row r="44" spans="1:2" s="10" customFormat="1" ht="15.75" customHeight="1" x14ac:dyDescent="0.2">
      <c r="A44" s="11" t="s">
        <v>37</v>
      </c>
      <c r="B44" s="12"/>
    </row>
    <row r="45" spans="1:2" s="10" customFormat="1" ht="42" x14ac:dyDescent="0.2">
      <c r="A45" s="14" t="s">
        <v>38</v>
      </c>
      <c r="B45" s="12">
        <v>1.5</v>
      </c>
    </row>
    <row r="46" spans="1:2" s="10" customFormat="1" ht="42" x14ac:dyDescent="0.2">
      <c r="A46" s="14" t="s">
        <v>39</v>
      </c>
      <c r="B46" s="12">
        <v>3.5</v>
      </c>
    </row>
    <row r="47" spans="1:2" s="10" customFormat="1" ht="15.75" customHeight="1" x14ac:dyDescent="0.2">
      <c r="A47" s="22" t="s">
        <v>4</v>
      </c>
      <c r="B47" s="8">
        <f>SUM(B45:B46)</f>
        <v>5</v>
      </c>
    </row>
    <row r="48" spans="1:2" s="10" customFormat="1" ht="15.75" customHeight="1" x14ac:dyDescent="0.2">
      <c r="A48" s="14"/>
      <c r="B48" s="23"/>
    </row>
    <row r="49" spans="1:2" s="10" customFormat="1" ht="16.5" customHeight="1" thickBot="1" x14ac:dyDescent="0.25">
      <c r="A49" s="24" t="s">
        <v>40</v>
      </c>
      <c r="B49" s="25">
        <f>SUM(B15+B24+B32+B42+B47)</f>
        <v>59.5</v>
      </c>
    </row>
    <row r="50" spans="1:2" s="10" customFormat="1" ht="16.5" customHeight="1" thickBot="1" x14ac:dyDescent="0.25">
      <c r="A50" s="24" t="s">
        <v>41</v>
      </c>
      <c r="B50" s="26">
        <v>7</v>
      </c>
    </row>
    <row r="51" spans="1:2" ht="15.75" customHeight="1" x14ac:dyDescent="0.2">
      <c r="A51" s="9"/>
      <c r="B51" s="9"/>
    </row>
    <row r="52" spans="1:2" ht="15.75" customHeight="1" x14ac:dyDescent="0.2">
      <c r="A52" s="27" t="s">
        <v>42</v>
      </c>
      <c r="B52" s="9"/>
    </row>
    <row r="54" spans="1:2" ht="15.75" customHeight="1" x14ac:dyDescent="0.2">
      <c r="A54" s="9"/>
      <c r="B54" s="9"/>
    </row>
    <row r="55" spans="1:2" ht="15.75" customHeight="1" x14ac:dyDescent="0.2">
      <c r="A55" s="9"/>
      <c r="B55" s="9"/>
    </row>
    <row r="56" spans="1:2" ht="15.75" customHeight="1" x14ac:dyDescent="0.2">
      <c r="A56" s="9"/>
      <c r="B56" s="9"/>
    </row>
    <row r="57" spans="1:2" ht="15.75" customHeight="1" x14ac:dyDescent="0.2">
      <c r="A57" s="9"/>
      <c r="B57" s="28"/>
    </row>
    <row r="58" spans="1:2" ht="15.75" customHeight="1" x14ac:dyDescent="0.2">
      <c r="A58" s="9"/>
      <c r="B58" s="9"/>
    </row>
    <row r="59" spans="1:2" ht="15.75" customHeight="1" x14ac:dyDescent="0.2">
      <c r="A59" s="9"/>
      <c r="B59" s="9"/>
    </row>
    <row r="60" spans="1:2" ht="15.75" customHeight="1" x14ac:dyDescent="0.2">
      <c r="A60" s="9"/>
      <c r="B60" s="9"/>
    </row>
    <row r="61" spans="1:2" ht="15.75" customHeight="1" x14ac:dyDescent="0.2">
      <c r="A61" s="9"/>
      <c r="B61" s="9"/>
    </row>
    <row r="62" spans="1:2" ht="15.75" customHeight="1" x14ac:dyDescent="0.2">
      <c r="A62" s="9"/>
      <c r="B62" s="9"/>
    </row>
    <row r="63" spans="1:2" ht="15.75" customHeight="1" x14ac:dyDescent="0.2">
      <c r="A63" s="9"/>
      <c r="B63" s="9"/>
    </row>
    <row r="64" spans="1:2" ht="15.75" customHeight="1" x14ac:dyDescent="0.2">
      <c r="A64" s="9"/>
      <c r="B64" s="9"/>
    </row>
    <row r="65" spans="1:2" ht="15.75" customHeight="1" x14ac:dyDescent="0.2">
      <c r="A65" s="9"/>
      <c r="B65" s="9"/>
    </row>
    <row r="66" spans="1:2" ht="15.75" customHeight="1" x14ac:dyDescent="0.2">
      <c r="A66" s="9"/>
      <c r="B66" s="9"/>
    </row>
    <row r="67" spans="1:2" ht="15.75" customHeight="1" x14ac:dyDescent="0.2">
      <c r="A67" s="9"/>
      <c r="B67" s="9"/>
    </row>
    <row r="68" spans="1:2" ht="15.75" customHeight="1" x14ac:dyDescent="0.2">
      <c r="A68" s="9"/>
      <c r="B68" s="9"/>
    </row>
    <row r="69" spans="1:2" ht="15.75" customHeight="1" x14ac:dyDescent="0.2">
      <c r="A69" s="9"/>
      <c r="B69" s="9"/>
    </row>
    <row r="70" spans="1:2" ht="15.75" customHeight="1" x14ac:dyDescent="0.2">
      <c r="A70" s="9"/>
      <c r="B70" s="9"/>
    </row>
    <row r="71" spans="1:2" ht="15.75" customHeight="1" x14ac:dyDescent="0.2">
      <c r="A71" s="9"/>
      <c r="B71" s="9"/>
    </row>
    <row r="72" spans="1:2" ht="15.75" customHeight="1" x14ac:dyDescent="0.2">
      <c r="A72" s="9"/>
      <c r="B72" s="9"/>
    </row>
    <row r="73" spans="1:2" ht="15.75" customHeight="1" x14ac:dyDescent="0.2">
      <c r="A73" s="9"/>
      <c r="B73" s="9"/>
    </row>
    <row r="74" spans="1:2" ht="15.75" customHeight="1" x14ac:dyDescent="0.2">
      <c r="A74" s="9"/>
      <c r="B74" s="9"/>
    </row>
    <row r="75" spans="1:2" ht="15.75" customHeight="1" x14ac:dyDescent="0.2">
      <c r="A75" s="9"/>
      <c r="B75" s="9"/>
    </row>
    <row r="76" spans="1:2" ht="15.75" customHeight="1" x14ac:dyDescent="0.2">
      <c r="A76" s="9"/>
      <c r="B76" s="9"/>
    </row>
    <row r="77" spans="1:2" ht="15.75" customHeight="1" x14ac:dyDescent="0.2">
      <c r="A77" s="9"/>
      <c r="B77" s="9"/>
    </row>
    <row r="78" spans="1:2" ht="15.75" customHeight="1" x14ac:dyDescent="0.2">
      <c r="A78" s="9"/>
      <c r="B78" s="9"/>
    </row>
    <row r="79" spans="1:2" ht="15.75" customHeight="1" x14ac:dyDescent="0.2">
      <c r="A79" s="9"/>
      <c r="B79" s="9"/>
    </row>
    <row r="80" spans="1:2" ht="15.75" customHeight="1" x14ac:dyDescent="0.2">
      <c r="A80" s="9"/>
      <c r="B80" s="9"/>
    </row>
    <row r="81" spans="1:2" ht="15.75" customHeight="1" x14ac:dyDescent="0.2">
      <c r="A81" s="9"/>
      <c r="B81" s="9"/>
    </row>
    <row r="82" spans="1:2" ht="15.75" customHeight="1" x14ac:dyDescent="0.2">
      <c r="A82" s="9"/>
      <c r="B82" s="9"/>
    </row>
    <row r="83" spans="1:2" ht="15.75" customHeight="1" x14ac:dyDescent="0.2">
      <c r="A83" s="9"/>
      <c r="B83" s="9"/>
    </row>
    <row r="84" spans="1:2" ht="15.75" customHeight="1" x14ac:dyDescent="0.2">
      <c r="A84" s="9"/>
      <c r="B84" s="9"/>
    </row>
    <row r="85" spans="1:2" ht="15.75" customHeight="1" x14ac:dyDescent="0.2">
      <c r="A85" s="9"/>
      <c r="B85" s="9"/>
    </row>
    <row r="86" spans="1:2" ht="15.75" customHeight="1" x14ac:dyDescent="0.2">
      <c r="A86" s="9"/>
      <c r="B86" s="9"/>
    </row>
    <row r="87" spans="1:2" ht="15.75" customHeight="1" x14ac:dyDescent="0.2">
      <c r="A87" s="9"/>
      <c r="B87" s="9"/>
    </row>
    <row r="88" spans="1:2" ht="15.75" customHeight="1" x14ac:dyDescent="0.2">
      <c r="A88" s="9"/>
      <c r="B88" s="9"/>
    </row>
    <row r="89" spans="1:2" ht="15.75" customHeight="1" x14ac:dyDescent="0.2">
      <c r="A89" s="9"/>
      <c r="B89" s="9"/>
    </row>
    <row r="90" spans="1:2" ht="15.75" customHeight="1" x14ac:dyDescent="0.2">
      <c r="A90" s="9"/>
      <c r="B90" s="9"/>
    </row>
    <row r="91" spans="1:2" ht="15.75" customHeight="1" x14ac:dyDescent="0.2">
      <c r="A91" s="9"/>
      <c r="B91" s="9"/>
    </row>
    <row r="92" spans="1:2" ht="15.75" customHeight="1" x14ac:dyDescent="0.2">
      <c r="A92" s="9"/>
      <c r="B92" s="9"/>
    </row>
    <row r="93" spans="1:2" ht="15.75" customHeight="1" x14ac:dyDescent="0.2">
      <c r="A93" s="9"/>
      <c r="B93" s="9"/>
    </row>
    <row r="94" spans="1:2" ht="15.75" customHeight="1" x14ac:dyDescent="0.2">
      <c r="A94" s="9"/>
      <c r="B94" s="9"/>
    </row>
    <row r="95" spans="1:2" ht="15.75" customHeight="1" x14ac:dyDescent="0.2">
      <c r="A95" s="9"/>
      <c r="B95" s="9"/>
    </row>
    <row r="96" spans="1:2" ht="15.75" customHeight="1" x14ac:dyDescent="0.2">
      <c r="A96" s="9"/>
      <c r="B96" s="9"/>
    </row>
    <row r="97" spans="1:2" ht="15.75" customHeight="1" x14ac:dyDescent="0.2">
      <c r="A97" s="9"/>
      <c r="B97" s="9"/>
    </row>
    <row r="98" spans="1:2" ht="15.75" customHeight="1" x14ac:dyDescent="0.2">
      <c r="A98" s="9"/>
      <c r="B98" s="9"/>
    </row>
    <row r="99" spans="1:2" ht="15.75" customHeight="1" x14ac:dyDescent="0.2">
      <c r="A99" s="9"/>
      <c r="B99" s="9"/>
    </row>
    <row r="100" spans="1:2" ht="15.75" customHeight="1" x14ac:dyDescent="0.2">
      <c r="A100" s="9"/>
      <c r="B100" s="9"/>
    </row>
    <row r="101" spans="1:2" ht="15.75" customHeight="1" x14ac:dyDescent="0.2">
      <c r="A101" s="9"/>
      <c r="B101" s="9"/>
    </row>
    <row r="102" spans="1:2" ht="15.75" customHeight="1" x14ac:dyDescent="0.2">
      <c r="A102" s="9"/>
      <c r="B102" s="9"/>
    </row>
    <row r="103" spans="1:2" ht="15.75" customHeight="1" x14ac:dyDescent="0.2">
      <c r="A103" s="9"/>
      <c r="B103" s="9"/>
    </row>
    <row r="104" spans="1:2" ht="15.75" customHeight="1" x14ac:dyDescent="0.2">
      <c r="A104" s="9"/>
      <c r="B104" s="9"/>
    </row>
    <row r="105" spans="1:2" ht="15.75" customHeight="1" x14ac:dyDescent="0.2">
      <c r="A105" s="9"/>
      <c r="B105" s="9"/>
    </row>
    <row r="106" spans="1:2" ht="15.75" customHeight="1" x14ac:dyDescent="0.2">
      <c r="A106" s="9"/>
      <c r="B106" s="9"/>
    </row>
    <row r="107" spans="1:2" ht="15.75" customHeight="1" x14ac:dyDescent="0.2">
      <c r="A107" s="9"/>
      <c r="B107" s="9"/>
    </row>
    <row r="108" spans="1:2" ht="15.75" customHeight="1" x14ac:dyDescent="0.2">
      <c r="A108" s="9"/>
      <c r="B108" s="9"/>
    </row>
    <row r="109" spans="1:2" ht="15.75" customHeight="1" x14ac:dyDescent="0.2">
      <c r="A109" s="9"/>
      <c r="B109" s="9"/>
    </row>
    <row r="110" spans="1:2" ht="15.75" customHeight="1" x14ac:dyDescent="0.2">
      <c r="A110" s="9"/>
      <c r="B110" s="9"/>
    </row>
    <row r="111" spans="1:2" ht="15.75" customHeight="1" x14ac:dyDescent="0.2">
      <c r="A111" s="9"/>
      <c r="B111" s="9"/>
    </row>
    <row r="112" spans="1:2" ht="15.75" customHeight="1" x14ac:dyDescent="0.2">
      <c r="A112" s="9"/>
      <c r="B112" s="9"/>
    </row>
    <row r="113" spans="1:2" ht="15.75" customHeight="1" x14ac:dyDescent="0.2">
      <c r="A113" s="9"/>
      <c r="B113" s="9"/>
    </row>
    <row r="114" spans="1:2" ht="15.75" customHeight="1" x14ac:dyDescent="0.2">
      <c r="A114" s="9"/>
      <c r="B114" s="9"/>
    </row>
    <row r="115" spans="1:2" ht="15.75" customHeight="1" x14ac:dyDescent="0.2">
      <c r="A115" s="9"/>
      <c r="B115" s="9"/>
    </row>
    <row r="116" spans="1:2" ht="15.75" customHeight="1" x14ac:dyDescent="0.2">
      <c r="A116" s="9"/>
      <c r="B116" s="9"/>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sheetData>
  <hyperlinks>
    <hyperlink ref="A2" r:id="rId1" xr:uid="{7ED5DA08-D15B-AA42-9F2D-329134A2284E}"/>
    <hyperlink ref="A52" r:id="rId2" display="https://www.thoxan.com/kontakt/" xr:uid="{DF51BD3C-2CA2-3B4F-BCE8-323322032822}"/>
    <hyperlink ref="A11" r:id="rId3" xr:uid="{AC356AFE-9F20-1F4B-B3FE-C990EF124FC6}"/>
    <hyperlink ref="A13" r:id="rId4" xr:uid="{9C509B8B-47BD-B043-B241-88F4FA3F2DEB}"/>
    <hyperlink ref="A12" r:id="rId5" xr:uid="{E9B395AA-4316-654A-B18E-3F60F26E4AA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WIT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2023-09-22T14:55:25Z</dcterms:created>
  <dcterms:modified xsi:type="dcterms:W3CDTF">2023-09-22T14:56:47Z</dcterms:modified>
</cp:coreProperties>
</file>