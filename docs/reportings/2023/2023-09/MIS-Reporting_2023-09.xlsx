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3-09/"/>
    </mc:Choice>
  </mc:AlternateContent>
  <xr:revisionPtr revIDLastSave="0" documentId="8_{47A0D08B-7BA4-DF41-907A-183E530B859F}" xr6:coauthVersionLast="47" xr6:coauthVersionMax="47" xr10:uidLastSave="{00000000-0000-0000-0000-000000000000}"/>
  <bookViews>
    <workbookView xWindow="8620" yWindow="500" windowWidth="35900" windowHeight="24880" xr2:uid="{BDCC188C-632E-784A-8844-2314FD1E9C7D}"/>
  </bookViews>
  <sheets>
    <sheet name="M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" l="1"/>
  <c r="B58" i="1" s="1"/>
  <c r="B51" i="1"/>
  <c r="B47" i="1"/>
  <c r="B40" i="1"/>
  <c r="B29" i="1"/>
  <c r="B25" i="1"/>
  <c r="B17" i="1"/>
  <c r="B8" i="1"/>
</calcChain>
</file>

<file path=xl/sharedStrings.xml><?xml version="1.0" encoding="utf-8"?>
<sst xmlns="http://schemas.openxmlformats.org/spreadsheetml/2006/main" count="52" uniqueCount="44">
  <si>
    <t>Mischioff AG</t>
  </si>
  <si>
    <t>3. Quartal 2023</t>
  </si>
  <si>
    <t>www.mischioff.com</t>
  </si>
  <si>
    <t>Monatliche Optimierung</t>
  </si>
  <si>
    <t>Aufwand ca. in Std.</t>
  </si>
  <si>
    <t>1. Linkaufbau, Linkabbau, Online-PR</t>
  </si>
  <si>
    <t>Link-Monitoring: Neue Verlinkungen aus Link-Tools der letzten 30 Tage überprüft, einzeln bewertet (monatlich 0,25 Std., TKI)</t>
  </si>
  <si>
    <t>2. Redaktionelle Arbeiten, Inspiration, Referenzen, Textoptimierung</t>
  </si>
  <si>
    <t>Textoptimierung "Tibey Collection": Abstimmung, Recherche und Textoptimierung für bestehende Unterseite, Überarbeitung des Bestandstexts und Texterweiterung, Keyword-Optimierung nach WDF*IDF, Ergänzungen und kl. Anpassungen, Lektorat und finale Bearbeitung, Versand an Kunden und Dokumentation (25.06., SSC, TKI)</t>
  </si>
  <si>
    <t>Textarbeiten Referenz "Wohnung Greppen": Abstimmung, Briefing und inhaltliche Konzeption, Recherche und Zusammentragen der Informationen, Texterstellung, Keyword-Optimierung nach WDF*IDF, Ergänzungen und kl. Anpassungen, Lektorat und finale Bearbeitung, Versand an Kunden und Dokumentation (20.07., SWO, TKI)</t>
  </si>
  <si>
    <t>Textarbeiten Referenz "Wohnung Cham": Abstimmung, Briefing und inhaltliche Konzeption, Recherche und Zusammentragen der Informationen, Texterstellung, Keyword-Optimierung nach WDF*IDF, Ergänzungen und kl. Anpassungen, Lektorat und finale Bearbeitung, Versand an Kunden und Dokumentation (20.07., SWO, TKI)</t>
  </si>
  <si>
    <t>Textoptimierung "Sichouk-Kollektion": Abstimmung, Recherche und Textoptimierung für bestehende Unterseite, Überarbeitung des Bestandstexts und Texterweiterung, Keyword-Optimierung nach WDF*IDF, Ergänzungen und kl. Anpassungen, Lektorat und finale Bearbeitung, Versand an Kunden und Dokumentation (28.08., SWO, TKI)</t>
  </si>
  <si>
    <t>Textoptimierung "Nilanda-Kollektion": Abstimmung, Recherche und Textoptimierung für bestehende Unterseite, Überarbeitung des Bestandstexts und Texterweiterung, Keyword-Optimierung nach WDF*IDF, Ergänzungen und kl. Anpassungen, Lektorat und finale Bearbeitung, Versand an Kunden und Dokumentation (12.09., SWO, TKI)</t>
  </si>
  <si>
    <t>Textarbeiten Referenz "Schindler Aufzüge": Abstimmung, Briefing und inhaltliche Konzeption, Recherche und Zusammentragen der Informationen, Texterstellung, Keyword-Optimierung nach WDF*IDF, Ergänzungen und kl. Anpassungen, Lektorat und finale Bearbeitung, Versand an Kunden und Dokumentation (13.09., SWO, TKI)</t>
  </si>
  <si>
    <t>3. Ratgeber "Teppichgröße"</t>
  </si>
  <si>
    <t>Kommunikation bzgl. Vorgaben, Erstellen eines Briefings inkl. Keyword- / Fragen-Recherche mit Hilfe von div. Tools (TermLabs, Sistrix, Xovi), Ticketmanagement (15., 16.08., GBO)</t>
  </si>
  <si>
    <t>Abstimmung, Recherche und Texterstellung auf Basis des Briefings für einen umfangreichen Teppichgrößen-Ratgeber (17.-25.08., JDR)</t>
  </si>
  <si>
    <t>Lektorat inklusive ergänzende Recherche, individuelle Texterweiterungen, WDF*IDF-Optimierung, Kommunikation, Erstellen der finalen Version, Übersenden an Kunde, Dokumentation (18.-25.08., GBO)</t>
  </si>
  <si>
    <t>Meeting bzgl. Änderungswünschen, Textanpassungen gemäß Kundenwunsch, Versand an Kunden und Dokumentation
(01., 05.09., GBO)</t>
  </si>
  <si>
    <t>Projektmanagement "Ratgeber Teppichgrößen": Organisation, Planung, Überwachung und Steuerung der Aufgaben und Ressourcen (15.08.-05.09., RBO, TKI)</t>
  </si>
  <si>
    <t>4. Redaktionelle Pflege, Website-Anpassungen, Onpage-Optimierung</t>
  </si>
  <si>
    <t>Antiques aus dem Online-Katalog entfernen, kl. Anpassungen und Dokumentation (10.08., BKO)</t>
  </si>
  <si>
    <t>5. Technische Arbeiten &amp; Programmierung</t>
  </si>
  <si>
    <t>404-Fehler (fortlaufend): Durchsicht neuer 404-Fehler im Redirection-Plugin, Sortieren und Löschen von unerheblichen 404-Fehlermeldungen und Weiterleitungsmustern, Anpassen der internen Verlinkung, Setzen von 301-Weiterleitungen für wichtige Unterseiten und Seitenelemente, Übergabe von möglichen 404-Fehlermustern an die Programmierung, kl. Anpassungen an der Website, Dokumentation und Abstimmung (15.08., TKI)</t>
  </si>
  <si>
    <t>Support, Einrichtung und Optimierungen bei den Übersetzungen über Weglot Übersetzungssoware (08.-31.08., BKO)</t>
  </si>
  <si>
    <t>Händler-Logos integrieren, Synchronisierung mit Händlerverzeichnis, kl. Anpassungen, Bildbearbeitung, Abstimmung und Dokumentation (24.-25.08., BKO, TKI)</t>
  </si>
  <si>
    <t>Technische Aspekte: Analyse von Ranking-Veränderungen und Besucherrückgang, technische Prüfung mit div. Tools, Deaktivieren des Caching-Tools wegen URL-Umstellung von .html auf /, kl. Anpassungen, erneute Prüfung und Austausch, Dokumentation (27.06.-25.08., BKO, TKI)</t>
  </si>
  <si>
    <t>Umleitungsfehler Startseite (mischioff.com/), Abstimmung (01.-04.09., TKI)</t>
  </si>
  <si>
    <t>Recherche und Abstimmung Hotjar-Auswertungen (07.09., BKO)</t>
  </si>
  <si>
    <t>Inspirations-Template angepasst, Dokumentation und Abstimmung (18.09., BKO)</t>
  </si>
  <si>
    <t>Programmierarbeiten 404-Seite, Popup-Störer, Bild-Vergrößerung (anteilige Berechnung), kl. Anpassungen und Template-Integration (18.-22.09., BKO)</t>
  </si>
  <si>
    <t>6. Google Ads</t>
  </si>
  <si>
    <t>Google Ads Monitoring: Fortlaufendes Monitoring des AdWords-Kontos, kl. Anpassungen, Gebote anpassen, Keywords ausrichten, Überwachung des Remarktings, kurze Durchsicht und Auswertung zum Monats- bzw. Quartalsende (monatlich, DHE, TKI)</t>
  </si>
  <si>
    <t>Besucherrückgang, Abweichungen GA4 prüfen (04.08., JST, GJE)</t>
  </si>
  <si>
    <t>Div. Abklärungen wegen Besucherrückgang, Ticket-Durchsicht, Auswertungen Search Console, etc. (11.08., TKI)</t>
  </si>
  <si>
    <t>Aufrufe „not set“ bei Monatsreport (07.09., JST, TKI)</t>
  </si>
  <si>
    <t>7. Auswertung und Maßnahmenplanung, Workshops</t>
  </si>
  <si>
    <t>Kurze Beratung zur SEO-Strategie, Klären von Fragen zu Keywords, etc. (22.08., TKI)</t>
  </si>
  <si>
    <t>8. Beratung &amp; Sonstiges</t>
  </si>
  <si>
    <t>SEO Auswertung und Keyword-Monitoring: Durchsicht und entsprechende Screenshots für ausgewählte Keywords in google.de bei XOVI sowie Sistrix-Veränderungen gegenüber dem vorherigen Quartal erstellt (22.09., TKI)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</si>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</sst>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4" fillId="0" borderId="1" xfId="0" quotePrefix="1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1" xfId="0" quotePrefix="1" applyFont="1" applyBorder="1" applyAlignment="1">
      <alignment vertical="top" wrapText="1"/>
    </xf>
    <xf numFmtId="0" fontId="4" fillId="3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4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mischiof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FE29-29BD-A449-8B9F-5910F7C52D9F}">
  <dimension ref="A1:B1001"/>
  <sheetViews>
    <sheetView tabSelected="1" zoomScale="150" zoomScaleNormal="150" workbookViewId="0">
      <pane ySplit="5" topLeftCell="A6" activePane="bottomLeft" state="frozen"/>
      <selection pane="bottomLeft" activeCell="A54" sqref="A54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6"/>
    </row>
    <row r="4" spans="1:2" ht="15.75" customHeight="1" x14ac:dyDescent="0.2">
      <c r="A4" s="7"/>
      <c r="B4" s="6"/>
    </row>
    <row r="5" spans="1:2" s="11" customFormat="1" ht="15.75" customHeight="1" x14ac:dyDescent="0.2">
      <c r="A5" s="8"/>
      <c r="B5" s="9" t="s">
        <v>4</v>
      </c>
    </row>
    <row r="6" spans="1:2" s="11" customFormat="1" ht="15.75" customHeight="1" x14ac:dyDescent="0.2">
      <c r="A6" s="8" t="s">
        <v>5</v>
      </c>
      <c r="B6" s="12"/>
    </row>
    <row r="7" spans="1:2" s="11" customFormat="1" ht="28" x14ac:dyDescent="0.2">
      <c r="A7" s="14" t="s">
        <v>6</v>
      </c>
      <c r="B7" s="15">
        <v>0.75</v>
      </c>
    </row>
    <row r="8" spans="1:2" s="11" customFormat="1" ht="15.75" customHeight="1" x14ac:dyDescent="0.2">
      <c r="A8" s="17" t="s">
        <v>4</v>
      </c>
      <c r="B8" s="18">
        <f>SUM(B7:B7)</f>
        <v>0.75</v>
      </c>
    </row>
    <row r="9" spans="1:2" s="11" customFormat="1" ht="15.75" customHeight="1" x14ac:dyDescent="0.2">
      <c r="A9" s="13"/>
      <c r="B9" s="15"/>
    </row>
    <row r="10" spans="1:2" s="11" customFormat="1" ht="15.75" customHeight="1" x14ac:dyDescent="0.2">
      <c r="A10" s="8" t="s">
        <v>7</v>
      </c>
      <c r="B10" s="15"/>
    </row>
    <row r="11" spans="1:2" s="11" customFormat="1" ht="71" customHeight="1" x14ac:dyDescent="0.2">
      <c r="A11" s="14" t="s">
        <v>8</v>
      </c>
      <c r="B11" s="15">
        <v>2</v>
      </c>
    </row>
    <row r="12" spans="1:2" s="11" customFormat="1" ht="70" x14ac:dyDescent="0.2">
      <c r="A12" s="14" t="s">
        <v>9</v>
      </c>
      <c r="B12" s="15">
        <v>1</v>
      </c>
    </row>
    <row r="13" spans="1:2" s="11" customFormat="1" ht="70" x14ac:dyDescent="0.2">
      <c r="A13" s="14" t="s">
        <v>10</v>
      </c>
      <c r="B13" s="15">
        <v>1</v>
      </c>
    </row>
    <row r="14" spans="1:2" s="11" customFormat="1" ht="70" customHeight="1" x14ac:dyDescent="0.2">
      <c r="A14" s="14" t="s">
        <v>11</v>
      </c>
      <c r="B14" s="15">
        <v>1.5</v>
      </c>
    </row>
    <row r="15" spans="1:2" s="11" customFormat="1" ht="69" customHeight="1" x14ac:dyDescent="0.2">
      <c r="A15" s="14" t="s">
        <v>12</v>
      </c>
      <c r="B15" s="15">
        <v>1.5</v>
      </c>
    </row>
    <row r="16" spans="1:2" s="11" customFormat="1" ht="70" x14ac:dyDescent="0.2">
      <c r="A16" s="14" t="s">
        <v>13</v>
      </c>
      <c r="B16" s="15">
        <v>1</v>
      </c>
    </row>
    <row r="17" spans="1:2" s="11" customFormat="1" ht="15.75" customHeight="1" x14ac:dyDescent="0.2">
      <c r="A17" s="17" t="s">
        <v>4</v>
      </c>
      <c r="B17" s="19">
        <f>SUM(B11:B16)</f>
        <v>8</v>
      </c>
    </row>
    <row r="18" spans="1:2" s="11" customFormat="1" ht="15.75" customHeight="1" x14ac:dyDescent="0.2">
      <c r="A18" s="20"/>
      <c r="B18" s="15"/>
    </row>
    <row r="19" spans="1:2" s="22" customFormat="1" ht="15.75" customHeight="1" x14ac:dyDescent="0.2">
      <c r="A19" s="21" t="s">
        <v>14</v>
      </c>
      <c r="B19" s="15"/>
    </row>
    <row r="20" spans="1:2" s="22" customFormat="1" ht="42" x14ac:dyDescent="0.2">
      <c r="A20" s="23" t="s">
        <v>15</v>
      </c>
      <c r="B20" s="24">
        <v>1</v>
      </c>
    </row>
    <row r="21" spans="1:2" s="22" customFormat="1" ht="28" x14ac:dyDescent="0.2">
      <c r="A21" s="23" t="s">
        <v>16</v>
      </c>
      <c r="B21" s="24">
        <v>5</v>
      </c>
    </row>
    <row r="22" spans="1:2" s="22" customFormat="1" ht="56" x14ac:dyDescent="0.2">
      <c r="A22" s="23" t="s">
        <v>17</v>
      </c>
      <c r="B22" s="24">
        <v>3.5</v>
      </c>
    </row>
    <row r="23" spans="1:2" s="26" customFormat="1" ht="42" x14ac:dyDescent="0.2">
      <c r="A23" s="25" t="s">
        <v>18</v>
      </c>
      <c r="B23" s="15">
        <v>0.5</v>
      </c>
    </row>
    <row r="24" spans="1:2" s="22" customFormat="1" ht="42" x14ac:dyDescent="0.2">
      <c r="A24" s="23" t="s">
        <v>19</v>
      </c>
      <c r="B24" s="24">
        <v>1</v>
      </c>
    </row>
    <row r="25" spans="1:2" s="11" customFormat="1" ht="15.75" customHeight="1" x14ac:dyDescent="0.2">
      <c r="A25" s="17" t="s">
        <v>4</v>
      </c>
      <c r="B25" s="19">
        <f>SUM(B20:B24)</f>
        <v>11</v>
      </c>
    </row>
    <row r="26" spans="1:2" s="11" customFormat="1" ht="14" x14ac:dyDescent="0.2">
      <c r="A26" s="14"/>
      <c r="B26" s="15"/>
    </row>
    <row r="27" spans="1:2" s="11" customFormat="1" ht="15.75" customHeight="1" x14ac:dyDescent="0.2">
      <c r="A27" s="8" t="s">
        <v>20</v>
      </c>
      <c r="B27" s="15"/>
    </row>
    <row r="28" spans="1:2" s="11" customFormat="1" ht="28" x14ac:dyDescent="0.2">
      <c r="A28" s="27" t="s">
        <v>21</v>
      </c>
      <c r="B28" s="24">
        <v>0.25</v>
      </c>
    </row>
    <row r="29" spans="1:2" s="11" customFormat="1" ht="15.75" customHeight="1" x14ac:dyDescent="0.2">
      <c r="A29" s="17" t="s">
        <v>4</v>
      </c>
      <c r="B29" s="19">
        <f>SUM(B27:B28)</f>
        <v>0.25</v>
      </c>
    </row>
    <row r="30" spans="1:2" s="11" customFormat="1" ht="14" x14ac:dyDescent="0.2">
      <c r="A30" s="14"/>
      <c r="B30" s="15"/>
    </row>
    <row r="31" spans="1:2" s="11" customFormat="1" ht="15.75" customHeight="1" x14ac:dyDescent="0.2">
      <c r="A31" s="29" t="s">
        <v>22</v>
      </c>
      <c r="B31" s="15"/>
    </row>
    <row r="32" spans="1:2" s="11" customFormat="1" ht="98" x14ac:dyDescent="0.2">
      <c r="A32" s="27" t="s">
        <v>23</v>
      </c>
      <c r="B32" s="24">
        <v>1</v>
      </c>
    </row>
    <row r="33" spans="1:2" s="11" customFormat="1" ht="28" x14ac:dyDescent="0.2">
      <c r="A33" s="27" t="s">
        <v>24</v>
      </c>
      <c r="B33" s="24">
        <v>3</v>
      </c>
    </row>
    <row r="34" spans="1:2" s="11" customFormat="1" ht="42" x14ac:dyDescent="0.2">
      <c r="A34" s="27" t="s">
        <v>25</v>
      </c>
      <c r="B34" s="24">
        <v>4</v>
      </c>
    </row>
    <row r="35" spans="1:2" s="11" customFormat="1" ht="70" x14ac:dyDescent="0.2">
      <c r="A35" s="27" t="s">
        <v>26</v>
      </c>
      <c r="B35" s="24">
        <v>3</v>
      </c>
    </row>
    <row r="36" spans="1:2" s="11" customFormat="1" ht="28" x14ac:dyDescent="0.2">
      <c r="A36" s="27" t="s">
        <v>27</v>
      </c>
      <c r="B36" s="24">
        <v>0.25</v>
      </c>
    </row>
    <row r="37" spans="1:2" s="11" customFormat="1" ht="14" x14ac:dyDescent="0.2">
      <c r="A37" s="27" t="s">
        <v>28</v>
      </c>
      <c r="B37" s="28">
        <v>0.5</v>
      </c>
    </row>
    <row r="38" spans="1:2" s="11" customFormat="1" ht="28" x14ac:dyDescent="0.2">
      <c r="A38" s="27" t="s">
        <v>29</v>
      </c>
      <c r="B38" s="28">
        <v>0.5</v>
      </c>
    </row>
    <row r="39" spans="1:2" s="11" customFormat="1" ht="42" x14ac:dyDescent="0.2">
      <c r="A39" s="27" t="s">
        <v>30</v>
      </c>
      <c r="B39" s="28">
        <v>1.25</v>
      </c>
    </row>
    <row r="40" spans="1:2" s="11" customFormat="1" ht="15.75" customHeight="1" x14ac:dyDescent="0.2">
      <c r="A40" s="17" t="s">
        <v>4</v>
      </c>
      <c r="B40" s="30">
        <f>SUM(B31:B39)</f>
        <v>13.5</v>
      </c>
    </row>
    <row r="41" spans="1:2" s="11" customFormat="1" ht="15.75" customHeight="1" x14ac:dyDescent="0.2">
      <c r="A41" s="20"/>
      <c r="B41" s="15"/>
    </row>
    <row r="42" spans="1:2" s="11" customFormat="1" ht="15.75" customHeight="1" x14ac:dyDescent="0.2">
      <c r="A42" s="8" t="s">
        <v>31</v>
      </c>
      <c r="B42" s="15"/>
    </row>
    <row r="43" spans="1:2" s="11" customFormat="1" ht="56" x14ac:dyDescent="0.2">
      <c r="A43" s="14" t="s">
        <v>32</v>
      </c>
      <c r="B43" s="15">
        <v>1.5</v>
      </c>
    </row>
    <row r="44" spans="1:2" s="11" customFormat="1" ht="14" x14ac:dyDescent="0.2">
      <c r="A44" s="14" t="s">
        <v>33</v>
      </c>
      <c r="B44" s="15">
        <v>0.5</v>
      </c>
    </row>
    <row r="45" spans="1:2" s="11" customFormat="1" ht="28" x14ac:dyDescent="0.2">
      <c r="A45" s="14" t="s">
        <v>34</v>
      </c>
      <c r="B45" s="15">
        <v>0.5</v>
      </c>
    </row>
    <row r="46" spans="1:2" s="11" customFormat="1" ht="14" x14ac:dyDescent="0.2">
      <c r="A46" s="14" t="s">
        <v>35</v>
      </c>
      <c r="B46" s="15">
        <v>0.75</v>
      </c>
    </row>
    <row r="47" spans="1:2" s="11" customFormat="1" ht="15.75" customHeight="1" x14ac:dyDescent="0.2">
      <c r="A47" s="17" t="s">
        <v>4</v>
      </c>
      <c r="B47" s="19">
        <f>SUM(B43:B46)</f>
        <v>3.25</v>
      </c>
    </row>
    <row r="48" spans="1:2" s="11" customFormat="1" ht="15.75" customHeight="1" x14ac:dyDescent="0.2">
      <c r="A48" s="20"/>
      <c r="B48" s="15"/>
    </row>
    <row r="49" spans="1:2" s="11" customFormat="1" ht="15.75" customHeight="1" x14ac:dyDescent="0.2">
      <c r="A49" s="8" t="s">
        <v>36</v>
      </c>
      <c r="B49" s="15"/>
    </row>
    <row r="50" spans="1:2" s="11" customFormat="1" ht="28" x14ac:dyDescent="0.2">
      <c r="A50" s="31" t="s">
        <v>37</v>
      </c>
      <c r="B50" s="15">
        <v>0.25</v>
      </c>
    </row>
    <row r="51" spans="1:2" s="11" customFormat="1" ht="15.75" customHeight="1" x14ac:dyDescent="0.2">
      <c r="A51" s="17" t="s">
        <v>4</v>
      </c>
      <c r="B51" s="18">
        <f>SUM(B50:B50)</f>
        <v>0.25</v>
      </c>
    </row>
    <row r="52" spans="1:2" s="11" customFormat="1" ht="15.75" customHeight="1" x14ac:dyDescent="0.2">
      <c r="A52" s="20"/>
      <c r="B52" s="15"/>
    </row>
    <row r="53" spans="1:2" s="11" customFormat="1" ht="15.75" customHeight="1" x14ac:dyDescent="0.2">
      <c r="A53" s="8" t="s">
        <v>38</v>
      </c>
      <c r="B53" s="15"/>
    </row>
    <row r="54" spans="1:2" s="11" customFormat="1" ht="56" customHeight="1" x14ac:dyDescent="0.2">
      <c r="A54" s="14" t="s">
        <v>39</v>
      </c>
      <c r="B54" s="15">
        <v>0.25</v>
      </c>
    </row>
    <row r="55" spans="1:2" s="11" customFormat="1" ht="36" customHeight="1" x14ac:dyDescent="0.2">
      <c r="A55" s="14" t="s">
        <v>40</v>
      </c>
      <c r="B55" s="16">
        <v>2.25</v>
      </c>
    </row>
    <row r="56" spans="1:2" s="11" customFormat="1" ht="15.75" customHeight="1" x14ac:dyDescent="0.2">
      <c r="A56" s="17" t="s">
        <v>4</v>
      </c>
      <c r="B56" s="18">
        <f>SUM(B54:B55)</f>
        <v>2.5</v>
      </c>
    </row>
    <row r="57" spans="1:2" s="11" customFormat="1" ht="15.75" customHeight="1" x14ac:dyDescent="0.2">
      <c r="A57" s="20"/>
      <c r="B57" s="15"/>
    </row>
    <row r="58" spans="1:2" s="11" customFormat="1" ht="16.5" customHeight="1" thickBot="1" x14ac:dyDescent="0.25">
      <c r="A58" s="32" t="s">
        <v>41</v>
      </c>
      <c r="B58" s="33">
        <f>SUM(B8+B17+B25+B29+B47+B40+B56+B51)</f>
        <v>39.5</v>
      </c>
    </row>
    <row r="59" spans="1:2" s="11" customFormat="1" ht="16.5" customHeight="1" thickBot="1" x14ac:dyDescent="0.25">
      <c r="A59" s="34" t="s">
        <v>42</v>
      </c>
      <c r="B59" s="35">
        <v>4.5</v>
      </c>
    </row>
    <row r="60" spans="1:2" ht="15.75" customHeight="1" x14ac:dyDescent="0.2">
      <c r="A60" s="10"/>
      <c r="B60" s="10"/>
    </row>
    <row r="61" spans="1:2" ht="15.75" customHeight="1" x14ac:dyDescent="0.2">
      <c r="A61" s="36" t="s">
        <v>43</v>
      </c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10"/>
      <c r="B108" s="10"/>
    </row>
    <row r="109" spans="1:2" ht="15.75" customHeight="1" x14ac:dyDescent="0.2">
      <c r="A109" s="10"/>
      <c r="B109" s="10"/>
    </row>
    <row r="110" spans="1:2" ht="15.75" customHeight="1" x14ac:dyDescent="0.2">
      <c r="A110" s="10"/>
      <c r="B110" s="10"/>
    </row>
    <row r="111" spans="1:2" ht="15.75" customHeight="1" x14ac:dyDescent="0.2">
      <c r="A111" s="10"/>
      <c r="B111" s="10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  <row r="999" spans="1:2" ht="15.75" customHeight="1" x14ac:dyDescent="0.2">
      <c r="A999" s="3"/>
      <c r="B999" s="3"/>
    </row>
    <row r="1000" spans="1:2" ht="15.75" customHeight="1" x14ac:dyDescent="0.2">
      <c r="A1000" s="3"/>
      <c r="B1000" s="3"/>
    </row>
    <row r="1001" spans="1:2" ht="15.75" customHeight="1" x14ac:dyDescent="0.2">
      <c r="A1001" s="3"/>
      <c r="B1001" s="3"/>
    </row>
  </sheetData>
  <hyperlinks>
    <hyperlink ref="A2" r:id="rId1" xr:uid="{F05E1246-42F3-F84A-81B7-EF4DF00A5324}"/>
    <hyperlink ref="A61" r:id="rId2" display="https://www.thoxan.com/kontakt/" xr:uid="{17CC694F-077F-7143-A3F7-BADF8E156C8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2023-09-22T15:10:45Z</dcterms:created>
  <dcterms:modified xsi:type="dcterms:W3CDTF">2023-09-22T15:15:31Z</dcterms:modified>
</cp:coreProperties>
</file>