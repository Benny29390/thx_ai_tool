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tkilian/Desktop/"/>
    </mc:Choice>
  </mc:AlternateContent>
  <xr:revisionPtr revIDLastSave="0" documentId="13_ncr:1_{B24C5C30-C4AA-274B-A2C4-478096EFB7A4}" xr6:coauthVersionLast="47" xr6:coauthVersionMax="47" xr10:uidLastSave="{00000000-0000-0000-0000-000000000000}"/>
  <bookViews>
    <workbookView xWindow="1500" yWindow="880" windowWidth="32600" windowHeight="21100" xr2:uid="{A2BE1FD2-935A-444E-AB58-821C9472245C}"/>
  </bookViews>
  <sheets>
    <sheet name="BK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4" i="1"/>
  <c r="B40" i="1"/>
  <c r="B34" i="1"/>
  <c r="B23" i="1"/>
  <c r="B55" i="1" l="1"/>
</calcChain>
</file>

<file path=xl/sharedStrings.xml><?xml version="1.0" encoding="utf-8"?>
<sst xmlns="http://schemas.openxmlformats.org/spreadsheetml/2006/main" count="54" uniqueCount="49">
  <si>
    <t>BKK GILDEMEISTER SEIDENSTICKER</t>
  </si>
  <si>
    <t>Jan/Feb 2023</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</si>
  <si>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</si>
  <si>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</si>
  <si>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</si>
  <si>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</si>
  <si>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(16.-20.01., 01.-10.02.,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</si>
  <si>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(18.-25.01., 12.-23.02., TKI)</t>
  </si>
  <si>
    <t>Textarbeiten (Gastartikel): Briefing und Recherche, Texterstellung für Gastbeitrag auf windelprinz.de, Lektorat, Abstimmung und Vorbereitung zur Veröffentlichung (12.12., EXT, TKI)</t>
  </si>
  <si>
    <t>Textarbeiten (Gastartikel): Briefing und Recherche, Texterstellung für Gastbeitrag auf arzttermine.de, Lektorat, Abstimmung und Vorbereitung zur Veröffentlichung (17.01., EXT, TKI)</t>
  </si>
  <si>
    <t>Textarbeiten (Gastartikel): Briefing und Recherche, Texterstellung für Gastbeitrag auf kindergeburtstag-planen.de, Lektorat, Abstimmung und Vorbereitung zur Veröffentlichung (18.01., EXT, TKI)</t>
  </si>
  <si>
    <t>Textarbeiten (Gastartikel): Briefing und Recherche, Texterstellung für Gastbeitrag auf lamommy.de, Lektorat, Abstimmung und Vorbereitung zur Veröffentlichung (14.02., EXT, TKI)</t>
  </si>
  <si>
    <t>Textarbeiten (Gastartikel): Briefing und Recherche, Texterstellung für Gastbeitrag auf meinwegausderangst.de, Lektorat, Abstimmung und Vorbereitung zur Veröffentlichung (20., 21.02., EXT, TKI)</t>
  </si>
  <si>
    <t>Textarbeiten (Gastartikel): Briefing und Recherche, Texterstellung für Gastbeitrag auf beeseed.de, Lektorat, Abstimmung und Vorbereitung zur Veröffentlichung (23., 24.02., GBO, TKI)</t>
  </si>
  <si>
    <t>Linkaufbau-Organisation und Abstimmung mit den Seitenbetreibern zur Veröffentlichung der vorbereiteten Gastartikel, Prüfung der Link-Integration, Abrechnung der Linkaufbau-Auslagen, Abstimmung und Dokumentation
(09.-28.02., TKI)</t>
  </si>
  <si>
    <t>https://www.ppm-online.org/pflegedienstleitung/pflegepersonal/ rueckenprobleme-bei-pflegenden/</t>
  </si>
  <si>
    <t>(Aus Dezember 2022)</t>
  </si>
  <si>
    <t>https://blog.windelprinz.de/kind-krank-welche-regeln-gelten/</t>
  </si>
  <si>
    <t>https://www.arzttermine.de/magazin/aktuell/tipps-unterstuetzung-entwicklung-kinder/</t>
  </si>
  <si>
    <t>https://www.kindergeburtstag-planen.de/geburtstagstipps/wenn-weniger-mehr-ist/</t>
  </si>
  <si>
    <t>https://www.lamommy.de/ab-wann-lachen-babys/</t>
  </si>
  <si>
    <t>https://www.meinwegausderangst.de/depression-bei-kindern-und-jugendlichen/</t>
  </si>
  <si>
    <t>https://www.beeseed.de/ratgeber/sauerstoffgehalt-im-blut-verbessern/</t>
  </si>
  <si>
    <t>Link-Monitoring: Neue Verlinkungen aus Link-Tools der letzten 30 Tage überprüft, einzeln bewertet (monatlich ca. 0,25 Std., TKI)</t>
  </si>
  <si>
    <t>2. Website- und Redaktionelle Arbeiten</t>
  </si>
  <si>
    <t>Textkorrektur "Zahnvorsorge/Zahnreinigung": Abstimmung und Durchsicht der Änderungswünsche, Inhaltliche Bearbeitung des Textes inkl. Umsetzung möglicher Ergänzungen (ggf. Umstrukturierung oder Texterweiterung), Durchsicht der Texte und finale Bearbeitung, Vorbereitung und Übergabe zum Einpflegen auf der Website (06.02., GBO, TKI)</t>
  </si>
  <si>
    <t>Textkorrektur "Zahnersatz": Abstimmung und Durchsicht der Änderungswünsche, Inhaltliche Bearbeitung des Textes inkl. Umsetzung möglicher Ergänzungen (ggf. Umstrukturierung oder Texterweiterung), Durchsicht der Texte und finale Bearbeitung, Vorbereitung und Übergabe zum Einpflegen auf der Website (09.02., GBO, TKI)</t>
  </si>
  <si>
    <t>Textarbeiten "Hilfsmittel/Hörgeräte": Abstimmung, Briefing und inhaltliche Konzeption, Recherche und Zusammentragen der Informationen, Texterstellung, Keyword-Optimierung nach WDF*IDF, Ergänzungen und kl. Anpassungen, Lektorat und finale Bearbeitung, Versand an Kunden und Dokumentation (13. - 14.02., 22.02., GBO, TKI)</t>
  </si>
  <si>
    <t>Textarbeiten "Coronavirus": Abstimmung, Briefing und inhaltliche Konzeption, Recherche und Zusammentragen der Informationen, Texterstellung, Keyword-Optimierung nach WDF*IDF, Ergänzungen und kl. Anpassungen, Lektorat und finale Bearbeitung, Versand an Kunden und Dokumentation (09.02., GBO, TKI) // Texterstellung für März geplant</t>
  </si>
  <si>
    <t xml:space="preserve">BKK Interne Verlinkung aus dem Journal (Runde 5 überarbeiten) (10.01., VKO) </t>
  </si>
  <si>
    <t>Interne Verlinkung Journalbeiträge (Runde 6): Abstimmung, Recherche und Zusammenstellen der relevanten Keywords für die interne Verlinkung, Integration von internen Links an verschiedenen Stellen auf der Website nach definierter Vorgabe auf thematisch passenden Unterseiten, Vorschlag für sinnvolle Texterweiterungen und kl. Anpassungen, Dokumentation und Abstimmung (25.-29.01., VKO, TKI)</t>
  </si>
  <si>
    <t>Einpflegen Unterseite "Osteopathie":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(10.01., VKO)</t>
  </si>
  <si>
    <t>Einpflegen Unterseite "Service Beratung":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(10.01., VKO)</t>
  </si>
  <si>
    <t>3. Technische Arbeiten, Onpage-Optimierung, ggf. Programmierung</t>
  </si>
  <si>
    <t>Weitere Abstimmung und Überprüfung der Maßnahmen und der technischen Anpassungen von move:elevator, siehe Ticket-Dokumentation // außerdem Abstimmung zum Server-Monitoring wg. nächtlicher Unerreichbarkeit (01.01.-28.02., TKI)</t>
  </si>
  <si>
    <t>Prüfen der Überschriftenstruktur Startseite, Abstimmung (02.-26.02., TKI)</t>
  </si>
  <si>
    <t>Prüfung und Abstimmung wg. URL-Weiterleitung bei Freiwilliger Krankenversicherung, Anmeldung Search Console (21.-23.02., TKI)</t>
  </si>
  <si>
    <t>4. Google Ads, Monitoring</t>
  </si>
  <si>
    <t>Info: Separate Abrechnung der "Wechselkampagne", ab März wieder Teil des monatlichen Reportings!</t>
  </si>
  <si>
    <t>Kurze Vorbereitung und virtuelle Abstimmung zur aktuellen Zusammenarbeit, Linkaufbau, Google Ads, Workshops, Klärung von div. Fragen 11-11.30 Uhr, anschließend Dokumentation und interne Abstimmung für die nächsten Maßnahmen (20.01., TKI)</t>
  </si>
  <si>
    <t>Prüfung von technischen Möglichkeiten, eine URL-Weiterleitung zu tracken, Alternativvorschläge gemacht, Abstimmung (01.-03.02., DHE, TKI)</t>
  </si>
  <si>
    <t>Kurze Vorbereitung und virtuelle Abstimmung zur aktuellen Zusammenarbeit, Linkaufbau, Google Ads, Workshops, Klärung von div. Fragen 09.30-10.15 Uhr, anschließend Dokumentation und interne Abstimmung für die nächsten Maßnahmen (03.02., TKI)</t>
  </si>
  <si>
    <t>Erweitertes Tracking Online-Mitgliedserklärung, Recherche, Abstimmung mit m:e wegen Parametern, Dokumentation (31.01.-28.02., DHE, TKI)</t>
  </si>
  <si>
    <t>GA4 Konfiguration + Google Datastudio Implementierung, kl. Anpassungen und Dokumentation (24.02., DHE)</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</si>
  <si>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</si>
  <si>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</si>
  <si>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</si>
  <si>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</si>
  <si>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5. 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</si>
</sst>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theme="3"/>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40">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3" borderId="1" xfId="0" applyFont="1" applyFill="1" applyBorder="1" applyAlignment="1">
      <alignment horizontal="center" vertical="center"/>
    </xf>
    <xf numFmtId="0" fontId="5" fillId="0" borderId="2"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xf numFmtId="0" fontId="4" fillId="0" borderId="1" xfId="1" applyFont="1" applyBorder="1" applyAlignment="1">
      <alignment vertical="center" wrapText="1"/>
    </xf>
    <xf numFmtId="0" fontId="5" fillId="0" borderId="5" xfId="0" applyFont="1" applyBorder="1" applyAlignment="1">
      <alignment horizontal="center" vertical="center"/>
    </xf>
    <xf numFmtId="0" fontId="5" fillId="0" borderId="6" xfId="0" applyFont="1" applyBorder="1" applyAlignment="1">
      <alignment vertical="top" wrapText="1"/>
    </xf>
    <xf numFmtId="0" fontId="8" fillId="0" borderId="1" xfId="0" applyFont="1" applyBorder="1" applyAlignment="1">
      <alignment horizontal="center" vertical="center"/>
    </xf>
    <xf numFmtId="0" fontId="8" fillId="0" borderId="0" xfId="0" applyFont="1"/>
    <xf numFmtId="0" fontId="5" fillId="0" borderId="7" xfId="0" applyFont="1" applyBorder="1" applyAlignment="1">
      <alignment vertical="top" wrapText="1"/>
    </xf>
    <xf numFmtId="0" fontId="5" fillId="0" borderId="0" xfId="0" applyFont="1" applyAlignment="1">
      <alignment vertical="top" wrapText="1"/>
    </xf>
    <xf numFmtId="0" fontId="5" fillId="2" borderId="6" xfId="0" applyFont="1" applyFill="1" applyBorder="1" applyAlignment="1">
      <alignment vertical="center"/>
    </xf>
    <xf numFmtId="0" fontId="5" fillId="0" borderId="6" xfId="0" applyFont="1" applyBorder="1" applyAlignment="1">
      <alignment vertical="center"/>
    </xf>
    <xf numFmtId="0" fontId="3" fillId="0" borderId="6" xfId="0" applyFont="1" applyBorder="1"/>
    <xf numFmtId="0" fontId="7" fillId="3" borderId="1" xfId="0" applyFont="1" applyFill="1" applyBorder="1" applyAlignment="1">
      <alignment vertical="top" wrapText="1"/>
    </xf>
    <xf numFmtId="0" fontId="5" fillId="0" borderId="3" xfId="0" applyFont="1" applyBorder="1" applyAlignment="1">
      <alignment vertical="center"/>
    </xf>
    <xf numFmtId="0" fontId="3" fillId="0" borderId="4" xfId="0" applyFont="1" applyBorder="1"/>
    <xf numFmtId="0" fontId="5" fillId="3" borderId="1" xfId="0" applyFont="1" applyFill="1" applyBorder="1" applyAlignment="1">
      <alignment vertical="top" wrapText="1"/>
    </xf>
    <xf numFmtId="0" fontId="5" fillId="2" borderId="8" xfId="0" applyFont="1" applyFill="1" applyBorder="1" applyAlignment="1">
      <alignment vertical="center"/>
    </xf>
    <xf numFmtId="0" fontId="5" fillId="3" borderId="4" xfId="0" applyFont="1" applyFill="1" applyBorder="1" applyAlignment="1">
      <alignment vertical="center"/>
    </xf>
    <xf numFmtId="0" fontId="3" fillId="3" borderId="1"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5" fillId="2" borderId="9" xfId="0" applyFont="1" applyFill="1" applyBorder="1" applyAlignment="1">
      <alignment vertical="center"/>
    </xf>
    <xf numFmtId="0" fontId="3" fillId="2" borderId="10" xfId="0" applyFont="1" applyFill="1" applyBorder="1" applyAlignment="1">
      <alignment horizontal="center" vertical="center"/>
    </xf>
    <xf numFmtId="0" fontId="7" fillId="0" borderId="0" xfId="1" applyFont="1"/>
    <xf numFmtId="0" fontId="9" fillId="0" borderId="0" xfId="0"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einwegausderangst.de/depression-bei-kindern-und-jugendlichen/" TargetMode="External"/><Relationship Id="rId3" Type="http://schemas.openxmlformats.org/officeDocument/2006/relationships/hyperlink" Target="https://www.ppm-online.org/pflegedienstleitung/pflegepersonal/%20rueckenprobleme-bei-pflegenden/" TargetMode="External"/><Relationship Id="rId7" Type="http://schemas.openxmlformats.org/officeDocument/2006/relationships/hyperlink" Target="https://www.lamommy.de/ab-wann-lachen-babys/"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arzttermine.de/magazin/aktuell/tipps-unterstuetzung-entwicklung-kinder/" TargetMode="External"/><Relationship Id="rId5" Type="http://schemas.openxmlformats.org/officeDocument/2006/relationships/hyperlink" Target="https://www.kindergeburtstag-planen.de/geburtstagstipps/wenn-weniger-mehr-ist/" TargetMode="External"/><Relationship Id="rId4" Type="http://schemas.openxmlformats.org/officeDocument/2006/relationships/hyperlink" Target="https://blog.windelprinz.de/kind-krank-welche-regeln-gelten/" TargetMode="External"/><Relationship Id="rId9" Type="http://schemas.openxmlformats.org/officeDocument/2006/relationships/hyperlink" Target="https://www.beeseed.de/ratgeber/sauerstoffgehalt-im-blut-verbess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4F75-D22A-BE4A-B344-DC6D81864F81}">
  <dimension ref="A1:B1014"/>
  <sheetViews>
    <sheetView tabSelected="1" zoomScale="160" zoomScaleNormal="160" workbookViewId="0">
      <pane ySplit="4" topLeftCell="A5" activePane="bottomLeft" state="frozen"/>
      <selection pane="bottomLeft" activeCell="A47" sqref="A47"/>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s="6" customFormat="1" ht="70" x14ac:dyDescent="0.15">
      <c r="A6" s="13" t="s">
        <v>6</v>
      </c>
      <c r="B6" s="14">
        <v>2.75</v>
      </c>
    </row>
    <row r="7" spans="1:2" s="6" customFormat="1" ht="70" x14ac:dyDescent="0.15">
      <c r="A7" s="13" t="s">
        <v>7</v>
      </c>
      <c r="B7" s="14">
        <v>5.5</v>
      </c>
    </row>
    <row r="8" spans="1:2" ht="42" x14ac:dyDescent="0.2">
      <c r="A8" s="15" t="s">
        <v>8</v>
      </c>
      <c r="B8" s="14">
        <v>3</v>
      </c>
    </row>
    <row r="9" spans="1:2" s="6" customFormat="1" ht="42" x14ac:dyDescent="0.15">
      <c r="A9" s="15" t="s">
        <v>9</v>
      </c>
      <c r="B9" s="14">
        <v>3</v>
      </c>
    </row>
    <row r="10" spans="1:2" ht="42" x14ac:dyDescent="0.2">
      <c r="A10" s="15" t="s">
        <v>10</v>
      </c>
      <c r="B10" s="14">
        <v>3</v>
      </c>
    </row>
    <row r="11" spans="1:2" ht="42" x14ac:dyDescent="0.2">
      <c r="A11" s="15" t="s">
        <v>11</v>
      </c>
      <c r="B11" s="14">
        <v>2.75</v>
      </c>
    </row>
    <row r="12" spans="1:2" ht="42" x14ac:dyDescent="0.2">
      <c r="A12" s="15" t="s">
        <v>12</v>
      </c>
      <c r="B12" s="14">
        <v>3</v>
      </c>
    </row>
    <row r="13" spans="1:2" ht="42" x14ac:dyDescent="0.2">
      <c r="A13" s="15" t="s">
        <v>13</v>
      </c>
      <c r="B13" s="14">
        <v>3</v>
      </c>
    </row>
    <row r="14" spans="1:2" s="6" customFormat="1" ht="57" customHeight="1" x14ac:dyDescent="0.15">
      <c r="A14" s="15" t="s">
        <v>14</v>
      </c>
      <c r="B14" s="14">
        <v>3.5</v>
      </c>
    </row>
    <row r="15" spans="1:2" s="6" customFormat="1" ht="28" x14ac:dyDescent="0.15">
      <c r="A15" s="16" t="s">
        <v>15</v>
      </c>
      <c r="B15" s="14" t="s">
        <v>16</v>
      </c>
    </row>
    <row r="16" spans="1:2" s="6" customFormat="1" ht="14" x14ac:dyDescent="0.15">
      <c r="A16" s="16" t="s">
        <v>17</v>
      </c>
      <c r="B16" s="14"/>
    </row>
    <row r="17" spans="1:2" s="6" customFormat="1" ht="28" x14ac:dyDescent="0.15">
      <c r="A17" s="16" t="s">
        <v>18</v>
      </c>
      <c r="B17" s="14"/>
    </row>
    <row r="18" spans="1:2" s="6" customFormat="1" ht="28" x14ac:dyDescent="0.15">
      <c r="A18" s="16" t="s">
        <v>19</v>
      </c>
      <c r="B18" s="14"/>
    </row>
    <row r="19" spans="1:2" s="6" customFormat="1" ht="14" x14ac:dyDescent="0.15">
      <c r="A19" s="16" t="s">
        <v>20</v>
      </c>
      <c r="B19" s="14"/>
    </row>
    <row r="20" spans="1:2" s="6" customFormat="1" ht="28" x14ac:dyDescent="0.15">
      <c r="A20" s="16" t="s">
        <v>21</v>
      </c>
      <c r="B20" s="14"/>
    </row>
    <row r="21" spans="1:2" s="6" customFormat="1" ht="14" x14ac:dyDescent="0.15">
      <c r="A21" s="16" t="s">
        <v>22</v>
      </c>
      <c r="B21" s="14"/>
    </row>
    <row r="22" spans="1:2" s="6" customFormat="1" ht="27.75" customHeight="1" x14ac:dyDescent="0.15">
      <c r="A22" s="15" t="s">
        <v>23</v>
      </c>
      <c r="B22" s="14">
        <v>0.5</v>
      </c>
    </row>
    <row r="23" spans="1:2" s="6" customFormat="1" ht="15.75" customHeight="1" x14ac:dyDescent="0.15">
      <c r="A23" s="8" t="s">
        <v>4</v>
      </c>
      <c r="B23" s="9">
        <f>SUM(B6:B22)</f>
        <v>30</v>
      </c>
    </row>
    <row r="24" spans="1:2" s="6" customFormat="1" ht="15.75" customHeight="1" x14ac:dyDescent="0.15">
      <c r="A24" s="7"/>
      <c r="B24" s="14"/>
    </row>
    <row r="25" spans="1:2" s="6" customFormat="1" ht="15.75" customHeight="1" x14ac:dyDescent="0.15">
      <c r="A25" s="10" t="s">
        <v>24</v>
      </c>
      <c r="B25" s="14"/>
    </row>
    <row r="26" spans="1:2" s="6" customFormat="1" ht="84" x14ac:dyDescent="0.15">
      <c r="A26" s="15" t="s">
        <v>25</v>
      </c>
      <c r="B26" s="14">
        <v>0.5</v>
      </c>
    </row>
    <row r="27" spans="1:2" s="6" customFormat="1" ht="84" x14ac:dyDescent="0.15">
      <c r="A27" s="15" t="s">
        <v>26</v>
      </c>
      <c r="B27" s="14">
        <v>0.5</v>
      </c>
    </row>
    <row r="28" spans="1:2" s="6" customFormat="1" ht="84" x14ac:dyDescent="0.15">
      <c r="A28" s="18" t="s">
        <v>27</v>
      </c>
      <c r="B28" s="12">
        <v>15.5</v>
      </c>
    </row>
    <row r="29" spans="1:2" s="6" customFormat="1" ht="84" x14ac:dyDescent="0.15">
      <c r="A29" s="18" t="s">
        <v>28</v>
      </c>
      <c r="B29" s="12">
        <v>0.5</v>
      </c>
    </row>
    <row r="30" spans="1:2" s="6" customFormat="1" ht="28" x14ac:dyDescent="0.15">
      <c r="A30" s="18" t="s">
        <v>29</v>
      </c>
      <c r="B30" s="12">
        <v>0.25</v>
      </c>
    </row>
    <row r="31" spans="1:2" s="20" customFormat="1" ht="84" x14ac:dyDescent="0.15">
      <c r="A31" s="18" t="s">
        <v>30</v>
      </c>
      <c r="B31" s="19">
        <v>7</v>
      </c>
    </row>
    <row r="32" spans="1:2" s="20" customFormat="1" ht="84" x14ac:dyDescent="0.15">
      <c r="A32" s="21" t="s">
        <v>31</v>
      </c>
      <c r="B32" s="19">
        <v>0.5</v>
      </c>
    </row>
    <row r="33" spans="1:2" s="20" customFormat="1" ht="84" x14ac:dyDescent="0.15">
      <c r="A33" s="22" t="s">
        <v>32</v>
      </c>
      <c r="B33" s="19">
        <v>0.5</v>
      </c>
    </row>
    <row r="34" spans="1:2" s="6" customFormat="1" ht="15.75" customHeight="1" x14ac:dyDescent="0.15">
      <c r="A34" s="23" t="s">
        <v>4</v>
      </c>
      <c r="B34" s="9">
        <f>SUM(B26:B33)</f>
        <v>25.25</v>
      </c>
    </row>
    <row r="35" spans="1:2" s="6" customFormat="1" ht="15.75" customHeight="1" x14ac:dyDescent="0.15">
      <c r="A35" s="24"/>
      <c r="B35" s="14"/>
    </row>
    <row r="36" spans="1:2" s="6" customFormat="1" ht="15.75" customHeight="1" x14ac:dyDescent="0.15">
      <c r="A36" s="25" t="s">
        <v>33</v>
      </c>
      <c r="B36" s="14"/>
    </row>
    <row r="37" spans="1:2" s="6" customFormat="1" ht="56" x14ac:dyDescent="0.15">
      <c r="A37" s="18" t="s">
        <v>34</v>
      </c>
      <c r="B37" s="14">
        <v>3</v>
      </c>
    </row>
    <row r="38" spans="1:2" s="6" customFormat="1" ht="28" x14ac:dyDescent="0.15">
      <c r="A38" s="18" t="s">
        <v>35</v>
      </c>
      <c r="B38" s="14">
        <v>0.25</v>
      </c>
    </row>
    <row r="39" spans="1:2" s="6" customFormat="1" ht="28" x14ac:dyDescent="0.15">
      <c r="A39" s="18" t="s">
        <v>36</v>
      </c>
      <c r="B39" s="14">
        <v>0.25</v>
      </c>
    </row>
    <row r="40" spans="1:2" s="6" customFormat="1" ht="15.75" customHeight="1" x14ac:dyDescent="0.15">
      <c r="A40" s="23" t="s">
        <v>4</v>
      </c>
      <c r="B40" s="9">
        <f>SUM(B37:B39)</f>
        <v>3.5</v>
      </c>
    </row>
    <row r="41" spans="1:2" s="6" customFormat="1" ht="15.75" customHeight="1" x14ac:dyDescent="0.15">
      <c r="A41" s="24"/>
      <c r="B41" s="14"/>
    </row>
    <row r="42" spans="1:2" s="6" customFormat="1" ht="15.75" customHeight="1" x14ac:dyDescent="0.15">
      <c r="A42" s="25" t="s">
        <v>37</v>
      </c>
      <c r="B42" s="14"/>
    </row>
    <row r="43" spans="1:2" s="6" customFormat="1" ht="28" x14ac:dyDescent="0.15">
      <c r="A43" s="26" t="s">
        <v>38</v>
      </c>
      <c r="B43" s="14"/>
    </row>
    <row r="44" spans="1:2" s="6" customFormat="1" ht="15.75" customHeight="1" x14ac:dyDescent="0.15">
      <c r="A44" s="8" t="s">
        <v>4</v>
      </c>
      <c r="B44" s="9">
        <f>SUM(B43:B43)</f>
        <v>0</v>
      </c>
    </row>
    <row r="45" spans="1:2" s="6" customFormat="1" ht="15.75" customHeight="1" x14ac:dyDescent="0.15">
      <c r="A45" s="27"/>
      <c r="B45" s="17"/>
    </row>
    <row r="46" spans="1:2" s="6" customFormat="1" ht="15.75" customHeight="1" x14ac:dyDescent="0.15">
      <c r="A46" s="28" t="s">
        <v>48</v>
      </c>
      <c r="B46" s="17"/>
    </row>
    <row r="47" spans="1:2" s="6" customFormat="1" ht="56" x14ac:dyDescent="0.15">
      <c r="A47" s="29" t="s">
        <v>39</v>
      </c>
      <c r="B47" s="17">
        <v>1</v>
      </c>
    </row>
    <row r="48" spans="1:2" s="6" customFormat="1" ht="42" x14ac:dyDescent="0.15">
      <c r="A48" s="29" t="s">
        <v>40</v>
      </c>
      <c r="B48" s="17">
        <v>0.5</v>
      </c>
    </row>
    <row r="49" spans="1:2" s="6" customFormat="1" ht="56" x14ac:dyDescent="0.15">
      <c r="A49" s="29" t="s">
        <v>41</v>
      </c>
      <c r="B49" s="17">
        <v>1</v>
      </c>
    </row>
    <row r="50" spans="1:2" s="6" customFormat="1" ht="28" x14ac:dyDescent="0.15">
      <c r="A50" s="29" t="s">
        <v>42</v>
      </c>
      <c r="B50" s="17">
        <v>3.5</v>
      </c>
    </row>
    <row r="51" spans="1:2" s="6" customFormat="1" ht="28" x14ac:dyDescent="0.15">
      <c r="A51" s="29" t="s">
        <v>43</v>
      </c>
      <c r="B51" s="17">
        <v>1</v>
      </c>
    </row>
    <row r="52" spans="1:2" s="6" customFormat="1" ht="28" x14ac:dyDescent="0.15">
      <c r="A52" s="29" t="s">
        <v>44</v>
      </c>
      <c r="B52" s="14">
        <v>4</v>
      </c>
    </row>
    <row r="53" spans="1:2" s="6" customFormat="1" ht="15.75" customHeight="1" x14ac:dyDescent="0.15">
      <c r="A53" s="30" t="s">
        <v>4</v>
      </c>
      <c r="B53" s="9">
        <f>SUM(B47:B52)</f>
        <v>11</v>
      </c>
    </row>
    <row r="54" spans="1:2" s="6" customFormat="1" ht="16.5" customHeight="1" x14ac:dyDescent="0.15">
      <c r="A54" s="31"/>
      <c r="B54" s="32"/>
    </row>
    <row r="55" spans="1:2" s="6" customFormat="1" ht="16.5" customHeight="1" thickBot="1" x14ac:dyDescent="0.2">
      <c r="A55" s="33" t="s">
        <v>45</v>
      </c>
      <c r="B55" s="34">
        <f>SUM(B53+B44+B40+B34+B23)</f>
        <v>69.75</v>
      </c>
    </row>
    <row r="56" spans="1:2" s="6" customFormat="1" ht="16.5" customHeight="1" thickBot="1" x14ac:dyDescent="0.2">
      <c r="A56" s="35" t="s">
        <v>46</v>
      </c>
      <c r="B56" s="36">
        <v>8.5</v>
      </c>
    </row>
    <row r="57" spans="1:2" ht="15.75" customHeight="1" x14ac:dyDescent="0.2">
      <c r="A57" s="6"/>
      <c r="B57" s="6"/>
    </row>
    <row r="58" spans="1:2" s="39" customFormat="1" ht="15.75" customHeight="1" x14ac:dyDescent="0.2">
      <c r="A58" s="37" t="s">
        <v>47</v>
      </c>
      <c r="B58" s="38"/>
    </row>
    <row r="59" spans="1:2" ht="15.75" customHeight="1" x14ac:dyDescent="0.2">
      <c r="A59" s="6"/>
      <c r="B59" s="6"/>
    </row>
    <row r="60" spans="1:2" ht="15.75" customHeight="1" x14ac:dyDescent="0.2">
      <c r="A60" s="6"/>
      <c r="B60" s="6"/>
    </row>
    <row r="61" spans="1:2" ht="15.75" customHeight="1" x14ac:dyDescent="0.2">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sheetData>
  <hyperlinks>
    <hyperlink ref="A2" r:id="rId1" xr:uid="{80A2D864-D2BA-AE42-B91B-CA7AECB6E83A}"/>
    <hyperlink ref="A58" r:id="rId2" display="https://www.thoxan.com/kontakt/" xr:uid="{C5E5FD4C-1A02-734B-9174-7729AF9464C8}"/>
    <hyperlink ref="A15" r:id="rId3" xr:uid="{B675918F-529E-BF4D-B653-A78476943EF2}"/>
    <hyperlink ref="A16" r:id="rId4" xr:uid="{254CEBD8-993D-E849-B2CC-3897EF79B7B4}"/>
    <hyperlink ref="A18" r:id="rId5" xr:uid="{36727838-06A5-484C-B652-51C96795D3BD}"/>
    <hyperlink ref="A17" r:id="rId6" xr:uid="{1E6A2B70-BC14-F948-AF05-420096BAF709}"/>
    <hyperlink ref="A19" r:id="rId7" xr:uid="{B34AF245-E176-6E47-B7E2-8743CAD38903}"/>
    <hyperlink ref="A20" r:id="rId8" xr:uid="{8DB5CDB2-19CF-B64C-BA73-8B42AA19C8C3}"/>
    <hyperlink ref="A21" r:id="rId9" xr:uid="{473355B2-4FD9-FF43-AD5D-65B81DBFEDDB}"/>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2023-02-28T15:17:54Z</dcterms:created>
  <dcterms:modified xsi:type="dcterms:W3CDTF">2023-02-28T15:22:17Z</dcterms:modified>
</cp:coreProperties>
</file>